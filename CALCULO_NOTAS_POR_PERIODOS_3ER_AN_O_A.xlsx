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7D9B1F54-0B25-B245-9927-0100C58673E9}" xr6:coauthVersionLast="47" xr6:coauthVersionMax="47" xr10:uidLastSave="{00000000-0000-0000-0000-000000000000}"/>
  <bookViews>
    <workbookView xWindow="1140" yWindow="1760" windowWidth="34700" windowHeight="19160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2" i="19" l="1"/>
  <c r="AL12" i="19"/>
  <c r="AM12" i="19"/>
  <c r="AN12" i="19"/>
  <c r="AO12" i="19"/>
  <c r="AK13" i="19"/>
  <c r="AL13" i="19"/>
  <c r="AM13" i="19"/>
  <c r="AN13" i="19"/>
  <c r="BH47" i="32"/>
  <c r="BG47" i="32"/>
  <c r="BF47" i="32"/>
  <c r="BE47" i="32"/>
  <c r="BI47" i="32" s="1"/>
  <c r="BH46" i="32"/>
  <c r="BG46" i="32"/>
  <c r="BF46" i="32"/>
  <c r="BE46" i="32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H14" i="32"/>
  <c r="BG14" i="32"/>
  <c r="BF14" i="32"/>
  <c r="BE14" i="32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10" i="32"/>
  <c r="BG10" i="32"/>
  <c r="BF10" i="32"/>
  <c r="BE10" i="32"/>
  <c r="BI10" i="32" s="1"/>
  <c r="BH9" i="32"/>
  <c r="BG9" i="32"/>
  <c r="BF9" i="32"/>
  <c r="BE9" i="32"/>
  <c r="BI9" i="32" s="1"/>
  <c r="BH8" i="32"/>
  <c r="BG8" i="32"/>
  <c r="BF8" i="32"/>
  <c r="BE8" i="32"/>
  <c r="BI8" i="32" s="1"/>
  <c r="BH7" i="32"/>
  <c r="BG7" i="32"/>
  <c r="BF7" i="32"/>
  <c r="BE7" i="32"/>
  <c r="BI7" i="32" s="1"/>
  <c r="BH6" i="32"/>
  <c r="BG6" i="32"/>
  <c r="BF6" i="32"/>
  <c r="BE6" i="32"/>
  <c r="BI6" i="32" s="1"/>
  <c r="BH5" i="32"/>
  <c r="BG5" i="32"/>
  <c r="BF5" i="32"/>
  <c r="BE5" i="32"/>
  <c r="BI5" i="32" s="1"/>
  <c r="BH4" i="32"/>
  <c r="BG4" i="32"/>
  <c r="BF4" i="32"/>
  <c r="BE4" i="32"/>
  <c r="BI4" i="32" s="1"/>
  <c r="BH3" i="32"/>
  <c r="BG3" i="32"/>
  <c r="BF3" i="32"/>
  <c r="BE3" i="32"/>
  <c r="BI3" i="32" s="1"/>
  <c r="BH47" i="31"/>
  <c r="BG47" i="31"/>
  <c r="BF47" i="31"/>
  <c r="BE47" i="3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H41" i="31"/>
  <c r="BG41" i="31"/>
  <c r="BF41" i="31"/>
  <c r="BE41" i="3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H34" i="31"/>
  <c r="BG34" i="31"/>
  <c r="BF34" i="31"/>
  <c r="BE34" i="31"/>
  <c r="BH33" i="31"/>
  <c r="BG33" i="31"/>
  <c r="BF33" i="31"/>
  <c r="BE33" i="31"/>
  <c r="BI33" i="31" s="1"/>
  <c r="BH32" i="31"/>
  <c r="BG32" i="31"/>
  <c r="BF32" i="31"/>
  <c r="BE32" i="31"/>
  <c r="BH31" i="31"/>
  <c r="BG31" i="31"/>
  <c r="BF31" i="31"/>
  <c r="BE31" i="31"/>
  <c r="BH30" i="31"/>
  <c r="BG30" i="31"/>
  <c r="BF30" i="31"/>
  <c r="BE30" i="31"/>
  <c r="BH29" i="31"/>
  <c r="BG29" i="31"/>
  <c r="BF29" i="31"/>
  <c r="BE29" i="31"/>
  <c r="BH28" i="31"/>
  <c r="BG28" i="31"/>
  <c r="BF28" i="31"/>
  <c r="BE28" i="31"/>
  <c r="BH27" i="31"/>
  <c r="BG27" i="31"/>
  <c r="BF27" i="31"/>
  <c r="BE27" i="31"/>
  <c r="BH26" i="31"/>
  <c r="BG26" i="31"/>
  <c r="BF26" i="31"/>
  <c r="BE26" i="31"/>
  <c r="BH25" i="31"/>
  <c r="BG25" i="31"/>
  <c r="BF25" i="31"/>
  <c r="BE25" i="31"/>
  <c r="BH24" i="31"/>
  <c r="BG24" i="31"/>
  <c r="BF24" i="31"/>
  <c r="BE24" i="31"/>
  <c r="BI24" i="31" s="1"/>
  <c r="BH23" i="31"/>
  <c r="BG23" i="31"/>
  <c r="BF23" i="31"/>
  <c r="BE23" i="3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10" i="31"/>
  <c r="BG10" i="31"/>
  <c r="BF10" i="31"/>
  <c r="BE10" i="31"/>
  <c r="BH9" i="31"/>
  <c r="BG9" i="31"/>
  <c r="BF9" i="31"/>
  <c r="BE9" i="31"/>
  <c r="BI9" i="31" s="1"/>
  <c r="BH8" i="31"/>
  <c r="BG8" i="31"/>
  <c r="BF8" i="31"/>
  <c r="BE8" i="31"/>
  <c r="BI8" i="31" s="1"/>
  <c r="BH7" i="31"/>
  <c r="BG7" i="31"/>
  <c r="BF7" i="31"/>
  <c r="BE7" i="31"/>
  <c r="BI7" i="31" s="1"/>
  <c r="BH6" i="31"/>
  <c r="BG6" i="31"/>
  <c r="BF6" i="31"/>
  <c r="BE6" i="31"/>
  <c r="BI6" i="31" s="1"/>
  <c r="BH5" i="31"/>
  <c r="BG5" i="31"/>
  <c r="BF5" i="31"/>
  <c r="BE5" i="31"/>
  <c r="BI5" i="31" s="1"/>
  <c r="BH4" i="31"/>
  <c r="BG4" i="31"/>
  <c r="BF4" i="31"/>
  <c r="BE4" i="31"/>
  <c r="BI4" i="31" s="1"/>
  <c r="BH3" i="31"/>
  <c r="BG3" i="31"/>
  <c r="BF3" i="31"/>
  <c r="BE3" i="31"/>
  <c r="BI3" i="31" s="1"/>
  <c r="BH47" i="30"/>
  <c r="BG47" i="30"/>
  <c r="BF47" i="30"/>
  <c r="BE47" i="30"/>
  <c r="BH46" i="30"/>
  <c r="BG46" i="30"/>
  <c r="BF46" i="30"/>
  <c r="BE46" i="30"/>
  <c r="BI46" i="30" s="1"/>
  <c r="BH45" i="30"/>
  <c r="BG45" i="30"/>
  <c r="BF45" i="30"/>
  <c r="BE45" i="30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H38" i="30"/>
  <c r="BG38" i="30"/>
  <c r="BF38" i="30"/>
  <c r="BE38" i="30"/>
  <c r="BH37" i="30"/>
  <c r="BG37" i="30"/>
  <c r="BF37" i="30"/>
  <c r="BE37" i="30"/>
  <c r="BH36" i="30"/>
  <c r="BG36" i="30"/>
  <c r="BF36" i="30"/>
  <c r="BE36" i="30"/>
  <c r="BH35" i="30"/>
  <c r="BG35" i="30"/>
  <c r="BF35" i="30"/>
  <c r="BE35" i="30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H25" i="30"/>
  <c r="BG25" i="30"/>
  <c r="BF25" i="30"/>
  <c r="BE25" i="30"/>
  <c r="BH24" i="30"/>
  <c r="BG24" i="30"/>
  <c r="BF24" i="30"/>
  <c r="BE24" i="30"/>
  <c r="BH23" i="30"/>
  <c r="BG23" i="30"/>
  <c r="BF23" i="30"/>
  <c r="BE23" i="30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H12" i="30"/>
  <c r="BG12" i="30"/>
  <c r="BF12" i="30"/>
  <c r="BE12" i="30"/>
  <c r="BI12" i="30" s="1"/>
  <c r="BH11" i="30"/>
  <c r="BG11" i="30"/>
  <c r="BF11" i="30"/>
  <c r="BE11" i="30"/>
  <c r="BI11" i="30" s="1"/>
  <c r="BH10" i="30"/>
  <c r="BG10" i="30"/>
  <c r="BF10" i="30"/>
  <c r="BE10" i="30"/>
  <c r="BH9" i="30"/>
  <c r="BG9" i="30"/>
  <c r="BF9" i="30"/>
  <c r="BE9" i="30"/>
  <c r="BI9" i="30" s="1"/>
  <c r="BH8" i="30"/>
  <c r="BG8" i="30"/>
  <c r="BF8" i="30"/>
  <c r="BE8" i="30"/>
  <c r="BI8" i="30" s="1"/>
  <c r="BH7" i="30"/>
  <c r="BG7" i="30"/>
  <c r="BF7" i="30"/>
  <c r="BE7" i="30"/>
  <c r="BH6" i="30"/>
  <c r="BG6" i="30"/>
  <c r="BF6" i="30"/>
  <c r="BE6" i="30"/>
  <c r="BI6" i="30" s="1"/>
  <c r="BH5" i="30"/>
  <c r="BG5" i="30"/>
  <c r="BF5" i="30"/>
  <c r="BE5" i="30"/>
  <c r="BH4" i="30"/>
  <c r="BG4" i="30"/>
  <c r="BF4" i="30"/>
  <c r="BE4" i="30"/>
  <c r="BH3" i="30"/>
  <c r="BG3" i="30"/>
  <c r="BF3" i="30"/>
  <c r="BE3" i="30"/>
  <c r="BH47" i="29"/>
  <c r="BG47" i="29"/>
  <c r="BF47" i="29"/>
  <c r="BE47" i="29"/>
  <c r="BH46" i="29"/>
  <c r="BG46" i="29"/>
  <c r="BF46" i="29"/>
  <c r="BE46" i="29"/>
  <c r="BH45" i="29"/>
  <c r="BG45" i="29"/>
  <c r="BF45" i="29"/>
  <c r="BE45" i="29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H32" i="29"/>
  <c r="BG32" i="29"/>
  <c r="BF32" i="29"/>
  <c r="BE32" i="29"/>
  <c r="BI32" i="29" s="1"/>
  <c r="BH31" i="29"/>
  <c r="BG31" i="29"/>
  <c r="BF31" i="29"/>
  <c r="BE31" i="29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H21" i="29"/>
  <c r="BG21" i="29"/>
  <c r="BF21" i="29"/>
  <c r="BE21" i="29"/>
  <c r="BH20" i="29"/>
  <c r="BG20" i="29"/>
  <c r="BF20" i="29"/>
  <c r="BE20" i="29"/>
  <c r="BH19" i="29"/>
  <c r="BG19" i="29"/>
  <c r="BF19" i="29"/>
  <c r="BE19" i="29"/>
  <c r="BH18" i="29"/>
  <c r="BG18" i="29"/>
  <c r="BF18" i="29"/>
  <c r="BE18" i="29"/>
  <c r="BI18" i="29" s="1"/>
  <c r="BH17" i="29"/>
  <c r="BG17" i="29"/>
  <c r="BF17" i="29"/>
  <c r="BE17" i="29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H13" i="29"/>
  <c r="BG13" i="29"/>
  <c r="BF13" i="29"/>
  <c r="BE13" i="29"/>
  <c r="BH12" i="29"/>
  <c r="BG12" i="29"/>
  <c r="BF12" i="29"/>
  <c r="BE12" i="29"/>
  <c r="BH11" i="29"/>
  <c r="BG11" i="29"/>
  <c r="BF11" i="29"/>
  <c r="BE11" i="29"/>
  <c r="BH10" i="29"/>
  <c r="BG10" i="29"/>
  <c r="BF10" i="29"/>
  <c r="BE10" i="29"/>
  <c r="BH9" i="29"/>
  <c r="BG9" i="29"/>
  <c r="BF9" i="29"/>
  <c r="BE9" i="29"/>
  <c r="BI9" i="29" s="1"/>
  <c r="BH8" i="29"/>
  <c r="BG8" i="29"/>
  <c r="BF8" i="29"/>
  <c r="BE8" i="29"/>
  <c r="BI8" i="29" s="1"/>
  <c r="BH7" i="29"/>
  <c r="BG7" i="29"/>
  <c r="BF7" i="29"/>
  <c r="BE7" i="29"/>
  <c r="BI7" i="29" s="1"/>
  <c r="BH6" i="29"/>
  <c r="BG6" i="29"/>
  <c r="BF6" i="29"/>
  <c r="BE6" i="29"/>
  <c r="BI6" i="29" s="1"/>
  <c r="BH5" i="29"/>
  <c r="BG5" i="29"/>
  <c r="BF5" i="29"/>
  <c r="BE5" i="29"/>
  <c r="BH4" i="29"/>
  <c r="BG4" i="29"/>
  <c r="BF4" i="29"/>
  <c r="BE4" i="29"/>
  <c r="BI4" i="29" s="1"/>
  <c r="BH3" i="29"/>
  <c r="BG3" i="29"/>
  <c r="BF3" i="29"/>
  <c r="BE3" i="29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H42" i="28"/>
  <c r="BG42" i="28"/>
  <c r="BF42" i="28"/>
  <c r="BE42" i="28"/>
  <c r="BI42" i="28" s="1"/>
  <c r="BH41" i="28"/>
  <c r="BG41" i="28"/>
  <c r="BF41" i="28"/>
  <c r="BE41" i="28"/>
  <c r="BH40" i="28"/>
  <c r="BG40" i="28"/>
  <c r="BF40" i="28"/>
  <c r="BE40" i="28"/>
  <c r="BH39" i="28"/>
  <c r="BG39" i="28"/>
  <c r="BF39" i="28"/>
  <c r="BE39" i="28"/>
  <c r="BH38" i="28"/>
  <c r="BG38" i="28"/>
  <c r="BF38" i="28"/>
  <c r="BE38" i="28"/>
  <c r="BH37" i="28"/>
  <c r="BG37" i="28"/>
  <c r="BF37" i="28"/>
  <c r="BE37" i="28"/>
  <c r="BI37" i="28" s="1"/>
  <c r="BH36" i="28"/>
  <c r="BG36" i="28"/>
  <c r="BF36" i="28"/>
  <c r="BE36" i="28"/>
  <c r="BH35" i="28"/>
  <c r="BG35" i="28"/>
  <c r="BF35" i="28"/>
  <c r="BE35" i="28"/>
  <c r="BH34" i="28"/>
  <c r="BG34" i="28"/>
  <c r="BF34" i="28"/>
  <c r="BE34" i="28"/>
  <c r="BH33" i="28"/>
  <c r="BG33" i="28"/>
  <c r="BF33" i="28"/>
  <c r="BE33" i="28"/>
  <c r="BH32" i="28"/>
  <c r="BG32" i="28"/>
  <c r="BF32" i="28"/>
  <c r="BE32" i="28"/>
  <c r="BI32" i="28" s="1"/>
  <c r="BH31" i="28"/>
  <c r="BG31" i="28"/>
  <c r="BF31" i="28"/>
  <c r="BE31" i="28"/>
  <c r="BH30" i="28"/>
  <c r="BG30" i="28"/>
  <c r="BF30" i="28"/>
  <c r="BE30" i="28"/>
  <c r="BH29" i="28"/>
  <c r="BG29" i="28"/>
  <c r="BF29" i="28"/>
  <c r="BE29" i="28"/>
  <c r="BI29" i="28" s="1"/>
  <c r="BH28" i="28"/>
  <c r="BG28" i="28"/>
  <c r="BF28" i="28"/>
  <c r="BE28" i="28"/>
  <c r="BH27" i="28"/>
  <c r="BG27" i="28"/>
  <c r="BF27" i="28"/>
  <c r="BE27" i="28"/>
  <c r="BH26" i="28"/>
  <c r="BG26" i="28"/>
  <c r="BF26" i="28"/>
  <c r="BE26" i="28"/>
  <c r="BH25" i="28"/>
  <c r="BG25" i="28"/>
  <c r="BF25" i="28"/>
  <c r="BE25" i="28"/>
  <c r="BH24" i="28"/>
  <c r="BG24" i="28"/>
  <c r="BF24" i="28"/>
  <c r="BE24" i="28"/>
  <c r="BH23" i="28"/>
  <c r="BG23" i="28"/>
  <c r="BF23" i="28"/>
  <c r="BE23" i="28"/>
  <c r="BH22" i="28"/>
  <c r="BG22" i="28"/>
  <c r="BF22" i="28"/>
  <c r="BE22" i="28"/>
  <c r="BH21" i="28"/>
  <c r="BG21" i="28"/>
  <c r="BF21" i="28"/>
  <c r="BE21" i="28"/>
  <c r="BH20" i="28"/>
  <c r="BG20" i="28"/>
  <c r="BF20" i="28"/>
  <c r="BE20" i="28"/>
  <c r="BH19" i="28"/>
  <c r="BG19" i="28"/>
  <c r="BF19" i="28"/>
  <c r="BE19" i="28"/>
  <c r="BH18" i="28"/>
  <c r="BG18" i="28"/>
  <c r="BF18" i="28"/>
  <c r="BE18" i="28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10" i="28"/>
  <c r="BG10" i="28"/>
  <c r="BF10" i="28"/>
  <c r="BE10" i="28"/>
  <c r="BI10" i="28" s="1"/>
  <c r="BH9" i="28"/>
  <c r="BG9" i="28"/>
  <c r="BF9" i="28"/>
  <c r="BE9" i="28"/>
  <c r="BI9" i="28" s="1"/>
  <c r="BH8" i="28"/>
  <c r="BG8" i="28"/>
  <c r="BF8" i="28"/>
  <c r="BE8" i="28"/>
  <c r="BI8" i="28" s="1"/>
  <c r="BH7" i="28"/>
  <c r="BG7" i="28"/>
  <c r="BF7" i="28"/>
  <c r="BE7" i="28"/>
  <c r="BH6" i="28"/>
  <c r="BG6" i="28"/>
  <c r="BF6" i="28"/>
  <c r="BE6" i="28"/>
  <c r="BI6" i="28" s="1"/>
  <c r="BH5" i="28"/>
  <c r="BG5" i="28"/>
  <c r="BF5" i="28"/>
  <c r="BE5" i="28"/>
  <c r="BH4" i="28"/>
  <c r="BG4" i="28"/>
  <c r="BF4" i="28"/>
  <c r="BE4" i="28"/>
  <c r="BI4" i="28" s="1"/>
  <c r="BH3" i="28"/>
  <c r="BG3" i="28"/>
  <c r="BF3" i="28"/>
  <c r="BE3" i="28"/>
  <c r="BH47" i="27"/>
  <c r="BG47" i="27"/>
  <c r="BF47" i="27"/>
  <c r="BE47" i="27"/>
  <c r="BH46" i="27"/>
  <c r="BG46" i="27"/>
  <c r="BF46" i="27"/>
  <c r="BE46" i="27"/>
  <c r="BI46" i="27" s="1"/>
  <c r="BH45" i="27"/>
  <c r="BG45" i="27"/>
  <c r="BF45" i="27"/>
  <c r="BE45" i="27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H37" i="27"/>
  <c r="BG37" i="27"/>
  <c r="BF37" i="27"/>
  <c r="BE37" i="27"/>
  <c r="BH36" i="27"/>
  <c r="BG36" i="27"/>
  <c r="BF36" i="27"/>
  <c r="BE36" i="27"/>
  <c r="BH35" i="27"/>
  <c r="BG35" i="27"/>
  <c r="BF35" i="27"/>
  <c r="BE35" i="27"/>
  <c r="BI35" i="27" s="1"/>
  <c r="BH34" i="27"/>
  <c r="BG34" i="27"/>
  <c r="BF34" i="27"/>
  <c r="BE34" i="27"/>
  <c r="BH33" i="27"/>
  <c r="BG33" i="27"/>
  <c r="BF33" i="27"/>
  <c r="BE33" i="27"/>
  <c r="BH32" i="27"/>
  <c r="BG32" i="27"/>
  <c r="BF32" i="27"/>
  <c r="BE32" i="27"/>
  <c r="BH31" i="27"/>
  <c r="BG31" i="27"/>
  <c r="BF31" i="27"/>
  <c r="BE31" i="27"/>
  <c r="BH30" i="27"/>
  <c r="BG30" i="27"/>
  <c r="BF30" i="27"/>
  <c r="BE30" i="27"/>
  <c r="BH29" i="27"/>
  <c r="BG29" i="27"/>
  <c r="BF29" i="27"/>
  <c r="BE29" i="27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H24" i="27"/>
  <c r="BG24" i="27"/>
  <c r="BF24" i="27"/>
  <c r="BE24" i="27"/>
  <c r="BI24" i="27" s="1"/>
  <c r="BH23" i="27"/>
  <c r="BG23" i="27"/>
  <c r="BF23" i="27"/>
  <c r="BE23" i="27"/>
  <c r="BH22" i="27"/>
  <c r="BG22" i="27"/>
  <c r="BF22" i="27"/>
  <c r="BE22" i="27"/>
  <c r="BH21" i="27"/>
  <c r="BG21" i="27"/>
  <c r="BF21" i="27"/>
  <c r="BE21" i="27"/>
  <c r="BI21" i="27" s="1"/>
  <c r="BH20" i="27"/>
  <c r="BG20" i="27"/>
  <c r="BF20" i="27"/>
  <c r="BE20" i="27"/>
  <c r="BH19" i="27"/>
  <c r="BG19" i="27"/>
  <c r="BF19" i="27"/>
  <c r="BE19" i="27"/>
  <c r="BH18" i="27"/>
  <c r="BG18" i="27"/>
  <c r="BF18" i="27"/>
  <c r="BE18" i="27"/>
  <c r="BH17" i="27"/>
  <c r="BG17" i="27"/>
  <c r="BF17" i="27"/>
  <c r="BE17" i="27"/>
  <c r="BH16" i="27"/>
  <c r="BG16" i="27"/>
  <c r="BF16" i="27"/>
  <c r="BE16" i="27"/>
  <c r="BI16" i="27" s="1"/>
  <c r="BH15" i="27"/>
  <c r="BG15" i="27"/>
  <c r="BF15" i="27"/>
  <c r="BE15" i="27"/>
  <c r="BH14" i="27"/>
  <c r="BG14" i="27"/>
  <c r="BF14" i="27"/>
  <c r="BE14" i="27"/>
  <c r="BH13" i="27"/>
  <c r="BG13" i="27"/>
  <c r="BF13" i="27"/>
  <c r="BE13" i="27"/>
  <c r="BI13" i="27" s="1"/>
  <c r="BH12" i="27"/>
  <c r="BG12" i="27"/>
  <c r="BF12" i="27"/>
  <c r="BE12" i="27"/>
  <c r="BH11" i="27"/>
  <c r="BG11" i="27"/>
  <c r="BF11" i="27"/>
  <c r="BE11" i="27"/>
  <c r="BH10" i="27"/>
  <c r="BG10" i="27"/>
  <c r="BF10" i="27"/>
  <c r="BE10" i="27"/>
  <c r="BH9" i="27"/>
  <c r="BG9" i="27"/>
  <c r="BF9" i="27"/>
  <c r="BE9" i="27"/>
  <c r="BH8" i="27"/>
  <c r="BG8" i="27"/>
  <c r="BF8" i="27"/>
  <c r="BE8" i="27"/>
  <c r="BH7" i="27"/>
  <c r="BG7" i="27"/>
  <c r="BF7" i="27"/>
  <c r="BE7" i="27"/>
  <c r="BH6" i="27"/>
  <c r="BG6" i="27"/>
  <c r="BF6" i="27"/>
  <c r="BE6" i="27"/>
  <c r="BH5" i="27"/>
  <c r="BG5" i="27"/>
  <c r="BF5" i="27"/>
  <c r="BE5" i="27"/>
  <c r="BH4" i="27"/>
  <c r="BG4" i="27"/>
  <c r="BF4" i="27"/>
  <c r="BE4" i="27"/>
  <c r="BH3" i="27"/>
  <c r="BG3" i="27"/>
  <c r="BF3" i="27"/>
  <c r="BE3" i="27"/>
  <c r="BI3" i="27" s="1"/>
  <c r="BH47" i="26"/>
  <c r="BG47" i="26"/>
  <c r="BF47" i="26"/>
  <c r="BE47" i="26"/>
  <c r="BH46" i="26"/>
  <c r="BG46" i="26"/>
  <c r="BF46" i="26"/>
  <c r="BE46" i="26"/>
  <c r="BH45" i="26"/>
  <c r="BG45" i="26"/>
  <c r="BF45" i="26"/>
  <c r="BE45" i="26"/>
  <c r="BH44" i="26"/>
  <c r="BG44" i="26"/>
  <c r="BF44" i="26"/>
  <c r="BE44" i="26"/>
  <c r="BI44" i="26" s="1"/>
  <c r="BH43" i="26"/>
  <c r="BG43" i="26"/>
  <c r="BF43" i="26"/>
  <c r="BE43" i="26"/>
  <c r="BH42" i="26"/>
  <c r="BG42" i="26"/>
  <c r="BF42" i="26"/>
  <c r="BE42" i="26"/>
  <c r="BH41" i="26"/>
  <c r="BG41" i="26"/>
  <c r="BF41" i="26"/>
  <c r="BE41" i="26"/>
  <c r="BH40" i="26"/>
  <c r="BG40" i="26"/>
  <c r="BF40" i="26"/>
  <c r="BE40" i="26"/>
  <c r="BH39" i="26"/>
  <c r="BG39" i="26"/>
  <c r="BF39" i="26"/>
  <c r="BE39" i="26"/>
  <c r="BI39" i="26" s="1"/>
  <c r="BH38" i="26"/>
  <c r="BG38" i="26"/>
  <c r="BF38" i="26"/>
  <c r="BE38" i="26"/>
  <c r="BH37" i="26"/>
  <c r="BG37" i="26"/>
  <c r="BF37" i="26"/>
  <c r="BE37" i="26"/>
  <c r="BI37" i="26" s="1"/>
  <c r="BH36" i="26"/>
  <c r="BG36" i="26"/>
  <c r="BF36" i="26"/>
  <c r="BE36" i="26"/>
  <c r="BH35" i="26"/>
  <c r="BG35" i="26"/>
  <c r="BF35" i="26"/>
  <c r="BE35" i="26"/>
  <c r="BI35" i="26" s="1"/>
  <c r="BH34" i="26"/>
  <c r="BG34" i="26"/>
  <c r="BF34" i="26"/>
  <c r="BE34" i="26"/>
  <c r="BH33" i="26"/>
  <c r="BG33" i="26"/>
  <c r="BF33" i="26"/>
  <c r="BE33" i="26"/>
  <c r="BI33" i="26" s="1"/>
  <c r="BH32" i="26"/>
  <c r="BG32" i="26"/>
  <c r="BF32" i="26"/>
  <c r="BE32" i="26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H25" i="26"/>
  <c r="BG25" i="26"/>
  <c r="BF25" i="26"/>
  <c r="BE25" i="26"/>
  <c r="BI25" i="26" s="1"/>
  <c r="BH24" i="26"/>
  <c r="BG24" i="26"/>
  <c r="BF24" i="26"/>
  <c r="BE24" i="26"/>
  <c r="BH23" i="26"/>
  <c r="BG23" i="26"/>
  <c r="BF23" i="26"/>
  <c r="BE23" i="26"/>
  <c r="BH22" i="26"/>
  <c r="BG22" i="26"/>
  <c r="BF22" i="26"/>
  <c r="BE22" i="26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H18" i="26"/>
  <c r="BG18" i="26"/>
  <c r="BF18" i="26"/>
  <c r="BE18" i="26"/>
  <c r="BI18" i="26" s="1"/>
  <c r="BH17" i="26"/>
  <c r="BG17" i="26"/>
  <c r="BF17" i="26"/>
  <c r="BE17" i="26"/>
  <c r="BH16" i="26"/>
  <c r="BG16" i="26"/>
  <c r="BF16" i="26"/>
  <c r="BE16" i="26"/>
  <c r="BH15" i="26"/>
  <c r="BG15" i="26"/>
  <c r="BF15" i="26"/>
  <c r="BE15" i="26"/>
  <c r="BI15" i="26" s="1"/>
  <c r="BH14" i="26"/>
  <c r="BG14" i="26"/>
  <c r="BF14" i="26"/>
  <c r="BE14" i="26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H10" i="26"/>
  <c r="BG10" i="26"/>
  <c r="BF10" i="26"/>
  <c r="BE10" i="26"/>
  <c r="BI10" i="26" s="1"/>
  <c r="BH9" i="26"/>
  <c r="BG9" i="26"/>
  <c r="BF9" i="26"/>
  <c r="BE9" i="26"/>
  <c r="BI9" i="26" s="1"/>
  <c r="BH8" i="26"/>
  <c r="BG8" i="26"/>
  <c r="BF8" i="26"/>
  <c r="BE8" i="26"/>
  <c r="BI8" i="26" s="1"/>
  <c r="BH7" i="26"/>
  <c r="BG7" i="26"/>
  <c r="BF7" i="26"/>
  <c r="BE7" i="26"/>
  <c r="BI7" i="26" s="1"/>
  <c r="BH6" i="26"/>
  <c r="BG6" i="26"/>
  <c r="BF6" i="26"/>
  <c r="BE6" i="26"/>
  <c r="BH5" i="26"/>
  <c r="BG5" i="26"/>
  <c r="BF5" i="26"/>
  <c r="BE5" i="26"/>
  <c r="BH4" i="26"/>
  <c r="BG4" i="26"/>
  <c r="BF4" i="26"/>
  <c r="BE4" i="26"/>
  <c r="BI4" i="26" s="1"/>
  <c r="BH3" i="26"/>
  <c r="BG3" i="26"/>
  <c r="BF3" i="26"/>
  <c r="BE3" i="26"/>
  <c r="BH47" i="19"/>
  <c r="BG47" i="19"/>
  <c r="BF47" i="19"/>
  <c r="BE47" i="19"/>
  <c r="BH46" i="19"/>
  <c r="BG46" i="19"/>
  <c r="BF46" i="19"/>
  <c r="BE46" i="19"/>
  <c r="BH45" i="19"/>
  <c r="BG45" i="19"/>
  <c r="BF45" i="19"/>
  <c r="BE45" i="19"/>
  <c r="BH44" i="19"/>
  <c r="BG44" i="19"/>
  <c r="BF44" i="19"/>
  <c r="BE44" i="19"/>
  <c r="BH43" i="19"/>
  <c r="BG43" i="19"/>
  <c r="BF43" i="19"/>
  <c r="BE43" i="19"/>
  <c r="BH42" i="19"/>
  <c r="BG42" i="19"/>
  <c r="BF42" i="19"/>
  <c r="BE42" i="19"/>
  <c r="BH41" i="19"/>
  <c r="BG41" i="19"/>
  <c r="BF41" i="19"/>
  <c r="BE41" i="19"/>
  <c r="BI41" i="19" s="1"/>
  <c r="BH40" i="19"/>
  <c r="BG40" i="19"/>
  <c r="BF40" i="19"/>
  <c r="BE40" i="19"/>
  <c r="BH39" i="19"/>
  <c r="BG39" i="19"/>
  <c r="BF39" i="19"/>
  <c r="BE39" i="19"/>
  <c r="BH38" i="19"/>
  <c r="BG38" i="19"/>
  <c r="BF38" i="19"/>
  <c r="BE38" i="19"/>
  <c r="BH37" i="19"/>
  <c r="BG37" i="19"/>
  <c r="BF37" i="19"/>
  <c r="BE37" i="19"/>
  <c r="BI37" i="19" s="1"/>
  <c r="BH36" i="19"/>
  <c r="BG36" i="19"/>
  <c r="BF36" i="19"/>
  <c r="BE36" i="19"/>
  <c r="BH35" i="19"/>
  <c r="BG35" i="19"/>
  <c r="BF35" i="19"/>
  <c r="BE35" i="19"/>
  <c r="BH34" i="19"/>
  <c r="BG34" i="19"/>
  <c r="BF34" i="19"/>
  <c r="BE34" i="19"/>
  <c r="BI34" i="19" s="1"/>
  <c r="BH33" i="19"/>
  <c r="BG33" i="19"/>
  <c r="BF33" i="19"/>
  <c r="BE33" i="19"/>
  <c r="BH32" i="19"/>
  <c r="BG32" i="19"/>
  <c r="BF32" i="19"/>
  <c r="BE32" i="19"/>
  <c r="BH31" i="19"/>
  <c r="BG31" i="19"/>
  <c r="BF31" i="19"/>
  <c r="BE31" i="19"/>
  <c r="BH30" i="19"/>
  <c r="BG30" i="19"/>
  <c r="BF30" i="19"/>
  <c r="BE30" i="19"/>
  <c r="BH29" i="19"/>
  <c r="BG29" i="19"/>
  <c r="BF29" i="19"/>
  <c r="BE29" i="19"/>
  <c r="BI29" i="19" s="1"/>
  <c r="BH28" i="19"/>
  <c r="BG28" i="19"/>
  <c r="BF28" i="19"/>
  <c r="BE28" i="19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H24" i="19"/>
  <c r="BG24" i="19"/>
  <c r="BF24" i="19"/>
  <c r="BE24" i="19"/>
  <c r="BH23" i="19"/>
  <c r="BG23" i="19"/>
  <c r="BF23" i="19"/>
  <c r="BE23" i="19"/>
  <c r="BI23" i="19" s="1"/>
  <c r="BH22" i="19"/>
  <c r="BG22" i="19"/>
  <c r="BF22" i="19"/>
  <c r="BE22" i="19"/>
  <c r="BH21" i="19"/>
  <c r="BG21" i="19"/>
  <c r="BF21" i="19"/>
  <c r="BE21" i="19"/>
  <c r="BH20" i="19"/>
  <c r="BG20" i="19"/>
  <c r="BF20" i="19"/>
  <c r="BE20" i="19"/>
  <c r="BH19" i="19"/>
  <c r="BG19" i="19"/>
  <c r="BF19" i="19"/>
  <c r="BE19" i="19"/>
  <c r="BI19" i="19" s="1"/>
  <c r="BH18" i="19"/>
  <c r="BG18" i="19"/>
  <c r="BF18" i="19"/>
  <c r="BE18" i="19"/>
  <c r="BH17" i="19"/>
  <c r="BG17" i="19"/>
  <c r="BF17" i="19"/>
  <c r="BE17" i="19"/>
  <c r="BH16" i="19"/>
  <c r="BG16" i="19"/>
  <c r="BF16" i="19"/>
  <c r="BE16" i="19"/>
  <c r="BH15" i="19"/>
  <c r="BG15" i="19"/>
  <c r="BF15" i="19"/>
  <c r="BE15" i="19"/>
  <c r="BH14" i="19"/>
  <c r="BG14" i="19"/>
  <c r="BF14" i="19"/>
  <c r="BE14" i="19"/>
  <c r="BH13" i="19"/>
  <c r="BG13" i="19"/>
  <c r="BF13" i="19"/>
  <c r="BE13" i="19"/>
  <c r="BH12" i="19"/>
  <c r="BG12" i="19"/>
  <c r="BF12" i="19"/>
  <c r="BE12" i="19"/>
  <c r="BH11" i="19"/>
  <c r="BG11" i="19"/>
  <c r="BF11" i="19"/>
  <c r="BE11" i="19"/>
  <c r="BI11" i="19" s="1"/>
  <c r="BH10" i="19"/>
  <c r="BG10" i="19"/>
  <c r="BF10" i="19"/>
  <c r="BE10" i="19"/>
  <c r="BI10" i="19" s="1"/>
  <c r="BH9" i="19"/>
  <c r="BG9" i="19"/>
  <c r="BF9" i="19"/>
  <c r="BE9" i="19"/>
  <c r="BI9" i="19" s="1"/>
  <c r="BH8" i="19"/>
  <c r="BG8" i="19"/>
  <c r="BF8" i="19"/>
  <c r="BE8" i="19"/>
  <c r="BH7" i="19"/>
  <c r="BG7" i="19"/>
  <c r="BF7" i="19"/>
  <c r="BE7" i="19"/>
  <c r="BH6" i="19"/>
  <c r="BG6" i="19"/>
  <c r="BF6" i="19"/>
  <c r="BE6" i="19"/>
  <c r="BI6" i="19" s="1"/>
  <c r="BH5" i="19"/>
  <c r="BG5" i="19"/>
  <c r="BF5" i="19"/>
  <c r="BE5" i="19"/>
  <c r="BI5" i="19" s="1"/>
  <c r="BH4" i="19"/>
  <c r="BG4" i="19"/>
  <c r="BF4" i="19"/>
  <c r="BE4" i="19"/>
  <c r="BH3" i="19"/>
  <c r="BG3" i="19"/>
  <c r="BF3" i="19"/>
  <c r="BE3" i="19"/>
  <c r="AN42" i="29"/>
  <c r="AM42" i="29"/>
  <c r="AL42" i="29"/>
  <c r="AN41" i="29"/>
  <c r="AM41" i="29"/>
  <c r="AL41" i="29"/>
  <c r="AK41" i="29"/>
  <c r="AN40" i="29"/>
  <c r="AM40" i="29"/>
  <c r="AL40" i="29"/>
  <c r="AK40" i="29"/>
  <c r="AN39" i="29"/>
  <c r="AM39" i="29"/>
  <c r="AL39" i="29"/>
  <c r="AN38" i="29"/>
  <c r="AM38" i="29"/>
  <c r="AL38" i="29"/>
  <c r="AK38" i="29"/>
  <c r="AK3" i="32"/>
  <c r="AL3" i="32"/>
  <c r="AM3" i="32"/>
  <c r="AN3" i="32"/>
  <c r="AT3" i="32"/>
  <c r="AU3" i="32"/>
  <c r="AV3" i="32" s="1"/>
  <c r="AX3" i="32"/>
  <c r="AY3" i="32"/>
  <c r="AK4" i="32"/>
  <c r="AL4" i="32"/>
  <c r="AM4" i="32"/>
  <c r="AN4" i="32"/>
  <c r="AT4" i="32"/>
  <c r="AX4" i="32"/>
  <c r="AY4" i="32"/>
  <c r="AK5" i="32"/>
  <c r="AL5" i="32"/>
  <c r="AM5" i="32"/>
  <c r="AN5" i="32"/>
  <c r="AT5" i="32"/>
  <c r="AU5" i="32"/>
  <c r="AX5" i="32"/>
  <c r="AY5" i="32"/>
  <c r="AK6" i="32"/>
  <c r="AL6" i="32"/>
  <c r="AM6" i="32"/>
  <c r="AN6" i="32"/>
  <c r="AT6" i="32"/>
  <c r="AX6" i="32"/>
  <c r="AK7" i="32"/>
  <c r="AL7" i="32"/>
  <c r="AM7" i="32"/>
  <c r="AN7" i="32"/>
  <c r="AT7" i="32"/>
  <c r="AU7" i="32"/>
  <c r="AV7" i="32" s="1"/>
  <c r="AX7" i="32"/>
  <c r="AY7" i="32"/>
  <c r="AK8" i="32"/>
  <c r="AL8" i="32"/>
  <c r="AM8" i="32"/>
  <c r="AN8" i="32"/>
  <c r="AT8" i="32"/>
  <c r="AX8" i="32"/>
  <c r="AY8" i="32"/>
  <c r="AK9" i="32"/>
  <c r="AL9" i="32"/>
  <c r="AM9" i="32"/>
  <c r="AN9" i="32"/>
  <c r="AT9" i="32"/>
  <c r="AU9" i="32"/>
  <c r="AX9" i="32"/>
  <c r="AY9" i="32"/>
  <c r="AK10" i="32"/>
  <c r="AL10" i="32"/>
  <c r="AM10" i="32"/>
  <c r="AN10" i="32"/>
  <c r="AT10" i="32"/>
  <c r="AX10" i="32"/>
  <c r="AY10" i="32"/>
  <c r="AK11" i="32"/>
  <c r="AL11" i="32"/>
  <c r="AM11" i="32"/>
  <c r="AN11" i="32"/>
  <c r="AT11" i="32"/>
  <c r="AU11" i="32"/>
  <c r="AX11" i="32"/>
  <c r="AY11" i="32"/>
  <c r="AK12" i="32"/>
  <c r="AL12" i="32"/>
  <c r="AM12" i="32"/>
  <c r="AN12" i="32"/>
  <c r="AT12" i="32"/>
  <c r="AU12" i="32"/>
  <c r="AX12" i="32"/>
  <c r="AY12" i="32"/>
  <c r="AK13" i="32"/>
  <c r="AL13" i="32"/>
  <c r="AM13" i="32"/>
  <c r="AN13" i="32"/>
  <c r="AT13" i="32"/>
  <c r="AU13" i="32"/>
  <c r="AX13" i="32"/>
  <c r="AY13" i="32"/>
  <c r="AK14" i="32"/>
  <c r="AL14" i="32"/>
  <c r="AM14" i="32"/>
  <c r="AN14" i="32"/>
  <c r="AT14" i="32"/>
  <c r="AU14" i="32"/>
  <c r="AX14" i="32"/>
  <c r="AY14" i="32"/>
  <c r="AK15" i="32"/>
  <c r="AL15" i="32"/>
  <c r="AM15" i="32"/>
  <c r="AN15" i="32"/>
  <c r="AT15" i="32"/>
  <c r="AU15" i="32"/>
  <c r="AX15" i="32"/>
  <c r="AY15" i="32"/>
  <c r="AK16" i="32"/>
  <c r="AL16" i="32"/>
  <c r="AM16" i="32"/>
  <c r="AN16" i="32"/>
  <c r="AT16" i="32"/>
  <c r="AU16" i="32"/>
  <c r="AX16" i="32"/>
  <c r="AY16" i="32"/>
  <c r="AK17" i="32"/>
  <c r="AL17" i="32"/>
  <c r="AM17" i="32"/>
  <c r="AN17" i="32"/>
  <c r="AT17" i="32"/>
  <c r="AX17" i="32"/>
  <c r="AY17" i="32"/>
  <c r="AK18" i="32"/>
  <c r="AL18" i="32"/>
  <c r="AM18" i="32"/>
  <c r="AN18" i="32"/>
  <c r="AT18" i="32"/>
  <c r="AU18" i="32"/>
  <c r="AX18" i="32"/>
  <c r="AY18" i="32"/>
  <c r="AK19" i="32"/>
  <c r="AL19" i="32"/>
  <c r="AM19" i="32"/>
  <c r="AN19" i="32"/>
  <c r="AT19" i="32"/>
  <c r="AU19" i="32"/>
  <c r="AV19" i="32" s="1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V22" i="32" s="1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X24" i="32"/>
  <c r="AY24" i="32"/>
  <c r="AK25" i="32"/>
  <c r="AL25" i="32"/>
  <c r="AM25" i="32"/>
  <c r="AN25" i="32"/>
  <c r="AT25" i="32"/>
  <c r="AU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X27" i="32"/>
  <c r="AK28" i="32"/>
  <c r="AL28" i="32"/>
  <c r="AM28" i="32"/>
  <c r="AN28" i="32"/>
  <c r="AT28" i="32"/>
  <c r="AU28" i="32"/>
  <c r="AX28" i="32"/>
  <c r="AY28" i="32"/>
  <c r="AK29" i="32"/>
  <c r="AL29" i="32"/>
  <c r="AM29" i="32"/>
  <c r="AN29" i="32"/>
  <c r="AT29" i="32"/>
  <c r="AU29" i="32"/>
  <c r="AX29" i="32"/>
  <c r="AY29" i="32"/>
  <c r="AK30" i="32"/>
  <c r="AL30" i="32"/>
  <c r="AM30" i="32"/>
  <c r="AN30" i="32"/>
  <c r="AT30" i="32"/>
  <c r="AU30" i="32"/>
  <c r="AX30" i="32"/>
  <c r="AY30" i="32"/>
  <c r="AK31" i="32"/>
  <c r="AL31" i="32"/>
  <c r="AM31" i="32"/>
  <c r="AN31" i="32"/>
  <c r="AT31" i="32"/>
  <c r="AX31" i="32"/>
  <c r="AY31" i="32"/>
  <c r="AK32" i="32"/>
  <c r="AL32" i="32"/>
  <c r="AM32" i="32"/>
  <c r="AN32" i="32"/>
  <c r="AT32" i="32"/>
  <c r="AU32" i="32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U35" i="32"/>
  <c r="AX35" i="32"/>
  <c r="AY35" i="32"/>
  <c r="BI33" i="28" l="1"/>
  <c r="BI28" i="19"/>
  <c r="BI27" i="28"/>
  <c r="BI15" i="27"/>
  <c r="BI18" i="27"/>
  <c r="BI19" i="27"/>
  <c r="BI5" i="30"/>
  <c r="BI18" i="19"/>
  <c r="BI36" i="28"/>
  <c r="BI4" i="27"/>
  <c r="BI14" i="27"/>
  <c r="BI43" i="28"/>
  <c r="AO13" i="19"/>
  <c r="BI39" i="32"/>
  <c r="BI46" i="32"/>
  <c r="BI5" i="28"/>
  <c r="BI5" i="27"/>
  <c r="BI39" i="28"/>
  <c r="BI16" i="19"/>
  <c r="BI22" i="27"/>
  <c r="BI38" i="28"/>
  <c r="BI47" i="29"/>
  <c r="BI11" i="26"/>
  <c r="BI45" i="27"/>
  <c r="BI45" i="26"/>
  <c r="BI31" i="28"/>
  <c r="BI17" i="27"/>
  <c r="BI5" i="29"/>
  <c r="BI38" i="27"/>
  <c r="BI35" i="28"/>
  <c r="BI7" i="28"/>
  <c r="BI38" i="26"/>
  <c r="BI20" i="19"/>
  <c r="BI30" i="27"/>
  <c r="BI12" i="19"/>
  <c r="BI26" i="28"/>
  <c r="BI19" i="28"/>
  <c r="BI33" i="19"/>
  <c r="BI31" i="29"/>
  <c r="BI35" i="31"/>
  <c r="BI28" i="28"/>
  <c r="BI28" i="31"/>
  <c r="BI47" i="31"/>
  <c r="BI14" i="26"/>
  <c r="BI20" i="28"/>
  <c r="BI34" i="31"/>
  <c r="BI21" i="29"/>
  <c r="BI20" i="29"/>
  <c r="BI17" i="19"/>
  <c r="BI10" i="29"/>
  <c r="BI23" i="31"/>
  <c r="BI45" i="30"/>
  <c r="BI44" i="19"/>
  <c r="BI34" i="27"/>
  <c r="BI32" i="31"/>
  <c r="BI13" i="29"/>
  <c r="BI3" i="30"/>
  <c r="BI15" i="32"/>
  <c r="BI40" i="26"/>
  <c r="BI45" i="29"/>
  <c r="BI10" i="31"/>
  <c r="BI7" i="30"/>
  <c r="BI30" i="31"/>
  <c r="BI41" i="31"/>
  <c r="BI8" i="19"/>
  <c r="BI42" i="19"/>
  <c r="BI14" i="29"/>
  <c r="BI22" i="26"/>
  <c r="BI42" i="31"/>
  <c r="BI42" i="30"/>
  <c r="BI4" i="30"/>
  <c r="BI19" i="26"/>
  <c r="BI37" i="27"/>
  <c r="BI23" i="27"/>
  <c r="BI11" i="27"/>
  <c r="BI5" i="26"/>
  <c r="BI45" i="19"/>
  <c r="BI35" i="19"/>
  <c r="BI26" i="31"/>
  <c r="BI19" i="29"/>
  <c r="BI23" i="30"/>
  <c r="BI13" i="30"/>
  <c r="BI46" i="26"/>
  <c r="BI38" i="30"/>
  <c r="BI8" i="27"/>
  <c r="BI14" i="19"/>
  <c r="BI10" i="30"/>
  <c r="BI43" i="26"/>
  <c r="BI29" i="31"/>
  <c r="BI34" i="26"/>
  <c r="BI20" i="27"/>
  <c r="BI31" i="27"/>
  <c r="BI31" i="31"/>
  <c r="BI37" i="30"/>
  <c r="BI22" i="29"/>
  <c r="BI12" i="27"/>
  <c r="BI3" i="26"/>
  <c r="BI23" i="28"/>
  <c r="BI11" i="29"/>
  <c r="BI24" i="28"/>
  <c r="BI27" i="31"/>
  <c r="BI4" i="19"/>
  <c r="BI24" i="30"/>
  <c r="BI34" i="28"/>
  <c r="BI47" i="30"/>
  <c r="BI36" i="30"/>
  <c r="BI41" i="26"/>
  <c r="BI25" i="30"/>
  <c r="BI12" i="29"/>
  <c r="BI36" i="27"/>
  <c r="BI6" i="26"/>
  <c r="BI7" i="27"/>
  <c r="BI30" i="28"/>
  <c r="BI32" i="19"/>
  <c r="BI35" i="30"/>
  <c r="BI21" i="28"/>
  <c r="BI14" i="32"/>
  <c r="BI25" i="31"/>
  <c r="BI46" i="29"/>
  <c r="BI22" i="28"/>
  <c r="BI32" i="27"/>
  <c r="AZ22" i="32"/>
  <c r="BI7" i="19"/>
  <c r="BI43" i="19"/>
  <c r="BI30" i="30"/>
  <c r="BI23" i="26"/>
  <c r="BI9" i="27"/>
  <c r="BI21" i="19"/>
  <c r="BI39" i="30"/>
  <c r="BI47" i="27"/>
  <c r="BI18" i="31"/>
  <c r="BI14" i="31"/>
  <c r="BI26" i="30"/>
  <c r="BI41" i="28"/>
  <c r="BI42" i="26"/>
  <c r="BI18" i="30"/>
  <c r="BI17" i="29"/>
  <c r="BI37" i="29"/>
  <c r="BI25" i="19"/>
  <c r="BI33" i="29"/>
  <c r="BI3" i="29"/>
  <c r="BI18" i="28"/>
  <c r="BI47" i="26"/>
  <c r="BI40" i="28"/>
  <c r="BI25" i="28"/>
  <c r="BI14" i="28"/>
  <c r="BI3" i="28"/>
  <c r="BI33" i="27"/>
  <c r="BI29" i="27"/>
  <c r="BI6" i="27"/>
  <c r="BI10" i="27"/>
  <c r="BI25" i="27"/>
  <c r="BI36" i="26"/>
  <c r="BI22" i="19"/>
  <c r="BI3" i="19"/>
  <c r="BI26" i="26"/>
  <c r="BI16" i="26"/>
  <c r="BI40" i="19"/>
  <c r="BI32" i="26"/>
  <c r="BI17" i="26"/>
  <c r="BI31" i="19"/>
  <c r="BI13" i="19"/>
  <c r="BI30" i="19"/>
  <c r="BI24" i="26"/>
  <c r="BI47" i="19"/>
  <c r="BI38" i="19"/>
  <c r="BI39" i="19"/>
  <c r="AZ20" i="32"/>
  <c r="BI46" i="19"/>
  <c r="BI36" i="19"/>
  <c r="BI24" i="19"/>
  <c r="BI15" i="19"/>
  <c r="AO18" i="32"/>
  <c r="AV16" i="32"/>
  <c r="AZ16" i="32"/>
  <c r="AZ34" i="32"/>
  <c r="AV5" i="32"/>
  <c r="AZ5" i="32"/>
  <c r="AV24" i="32"/>
  <c r="AZ24" i="32"/>
  <c r="AO21" i="32"/>
  <c r="BB21" i="32" s="1"/>
  <c r="AV21" i="32"/>
  <c r="AZ21" i="32"/>
  <c r="AO39" i="29"/>
  <c r="AO40" i="29"/>
  <c r="AO42" i="29"/>
  <c r="AO38" i="29"/>
  <c r="AO41" i="29"/>
  <c r="AZ26" i="32"/>
  <c r="AV26" i="32"/>
  <c r="AV29" i="32"/>
  <c r="AV25" i="32"/>
  <c r="AZ25" i="32"/>
  <c r="AZ28" i="32"/>
  <c r="AZ29" i="32"/>
  <c r="AV20" i="32"/>
  <c r="AO20" i="32"/>
  <c r="AR20" i="32" s="1"/>
  <c r="AO12" i="32"/>
  <c r="AV15" i="32"/>
  <c r="AO15" i="32"/>
  <c r="AV13" i="32"/>
  <c r="AV14" i="32"/>
  <c r="AO13" i="32"/>
  <c r="AZ13" i="32"/>
  <c r="AZ14" i="32"/>
  <c r="AZ7" i="32"/>
  <c r="AV12" i="32"/>
  <c r="AZ12" i="32"/>
  <c r="AO19" i="32"/>
  <c r="AZ15" i="32"/>
  <c r="AZ19" i="32"/>
  <c r="AZ30" i="32"/>
  <c r="AO6" i="32"/>
  <c r="AR6" i="32" s="1"/>
  <c r="AO10" i="32"/>
  <c r="AR10" i="32" s="1"/>
  <c r="AU10" i="32" s="1"/>
  <c r="AO14" i="32"/>
  <c r="AO4" i="32"/>
  <c r="AR4" i="32" s="1"/>
  <c r="AU4" i="32" s="1"/>
  <c r="BB4" i="32" s="1"/>
  <c r="AO5" i="32"/>
  <c r="AZ9" i="32"/>
  <c r="AZ3" i="32"/>
  <c r="AO9" i="32"/>
  <c r="AV9" i="32"/>
  <c r="AO3" i="32"/>
  <c r="AO25" i="32"/>
  <c r="AZ35" i="32"/>
  <c r="AV18" i="32"/>
  <c r="AZ18" i="32"/>
  <c r="AO24" i="32"/>
  <c r="AO26" i="32"/>
  <c r="AO7" i="32"/>
  <c r="AO11" i="32"/>
  <c r="AZ11" i="32"/>
  <c r="AO30" i="32"/>
  <c r="AO33" i="32"/>
  <c r="AV33" i="32"/>
  <c r="AO8" i="32"/>
  <c r="AR8" i="32" s="1"/>
  <c r="AU8" i="32" s="1"/>
  <c r="AV11" i="32"/>
  <c r="AV32" i="32"/>
  <c r="AO17" i="32"/>
  <c r="AR17" i="32" s="1"/>
  <c r="AU17" i="32" s="1"/>
  <c r="AO27" i="32"/>
  <c r="AR27" i="32" s="1"/>
  <c r="AU27" i="32" s="1"/>
  <c r="AV30" i="32"/>
  <c r="AO16" i="32"/>
  <c r="AO23" i="32"/>
  <c r="AV23" i="32"/>
  <c r="AZ23" i="32"/>
  <c r="AO32" i="32"/>
  <c r="AZ32" i="32"/>
  <c r="AO35" i="32"/>
  <c r="AV35" i="32"/>
  <c r="AV34" i="32"/>
  <c r="AO22" i="32"/>
  <c r="AO28" i="32"/>
  <c r="AV28" i="32"/>
  <c r="AO31" i="32"/>
  <c r="AR31" i="32" s="1"/>
  <c r="AU31" i="32" s="1"/>
  <c r="AO34" i="32"/>
  <c r="AZ33" i="32"/>
  <c r="AO29" i="32"/>
  <c r="AR18" i="32" l="1"/>
  <c r="BC18" i="32"/>
  <c r="BB18" i="32"/>
  <c r="BC21" i="32"/>
  <c r="AR21" i="32"/>
  <c r="AR12" i="32"/>
  <c r="BB12" i="32"/>
  <c r="BC12" i="32"/>
  <c r="AR15" i="32"/>
  <c r="BB15" i="32"/>
  <c r="BC15" i="32"/>
  <c r="BB20" i="32"/>
  <c r="BC20" i="32"/>
  <c r="BB13" i="32"/>
  <c r="BC13" i="32"/>
  <c r="AR13" i="32"/>
  <c r="BC19" i="32"/>
  <c r="BB19" i="32"/>
  <c r="AR19" i="32"/>
  <c r="BC5" i="32"/>
  <c r="BB5" i="32"/>
  <c r="AR5" i="32"/>
  <c r="BC9" i="32"/>
  <c r="AR9" i="32"/>
  <c r="BB9" i="32"/>
  <c r="BB3" i="32"/>
  <c r="AR3" i="32"/>
  <c r="BC3" i="32"/>
  <c r="AV4" i="32"/>
  <c r="BC4" i="32"/>
  <c r="AZ4" i="32"/>
  <c r="AU6" i="32"/>
  <c r="AV10" i="32"/>
  <c r="AZ10" i="32"/>
  <c r="BB10" i="32"/>
  <c r="BC10" i="32"/>
  <c r="AR14" i="32"/>
  <c r="BB14" i="32"/>
  <c r="AZ31" i="32"/>
  <c r="BC31" i="32"/>
  <c r="BC14" i="32"/>
  <c r="BC25" i="32"/>
  <c r="BB25" i="32"/>
  <c r="AR25" i="32"/>
  <c r="BB24" i="32"/>
  <c r="BC24" i="32"/>
  <c r="AR24" i="32"/>
  <c r="BC26" i="32"/>
  <c r="BB26" i="32"/>
  <c r="AR26" i="32"/>
  <c r="BC7" i="32"/>
  <c r="BB7" i="32"/>
  <c r="AR7" i="32"/>
  <c r="BC11" i="32"/>
  <c r="BB11" i="32"/>
  <c r="AR11" i="32"/>
  <c r="BB30" i="32"/>
  <c r="AR30" i="32"/>
  <c r="BC30" i="32"/>
  <c r="BC33" i="32"/>
  <c r="BB33" i="32"/>
  <c r="AR33" i="32"/>
  <c r="BB8" i="32"/>
  <c r="BC8" i="32"/>
  <c r="AZ8" i="32"/>
  <c r="AV8" i="32"/>
  <c r="BC17" i="32"/>
  <c r="BB17" i="32"/>
  <c r="AZ17" i="32"/>
  <c r="AV17" i="32"/>
  <c r="AV27" i="32"/>
  <c r="AY27" i="32" s="1"/>
  <c r="BC16" i="32"/>
  <c r="BB16" i="32"/>
  <c r="AR16" i="32"/>
  <c r="AR23" i="32"/>
  <c r="BC23" i="32"/>
  <c r="BB23" i="32"/>
  <c r="BC32" i="32"/>
  <c r="BB32" i="32"/>
  <c r="AR32" i="32"/>
  <c r="BC35" i="32"/>
  <c r="BB35" i="32"/>
  <c r="AR35" i="32"/>
  <c r="BC22" i="32"/>
  <c r="BB22" i="32"/>
  <c r="AR22" i="32"/>
  <c r="AR28" i="32"/>
  <c r="BC28" i="32"/>
  <c r="BB28" i="32"/>
  <c r="BB31" i="32"/>
  <c r="AV31" i="32"/>
  <c r="BC34" i="32"/>
  <c r="AR34" i="32"/>
  <c r="BB34" i="32"/>
  <c r="BC29" i="32"/>
  <c r="BB29" i="32"/>
  <c r="AR29" i="32"/>
  <c r="AV6" i="32" l="1"/>
  <c r="AY6" i="32" s="1"/>
  <c r="AZ27" i="32"/>
  <c r="BB27" i="32"/>
  <c r="BC27" i="32"/>
  <c r="AX13" i="30"/>
  <c r="BC6" i="32" l="1"/>
  <c r="BB6" i="32"/>
  <c r="AZ6" i="32"/>
  <c r="AX10" i="19"/>
  <c r="AY47" i="32"/>
  <c r="AX47" i="32"/>
  <c r="AU47" i="32"/>
  <c r="AT47" i="32"/>
  <c r="AN47" i="32"/>
  <c r="AM47" i="32"/>
  <c r="AL47" i="32"/>
  <c r="AK47" i="32"/>
  <c r="AY46" i="32"/>
  <c r="AX46" i="32"/>
  <c r="AU46" i="32"/>
  <c r="AV46" i="32" s="1"/>
  <c r="AT46" i="32"/>
  <c r="AN46" i="32"/>
  <c r="AM46" i="32"/>
  <c r="AL46" i="32"/>
  <c r="AK46" i="32"/>
  <c r="AY45" i="32"/>
  <c r="AX45" i="32"/>
  <c r="AU45" i="32"/>
  <c r="AZ45" i="32" s="1"/>
  <c r="AT45" i="32"/>
  <c r="AN45" i="32"/>
  <c r="AM45" i="32"/>
  <c r="AL45" i="32"/>
  <c r="AK45" i="32"/>
  <c r="AY44" i="32"/>
  <c r="AX44" i="32"/>
  <c r="AU44" i="32"/>
  <c r="AZ44" i="32" s="1"/>
  <c r="AT44" i="32"/>
  <c r="AN44" i="32"/>
  <c r="AM44" i="32"/>
  <c r="AL44" i="32"/>
  <c r="AK44" i="32"/>
  <c r="AY43" i="32"/>
  <c r="AX43" i="32"/>
  <c r="AU43" i="32"/>
  <c r="AV43" i="32" s="1"/>
  <c r="AT43" i="32"/>
  <c r="AN43" i="32"/>
  <c r="AM43" i="32"/>
  <c r="AL43" i="32"/>
  <c r="AK43" i="32"/>
  <c r="AY42" i="32"/>
  <c r="AX42" i="32"/>
  <c r="AU42" i="32"/>
  <c r="AT42" i="32"/>
  <c r="AN42" i="32"/>
  <c r="AM42" i="32"/>
  <c r="AL42" i="32"/>
  <c r="AK42" i="32"/>
  <c r="AY41" i="32"/>
  <c r="AX41" i="32"/>
  <c r="AU41" i="32"/>
  <c r="AT41" i="32"/>
  <c r="AN41" i="32"/>
  <c r="AM41" i="32"/>
  <c r="AL41" i="32"/>
  <c r="AK41" i="32"/>
  <c r="AY40" i="32"/>
  <c r="AX40" i="32"/>
  <c r="AU40" i="32"/>
  <c r="AT40" i="32"/>
  <c r="AN40" i="32"/>
  <c r="AM40" i="32"/>
  <c r="AL40" i="32"/>
  <c r="AK40" i="32"/>
  <c r="AY39" i="32"/>
  <c r="AX39" i="32"/>
  <c r="AU39" i="32"/>
  <c r="AV39" i="32" s="1"/>
  <c r="AT39" i="32"/>
  <c r="AN39" i="32"/>
  <c r="AM39" i="32"/>
  <c r="AL39" i="32"/>
  <c r="AK39" i="32"/>
  <c r="AY38" i="32"/>
  <c r="AX38" i="32"/>
  <c r="AU38" i="32"/>
  <c r="AT38" i="32"/>
  <c r="AN38" i="32"/>
  <c r="AM38" i="32"/>
  <c r="AL38" i="32"/>
  <c r="AK38" i="32"/>
  <c r="AY37" i="32"/>
  <c r="AX37" i="32"/>
  <c r="AU37" i="32"/>
  <c r="AT37" i="32"/>
  <c r="AN37" i="32"/>
  <c r="AM37" i="32"/>
  <c r="AL37" i="32"/>
  <c r="AK37" i="32"/>
  <c r="AY36" i="32"/>
  <c r="AX36" i="32"/>
  <c r="AU36" i="32"/>
  <c r="AT36" i="32"/>
  <c r="AN36" i="32"/>
  <c r="AM36" i="32"/>
  <c r="AL36" i="32"/>
  <c r="AK36" i="32"/>
  <c r="AY47" i="31"/>
  <c r="AX47" i="31"/>
  <c r="AU47" i="31"/>
  <c r="AV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X45" i="31"/>
  <c r="AU45" i="31"/>
  <c r="AV45" i="31" s="1"/>
  <c r="AT45" i="31"/>
  <c r="AN45" i="31"/>
  <c r="AM45" i="31"/>
  <c r="AL45" i="31"/>
  <c r="AK45" i="31"/>
  <c r="AY44" i="31"/>
  <c r="AX44" i="31"/>
  <c r="AU44" i="31"/>
  <c r="AT44" i="31"/>
  <c r="AN44" i="31"/>
  <c r="AM44" i="31"/>
  <c r="AL44" i="31"/>
  <c r="AK44" i="31"/>
  <c r="AY43" i="31"/>
  <c r="AX43" i="31"/>
  <c r="AU43" i="31"/>
  <c r="AT43" i="31"/>
  <c r="AN43" i="31"/>
  <c r="AM43" i="31"/>
  <c r="AL43" i="31"/>
  <c r="AK43" i="31"/>
  <c r="AY42" i="31"/>
  <c r="AX42" i="31"/>
  <c r="AU42" i="31"/>
  <c r="AV42" i="31" s="1"/>
  <c r="AT42" i="31"/>
  <c r="AN42" i="31"/>
  <c r="AM42" i="31"/>
  <c r="AL42" i="31"/>
  <c r="AK42" i="31"/>
  <c r="AY41" i="31"/>
  <c r="AX41" i="31"/>
  <c r="AU41" i="31"/>
  <c r="AV41" i="31" s="1"/>
  <c r="AT41" i="31"/>
  <c r="AN41" i="31"/>
  <c r="AM41" i="31"/>
  <c r="AL41" i="31"/>
  <c r="AK41" i="31"/>
  <c r="AY40" i="31"/>
  <c r="AX40" i="31"/>
  <c r="AU40" i="31"/>
  <c r="AT40" i="31"/>
  <c r="AN40" i="31"/>
  <c r="AM40" i="31"/>
  <c r="AL40" i="31"/>
  <c r="AK40" i="31"/>
  <c r="AY39" i="31"/>
  <c r="AX39" i="31"/>
  <c r="AU39" i="31"/>
  <c r="AT39" i="31"/>
  <c r="AN39" i="31"/>
  <c r="AM39" i="31"/>
  <c r="AL39" i="31"/>
  <c r="AK39" i="31"/>
  <c r="AY38" i="31"/>
  <c r="AX38" i="31"/>
  <c r="AU38" i="31"/>
  <c r="AV38" i="31" s="1"/>
  <c r="AT38" i="31"/>
  <c r="AN38" i="31"/>
  <c r="AM38" i="31"/>
  <c r="AL38" i="31"/>
  <c r="AK38" i="31"/>
  <c r="AY37" i="31"/>
  <c r="AX37" i="31"/>
  <c r="AU37" i="31"/>
  <c r="AT37" i="31"/>
  <c r="AN37" i="31"/>
  <c r="AM37" i="31"/>
  <c r="AL37" i="31"/>
  <c r="AK37" i="31"/>
  <c r="AY36" i="31"/>
  <c r="AX36" i="31"/>
  <c r="AU36" i="31"/>
  <c r="AT36" i="31"/>
  <c r="AN36" i="31"/>
  <c r="AM36" i="31"/>
  <c r="AL36" i="31"/>
  <c r="AK36" i="31"/>
  <c r="AY35" i="31"/>
  <c r="AX35" i="31"/>
  <c r="AU35" i="31"/>
  <c r="AT35" i="31"/>
  <c r="AN35" i="31"/>
  <c r="AM35" i="31"/>
  <c r="AL35" i="31"/>
  <c r="AK35" i="31"/>
  <c r="AY34" i="31"/>
  <c r="AX34" i="31"/>
  <c r="AU34" i="31"/>
  <c r="AT34" i="31"/>
  <c r="AN34" i="31"/>
  <c r="AM34" i="31"/>
  <c r="AL34" i="31"/>
  <c r="AK34" i="31"/>
  <c r="AY33" i="31"/>
  <c r="AX33" i="31"/>
  <c r="AU33" i="31"/>
  <c r="AT33" i="31"/>
  <c r="AN33" i="31"/>
  <c r="AM33" i="31"/>
  <c r="AL33" i="31"/>
  <c r="AK33" i="31"/>
  <c r="AY32" i="31"/>
  <c r="AX32" i="31"/>
  <c r="AU32" i="3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Y29" i="31"/>
  <c r="AX29" i="31"/>
  <c r="AU29" i="31"/>
  <c r="AT29" i="31"/>
  <c r="AN29" i="31"/>
  <c r="AM29" i="31"/>
  <c r="AL29" i="31"/>
  <c r="AK29" i="31"/>
  <c r="AY28" i="31"/>
  <c r="AX28" i="31"/>
  <c r="AU28" i="31"/>
  <c r="AT28" i="31"/>
  <c r="AN28" i="31"/>
  <c r="AM28" i="31"/>
  <c r="AL28" i="31"/>
  <c r="AK28" i="31"/>
  <c r="AY27" i="31"/>
  <c r="AX27" i="31"/>
  <c r="AU27" i="31"/>
  <c r="AT27" i="31"/>
  <c r="AN27" i="31"/>
  <c r="AM27" i="31"/>
  <c r="AL27" i="31"/>
  <c r="AK27" i="31"/>
  <c r="AY26" i="31"/>
  <c r="AX26" i="31"/>
  <c r="AU26" i="31"/>
  <c r="AT26" i="31"/>
  <c r="AN26" i="31"/>
  <c r="AM26" i="31"/>
  <c r="AL26" i="31"/>
  <c r="AK26" i="31"/>
  <c r="AY25" i="31"/>
  <c r="AX25" i="31"/>
  <c r="AU25" i="31"/>
  <c r="AT25" i="31"/>
  <c r="AN25" i="31"/>
  <c r="AM25" i="31"/>
  <c r="AL25" i="31"/>
  <c r="AK25" i="31"/>
  <c r="AY24" i="31"/>
  <c r="AX24" i="31"/>
  <c r="AU24" i="31"/>
  <c r="AT24" i="31"/>
  <c r="AN24" i="31"/>
  <c r="AM24" i="31"/>
  <c r="AL24" i="31"/>
  <c r="AK24" i="31"/>
  <c r="AY23" i="31"/>
  <c r="AX23" i="31"/>
  <c r="AU23" i="31"/>
  <c r="AT23" i="31"/>
  <c r="AN23" i="31"/>
  <c r="AM23" i="31"/>
  <c r="AL23" i="31"/>
  <c r="AK23" i="31"/>
  <c r="AY22" i="31"/>
  <c r="AX22" i="31"/>
  <c r="AU22" i="31"/>
  <c r="AT22" i="31"/>
  <c r="AN22" i="31"/>
  <c r="AM22" i="31"/>
  <c r="AL22" i="31"/>
  <c r="AK22" i="31"/>
  <c r="AX21" i="31"/>
  <c r="AT21" i="31"/>
  <c r="AN21" i="31"/>
  <c r="AM21" i="31"/>
  <c r="AL21" i="31"/>
  <c r="AK21" i="31"/>
  <c r="AY20" i="31"/>
  <c r="AX20" i="31"/>
  <c r="AU20" i="31"/>
  <c r="AT20" i="31"/>
  <c r="AN20" i="31"/>
  <c r="AM20" i="31"/>
  <c r="AL20" i="31"/>
  <c r="AK20" i="31"/>
  <c r="AY19" i="31"/>
  <c r="AX19" i="31"/>
  <c r="AT19" i="31"/>
  <c r="AN19" i="31"/>
  <c r="AM19" i="31"/>
  <c r="AL19" i="31"/>
  <c r="AK19" i="31"/>
  <c r="AY18" i="31"/>
  <c r="AX18" i="31"/>
  <c r="AU18" i="31"/>
  <c r="AT18" i="31"/>
  <c r="AN18" i="31"/>
  <c r="AM18" i="31"/>
  <c r="AL18" i="31"/>
  <c r="AK18" i="31"/>
  <c r="AY17" i="31"/>
  <c r="AX17" i="31"/>
  <c r="AT17" i="31"/>
  <c r="AN17" i="31"/>
  <c r="AM17" i="31"/>
  <c r="AL17" i="31"/>
  <c r="AK17" i="31"/>
  <c r="AY16" i="31"/>
  <c r="AX16" i="31"/>
  <c r="AU16" i="31"/>
  <c r="AT16" i="31"/>
  <c r="AN16" i="31"/>
  <c r="AM16" i="31"/>
  <c r="AL16" i="31"/>
  <c r="AK16" i="31"/>
  <c r="AY15" i="31"/>
  <c r="AX15" i="31"/>
  <c r="AU15" i="31"/>
  <c r="AT15" i="31"/>
  <c r="AN15" i="31"/>
  <c r="AM15" i="31"/>
  <c r="AL15" i="31"/>
  <c r="AK15" i="31"/>
  <c r="AY14" i="31"/>
  <c r="AX14" i="31"/>
  <c r="AU14" i="31"/>
  <c r="AT14" i="31"/>
  <c r="AN14" i="31"/>
  <c r="AM14" i="31"/>
  <c r="AL14" i="31"/>
  <c r="AK14" i="31"/>
  <c r="AY13" i="31"/>
  <c r="AX13" i="31"/>
  <c r="AT13" i="31"/>
  <c r="AN13" i="31"/>
  <c r="AM13" i="31"/>
  <c r="AL13" i="31"/>
  <c r="AK13" i="31"/>
  <c r="AY12" i="31"/>
  <c r="AX12" i="31"/>
  <c r="AU12" i="31"/>
  <c r="AT12" i="31"/>
  <c r="AN12" i="31"/>
  <c r="AM12" i="31"/>
  <c r="AL12" i="31"/>
  <c r="AK12" i="31"/>
  <c r="AY11" i="31"/>
  <c r="AX11" i="31"/>
  <c r="AU11" i="31"/>
  <c r="AT11" i="31"/>
  <c r="AN11" i="31"/>
  <c r="AM11" i="31"/>
  <c r="AL11" i="31"/>
  <c r="AK11" i="31"/>
  <c r="AX10" i="31"/>
  <c r="AT10" i="31"/>
  <c r="AN10" i="31"/>
  <c r="AM10" i="31"/>
  <c r="AL10" i="31"/>
  <c r="AK10" i="31"/>
  <c r="AY9" i="31"/>
  <c r="AX9" i="31"/>
  <c r="AU9" i="31"/>
  <c r="AT9" i="31"/>
  <c r="AN9" i="31"/>
  <c r="AM9" i="31"/>
  <c r="AL9" i="31"/>
  <c r="AK9" i="31"/>
  <c r="AX8" i="31"/>
  <c r="AT8" i="31"/>
  <c r="AN8" i="31"/>
  <c r="AM8" i="31"/>
  <c r="AL8" i="31"/>
  <c r="AK8" i="31"/>
  <c r="AY7" i="31"/>
  <c r="AX7" i="31"/>
  <c r="AU7" i="31"/>
  <c r="AT7" i="31"/>
  <c r="AN7" i="31"/>
  <c r="AM7" i="31"/>
  <c r="AL7" i="31"/>
  <c r="AK7" i="31"/>
  <c r="AX6" i="31"/>
  <c r="AT6" i="31"/>
  <c r="AN6" i="31"/>
  <c r="AM6" i="31"/>
  <c r="AL6" i="31"/>
  <c r="AK6" i="31"/>
  <c r="AY5" i="31"/>
  <c r="AX5" i="31"/>
  <c r="AU5" i="31"/>
  <c r="AT5" i="31"/>
  <c r="AN5" i="31"/>
  <c r="AM5" i="31"/>
  <c r="AL5" i="31"/>
  <c r="AK5" i="31"/>
  <c r="AY4" i="31"/>
  <c r="AX4" i="31"/>
  <c r="AT4" i="31"/>
  <c r="AN4" i="31"/>
  <c r="AM4" i="31"/>
  <c r="AL4" i="31"/>
  <c r="AK4" i="31"/>
  <c r="AY3" i="31"/>
  <c r="AX3" i="31"/>
  <c r="AU3" i="31"/>
  <c r="AT3" i="31"/>
  <c r="AN3" i="31"/>
  <c r="AM3" i="31"/>
  <c r="AL3" i="31"/>
  <c r="AK3" i="31"/>
  <c r="AY47" i="30"/>
  <c r="AX47" i="30"/>
  <c r="AU47" i="30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AX45" i="30"/>
  <c r="AU45" i="30"/>
  <c r="AZ45" i="30" s="1"/>
  <c r="AT45" i="30"/>
  <c r="AN45" i="30"/>
  <c r="AM45" i="30"/>
  <c r="AL45" i="30"/>
  <c r="AK45" i="30"/>
  <c r="AY44" i="30"/>
  <c r="AX44" i="30"/>
  <c r="AU44" i="30"/>
  <c r="AZ44" i="30" s="1"/>
  <c r="AT44" i="30"/>
  <c r="AN44" i="30"/>
  <c r="AM44" i="30"/>
  <c r="AL44" i="30"/>
  <c r="AK44" i="30"/>
  <c r="AY43" i="30"/>
  <c r="AX43" i="30"/>
  <c r="AU43" i="30"/>
  <c r="AV43" i="30" s="1"/>
  <c r="AT43" i="30"/>
  <c r="AN43" i="30"/>
  <c r="AM43" i="30"/>
  <c r="AL43" i="30"/>
  <c r="AK43" i="30"/>
  <c r="AY42" i="30"/>
  <c r="AX42" i="30"/>
  <c r="AU42" i="30"/>
  <c r="AT42" i="30"/>
  <c r="AN42" i="30"/>
  <c r="AM42" i="30"/>
  <c r="AL42" i="30"/>
  <c r="AK42" i="30"/>
  <c r="AY41" i="30"/>
  <c r="AX41" i="30"/>
  <c r="AU41" i="30"/>
  <c r="AT41" i="30"/>
  <c r="AN41" i="30"/>
  <c r="AM41" i="30"/>
  <c r="AL41" i="30"/>
  <c r="AK41" i="30"/>
  <c r="AY40" i="30"/>
  <c r="AX40" i="30"/>
  <c r="AU40" i="30"/>
  <c r="AV40" i="30" s="1"/>
  <c r="AT40" i="30"/>
  <c r="AN40" i="30"/>
  <c r="AM40" i="30"/>
  <c r="AL40" i="30"/>
  <c r="AK40" i="30"/>
  <c r="AY39" i="30"/>
  <c r="AX39" i="30"/>
  <c r="AU39" i="30"/>
  <c r="AV39" i="30" s="1"/>
  <c r="AT39" i="30"/>
  <c r="AN39" i="30"/>
  <c r="AM39" i="30"/>
  <c r="AL39" i="30"/>
  <c r="AK39" i="30"/>
  <c r="AY38" i="30"/>
  <c r="AX38" i="30"/>
  <c r="AU38" i="30"/>
  <c r="AT38" i="30"/>
  <c r="AN38" i="30"/>
  <c r="AM38" i="30"/>
  <c r="AL38" i="30"/>
  <c r="AK38" i="30"/>
  <c r="AY37" i="30"/>
  <c r="AX37" i="30"/>
  <c r="AU37" i="30"/>
  <c r="AT37" i="30"/>
  <c r="AN37" i="30"/>
  <c r="AM37" i="30"/>
  <c r="AL37" i="30"/>
  <c r="AK37" i="30"/>
  <c r="AY36" i="30"/>
  <c r="AX36" i="30"/>
  <c r="AU36" i="30"/>
  <c r="AT36" i="30"/>
  <c r="AN36" i="30"/>
  <c r="AM36" i="30"/>
  <c r="AL36" i="30"/>
  <c r="AK36" i="30"/>
  <c r="AY35" i="30"/>
  <c r="AX35" i="30"/>
  <c r="AU35" i="30"/>
  <c r="AT35" i="30"/>
  <c r="AN35" i="30"/>
  <c r="AM35" i="30"/>
  <c r="AL35" i="30"/>
  <c r="AK35" i="30"/>
  <c r="AY34" i="30"/>
  <c r="AX34" i="30"/>
  <c r="AU34" i="30"/>
  <c r="AT34" i="30"/>
  <c r="AN34" i="30"/>
  <c r="AM34" i="30"/>
  <c r="AL34" i="30"/>
  <c r="AK34" i="30"/>
  <c r="AY33" i="30"/>
  <c r="AX33" i="30"/>
  <c r="AU33" i="30"/>
  <c r="AT33" i="30"/>
  <c r="AN33" i="30"/>
  <c r="AM33" i="30"/>
  <c r="AL33" i="30"/>
  <c r="AK33" i="30"/>
  <c r="AY32" i="30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Y29" i="30"/>
  <c r="AX29" i="30"/>
  <c r="AU29" i="30"/>
  <c r="AT29" i="30"/>
  <c r="AN29" i="30"/>
  <c r="AM29" i="30"/>
  <c r="AL29" i="30"/>
  <c r="AK29" i="30"/>
  <c r="AY28" i="30"/>
  <c r="AX28" i="30"/>
  <c r="AU28" i="30"/>
  <c r="AT28" i="30"/>
  <c r="AN28" i="30"/>
  <c r="AM28" i="30"/>
  <c r="AL28" i="30"/>
  <c r="AK28" i="30"/>
  <c r="AY27" i="30"/>
  <c r="AX27" i="30"/>
  <c r="AT27" i="30"/>
  <c r="AN27" i="30"/>
  <c r="AM27" i="30"/>
  <c r="AL27" i="30"/>
  <c r="AK27" i="30"/>
  <c r="AY26" i="30"/>
  <c r="AX26" i="30"/>
  <c r="AU26" i="30"/>
  <c r="AT26" i="30"/>
  <c r="AN26" i="30"/>
  <c r="AM26" i="30"/>
  <c r="AL26" i="30"/>
  <c r="AK26" i="30"/>
  <c r="AY25" i="30"/>
  <c r="AX25" i="30"/>
  <c r="AU25" i="30"/>
  <c r="AT25" i="30"/>
  <c r="AN25" i="30"/>
  <c r="AM25" i="30"/>
  <c r="AL25" i="30"/>
  <c r="AK25" i="30"/>
  <c r="AY24" i="30"/>
  <c r="AX24" i="30"/>
  <c r="AU24" i="30"/>
  <c r="AT24" i="30"/>
  <c r="AN24" i="30"/>
  <c r="AM24" i="30"/>
  <c r="AL24" i="30"/>
  <c r="AK24" i="30"/>
  <c r="AY23" i="30"/>
  <c r="AX23" i="30"/>
  <c r="AU23" i="30"/>
  <c r="AT23" i="30"/>
  <c r="AN23" i="30"/>
  <c r="AM23" i="30"/>
  <c r="AL23" i="30"/>
  <c r="AK23" i="30"/>
  <c r="AY22" i="30"/>
  <c r="AX22" i="30"/>
  <c r="AU22" i="30"/>
  <c r="AT22" i="30"/>
  <c r="AN22" i="30"/>
  <c r="AM22" i="30"/>
  <c r="AL22" i="30"/>
  <c r="AK22" i="30"/>
  <c r="AX21" i="30"/>
  <c r="AT21" i="30"/>
  <c r="AN21" i="30"/>
  <c r="AM21" i="30"/>
  <c r="AL21" i="30"/>
  <c r="AK21" i="30"/>
  <c r="AY20" i="30"/>
  <c r="AX20" i="30"/>
  <c r="AU20" i="30"/>
  <c r="AT20" i="30"/>
  <c r="AN20" i="30"/>
  <c r="AM20" i="30"/>
  <c r="AL20" i="30"/>
  <c r="AK20" i="30"/>
  <c r="AY19" i="30"/>
  <c r="AX19" i="30"/>
  <c r="AT19" i="30"/>
  <c r="AN19" i="30"/>
  <c r="AM19" i="30"/>
  <c r="AL19" i="30"/>
  <c r="AK19" i="30"/>
  <c r="AY18" i="30"/>
  <c r="AX18" i="30"/>
  <c r="AU18" i="30"/>
  <c r="AT18" i="30"/>
  <c r="AN18" i="30"/>
  <c r="AM18" i="30"/>
  <c r="AL18" i="30"/>
  <c r="AK18" i="30"/>
  <c r="AY17" i="30"/>
  <c r="AX17" i="30"/>
  <c r="AT17" i="30"/>
  <c r="AN17" i="30"/>
  <c r="AM17" i="30"/>
  <c r="AL17" i="30"/>
  <c r="AK17" i="30"/>
  <c r="AY16" i="30"/>
  <c r="AX16" i="30"/>
  <c r="AU16" i="30"/>
  <c r="AT16" i="30"/>
  <c r="AN16" i="30"/>
  <c r="AM16" i="30"/>
  <c r="AL16" i="30"/>
  <c r="AK16" i="30"/>
  <c r="AY15" i="30"/>
  <c r="AX15" i="30"/>
  <c r="AU15" i="30"/>
  <c r="AT15" i="30"/>
  <c r="AN15" i="30"/>
  <c r="AM15" i="30"/>
  <c r="AL15" i="30"/>
  <c r="AK15" i="30"/>
  <c r="AY14" i="30"/>
  <c r="AX14" i="30"/>
  <c r="AU14" i="30"/>
  <c r="AT14" i="30"/>
  <c r="AN14" i="30"/>
  <c r="AM14" i="30"/>
  <c r="AL14" i="30"/>
  <c r="AK14" i="30"/>
  <c r="AY13" i="30"/>
  <c r="AU13" i="30"/>
  <c r="AT13" i="30"/>
  <c r="AN13" i="30"/>
  <c r="AM13" i="30"/>
  <c r="AL13" i="30"/>
  <c r="AK13" i="30"/>
  <c r="AY12" i="30"/>
  <c r="AX12" i="30"/>
  <c r="AU12" i="30"/>
  <c r="AT12" i="30"/>
  <c r="AN12" i="30"/>
  <c r="AM12" i="30"/>
  <c r="AL12" i="30"/>
  <c r="AK12" i="30"/>
  <c r="AY11" i="30"/>
  <c r="AX11" i="30"/>
  <c r="AU11" i="30"/>
  <c r="AT11" i="30"/>
  <c r="AN11" i="30"/>
  <c r="AM11" i="30"/>
  <c r="AL11" i="30"/>
  <c r="AK11" i="30"/>
  <c r="AX10" i="30"/>
  <c r="AT10" i="30"/>
  <c r="AN10" i="30"/>
  <c r="AM10" i="30"/>
  <c r="AL10" i="30"/>
  <c r="AK10" i="30"/>
  <c r="AY9" i="30"/>
  <c r="AX9" i="30"/>
  <c r="AU9" i="30"/>
  <c r="AT9" i="30"/>
  <c r="AN9" i="30"/>
  <c r="AM9" i="30"/>
  <c r="AL9" i="30"/>
  <c r="AK9" i="30"/>
  <c r="AX8" i="30"/>
  <c r="AT8" i="30"/>
  <c r="AN8" i="30"/>
  <c r="AM8" i="30"/>
  <c r="AL8" i="30"/>
  <c r="AK8" i="30"/>
  <c r="AY7" i="30"/>
  <c r="AX7" i="30"/>
  <c r="AU7" i="30"/>
  <c r="AT7" i="30"/>
  <c r="AN7" i="30"/>
  <c r="AM7" i="30"/>
  <c r="AL7" i="30"/>
  <c r="AK7" i="30"/>
  <c r="AX6" i="30"/>
  <c r="AT6" i="30"/>
  <c r="AN6" i="30"/>
  <c r="AM6" i="30"/>
  <c r="AL6" i="30"/>
  <c r="AK6" i="30"/>
  <c r="AY5" i="30"/>
  <c r="AX5" i="30"/>
  <c r="AU5" i="30"/>
  <c r="AT5" i="30"/>
  <c r="AN5" i="30"/>
  <c r="AM5" i="30"/>
  <c r="AL5" i="30"/>
  <c r="AK5" i="30"/>
  <c r="AY4" i="30"/>
  <c r="AX4" i="30"/>
  <c r="AT4" i="30"/>
  <c r="AN4" i="30"/>
  <c r="AM4" i="30"/>
  <c r="AL4" i="30"/>
  <c r="AK4" i="30"/>
  <c r="AY3" i="30"/>
  <c r="AX3" i="30"/>
  <c r="AU3" i="30"/>
  <c r="AT3" i="30"/>
  <c r="AN3" i="30"/>
  <c r="AM3" i="30"/>
  <c r="AL3" i="30"/>
  <c r="AK3" i="30"/>
  <c r="AY47" i="29"/>
  <c r="AX47" i="29"/>
  <c r="AU47" i="29"/>
  <c r="AZ47" i="29" s="1"/>
  <c r="AT47" i="29"/>
  <c r="AN47" i="29"/>
  <c r="AM47" i="29"/>
  <c r="AL47" i="29"/>
  <c r="AK47" i="29"/>
  <c r="AY46" i="29"/>
  <c r="AX46" i="29"/>
  <c r="AU46" i="29"/>
  <c r="AV46" i="29" s="1"/>
  <c r="AT46" i="29"/>
  <c r="AN46" i="29"/>
  <c r="AM46" i="29"/>
  <c r="AL46" i="29"/>
  <c r="AK46" i="29"/>
  <c r="AY45" i="29"/>
  <c r="AX45" i="29"/>
  <c r="AU45" i="29"/>
  <c r="AV45" i="29" s="1"/>
  <c r="AT45" i="29"/>
  <c r="AN45" i="29"/>
  <c r="AM45" i="29"/>
  <c r="AL45" i="29"/>
  <c r="AK45" i="29"/>
  <c r="AY44" i="29"/>
  <c r="AX44" i="29"/>
  <c r="AU44" i="29"/>
  <c r="AT44" i="29"/>
  <c r="AN44" i="29"/>
  <c r="AM44" i="29"/>
  <c r="AL44" i="29"/>
  <c r="AK44" i="29"/>
  <c r="AY43" i="29"/>
  <c r="AX43" i="29"/>
  <c r="AU43" i="29"/>
  <c r="AT43" i="29"/>
  <c r="AN43" i="29"/>
  <c r="AM43" i="29"/>
  <c r="AL43" i="29"/>
  <c r="AK43" i="29"/>
  <c r="AY42" i="29"/>
  <c r="AX42" i="29"/>
  <c r="AU42" i="29"/>
  <c r="AV42" i="29" s="1"/>
  <c r="AT42" i="29"/>
  <c r="BB42" i="29"/>
  <c r="AY41" i="29"/>
  <c r="AX41" i="29"/>
  <c r="AU41" i="29"/>
  <c r="AV41" i="29" s="1"/>
  <c r="AT41" i="29"/>
  <c r="AY40" i="29"/>
  <c r="AX40" i="29"/>
  <c r="AU40" i="29"/>
  <c r="AZ40" i="29" s="1"/>
  <c r="AT40" i="29"/>
  <c r="AY39" i="29"/>
  <c r="AX39" i="29"/>
  <c r="AU39" i="29"/>
  <c r="AT39" i="29"/>
  <c r="AY38" i="29"/>
  <c r="AX38" i="29"/>
  <c r="AU38" i="29"/>
  <c r="AV38" i="29" s="1"/>
  <c r="AT38" i="29"/>
  <c r="AY37" i="29"/>
  <c r="AX37" i="29"/>
  <c r="AU37" i="29"/>
  <c r="AT37" i="29"/>
  <c r="AN37" i="29"/>
  <c r="AM37" i="29"/>
  <c r="AL37" i="29"/>
  <c r="AK37" i="29"/>
  <c r="AY36" i="29"/>
  <c r="AX36" i="29"/>
  <c r="AU36" i="29"/>
  <c r="AT36" i="29"/>
  <c r="AN36" i="29"/>
  <c r="AM36" i="29"/>
  <c r="AL36" i="29"/>
  <c r="AK36" i="29"/>
  <c r="AY35" i="29"/>
  <c r="AX35" i="29"/>
  <c r="AU35" i="29"/>
  <c r="AT35" i="29"/>
  <c r="AN35" i="29"/>
  <c r="AM35" i="29"/>
  <c r="AL35" i="29"/>
  <c r="AK35" i="29"/>
  <c r="AY34" i="29"/>
  <c r="AX34" i="29"/>
  <c r="AU34" i="29"/>
  <c r="AT34" i="29"/>
  <c r="AN34" i="29"/>
  <c r="AM34" i="29"/>
  <c r="AL34" i="29"/>
  <c r="AK34" i="29"/>
  <c r="AY33" i="29"/>
  <c r="AX33" i="29"/>
  <c r="AU33" i="29"/>
  <c r="AT33" i="29"/>
  <c r="AN33" i="29"/>
  <c r="AM33" i="29"/>
  <c r="AL33" i="29"/>
  <c r="AK33" i="29"/>
  <c r="AY32" i="29"/>
  <c r="AX32" i="29"/>
  <c r="AU32" i="29"/>
  <c r="AT32" i="29"/>
  <c r="AN32" i="29"/>
  <c r="AM32" i="29"/>
  <c r="AL32" i="29"/>
  <c r="AK32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Y29" i="29"/>
  <c r="AX29" i="29"/>
  <c r="AU29" i="29"/>
  <c r="AT29" i="29"/>
  <c r="AN29" i="29"/>
  <c r="AM29" i="29"/>
  <c r="AL29" i="29"/>
  <c r="AK29" i="29"/>
  <c r="AY28" i="29"/>
  <c r="AX28" i="29"/>
  <c r="AU28" i="29"/>
  <c r="AT28" i="29"/>
  <c r="AN28" i="29"/>
  <c r="AM28" i="29"/>
  <c r="AL28" i="29"/>
  <c r="AK28" i="29"/>
  <c r="AX27" i="29"/>
  <c r="AT27" i="29"/>
  <c r="AN27" i="29"/>
  <c r="AM27" i="29"/>
  <c r="AL27" i="29"/>
  <c r="AY26" i="29"/>
  <c r="AX26" i="29"/>
  <c r="AU26" i="29"/>
  <c r="AT26" i="29"/>
  <c r="AN26" i="29"/>
  <c r="AM26" i="29"/>
  <c r="AL26" i="29"/>
  <c r="AK26" i="29"/>
  <c r="AY25" i="29"/>
  <c r="AX25" i="29"/>
  <c r="AU25" i="29"/>
  <c r="AT25" i="29"/>
  <c r="AN25" i="29"/>
  <c r="AM25" i="29"/>
  <c r="AL25" i="29"/>
  <c r="AK25" i="29"/>
  <c r="AY24" i="29"/>
  <c r="AX24" i="29"/>
  <c r="AU24" i="29"/>
  <c r="AT24" i="29"/>
  <c r="AN24" i="29"/>
  <c r="AM24" i="29"/>
  <c r="AL24" i="29"/>
  <c r="AK24" i="29"/>
  <c r="AY23" i="29"/>
  <c r="AX23" i="29"/>
  <c r="AT23" i="29"/>
  <c r="AN23" i="29"/>
  <c r="AM23" i="29"/>
  <c r="AL23" i="29"/>
  <c r="AK23" i="29"/>
  <c r="AY22" i="29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Y20" i="29"/>
  <c r="AX20" i="29"/>
  <c r="AU20" i="29"/>
  <c r="AT20" i="29"/>
  <c r="AN20" i="29"/>
  <c r="AM20" i="29"/>
  <c r="AL20" i="29"/>
  <c r="AK20" i="29"/>
  <c r="AY19" i="29"/>
  <c r="AX19" i="29"/>
  <c r="AT19" i="29"/>
  <c r="AN19" i="29"/>
  <c r="AM19" i="29"/>
  <c r="AL19" i="29"/>
  <c r="AK19" i="29"/>
  <c r="AY18" i="29"/>
  <c r="AX18" i="29"/>
  <c r="AU18" i="29"/>
  <c r="AT18" i="29"/>
  <c r="AN18" i="29"/>
  <c r="AM18" i="29"/>
  <c r="AL18" i="29"/>
  <c r="AK18" i="29"/>
  <c r="AY17" i="29"/>
  <c r="AX17" i="29"/>
  <c r="AT17" i="29"/>
  <c r="AN17" i="29"/>
  <c r="AM17" i="29"/>
  <c r="AL17" i="29"/>
  <c r="AK17" i="29"/>
  <c r="AY16" i="29"/>
  <c r="AX16" i="29"/>
  <c r="AU16" i="29"/>
  <c r="AT16" i="29"/>
  <c r="AN16" i="29"/>
  <c r="AM16" i="29"/>
  <c r="AL16" i="29"/>
  <c r="AY15" i="29"/>
  <c r="AX15" i="29"/>
  <c r="AU15" i="29"/>
  <c r="AT15" i="29"/>
  <c r="AN15" i="29"/>
  <c r="AM15" i="29"/>
  <c r="AL15" i="29"/>
  <c r="AK15" i="29"/>
  <c r="AY14" i="29"/>
  <c r="AX14" i="29"/>
  <c r="AU14" i="29"/>
  <c r="AT14" i="29"/>
  <c r="AN14" i="29"/>
  <c r="AM14" i="29"/>
  <c r="AL14" i="29"/>
  <c r="AK14" i="29"/>
  <c r="AX13" i="29"/>
  <c r="AT13" i="29"/>
  <c r="AN13" i="29"/>
  <c r="AM13" i="29"/>
  <c r="AL13" i="29"/>
  <c r="AK13" i="29"/>
  <c r="AY12" i="29"/>
  <c r="AX12" i="29"/>
  <c r="AU12" i="29"/>
  <c r="AT12" i="29"/>
  <c r="AN12" i="29"/>
  <c r="AM12" i="29"/>
  <c r="AL12" i="29"/>
  <c r="AY11" i="29"/>
  <c r="AX11" i="29"/>
  <c r="AU11" i="29"/>
  <c r="AT11" i="29"/>
  <c r="AN11" i="29"/>
  <c r="AM11" i="29"/>
  <c r="AL11" i="29"/>
  <c r="AK11" i="29"/>
  <c r="AX10" i="29"/>
  <c r="AT10" i="29"/>
  <c r="AN10" i="29"/>
  <c r="AM10" i="29"/>
  <c r="AL10" i="29"/>
  <c r="AK10" i="29"/>
  <c r="AY9" i="29"/>
  <c r="AX9" i="29"/>
  <c r="AT9" i="29"/>
  <c r="AN9" i="29"/>
  <c r="AM9" i="29"/>
  <c r="AL9" i="29"/>
  <c r="AK9" i="29"/>
  <c r="AX8" i="29"/>
  <c r="AT8" i="29"/>
  <c r="AN8" i="29"/>
  <c r="AM8" i="29"/>
  <c r="AL8" i="29"/>
  <c r="AK8" i="29"/>
  <c r="AY7" i="29"/>
  <c r="AX7" i="29"/>
  <c r="AU7" i="29"/>
  <c r="AT7" i="29"/>
  <c r="AN7" i="29"/>
  <c r="AM7" i="29"/>
  <c r="AL7" i="29"/>
  <c r="AK7" i="29"/>
  <c r="AX6" i="29"/>
  <c r="AT6" i="29"/>
  <c r="AN6" i="29"/>
  <c r="AM6" i="29"/>
  <c r="AL6" i="29"/>
  <c r="AK6" i="29"/>
  <c r="AY5" i="29"/>
  <c r="AX5" i="29"/>
  <c r="AT5" i="29"/>
  <c r="AN5" i="29"/>
  <c r="AM5" i="29"/>
  <c r="AL5" i="29"/>
  <c r="AK5" i="29"/>
  <c r="AY4" i="29"/>
  <c r="AX4" i="29"/>
  <c r="AT4" i="29"/>
  <c r="AN4" i="29"/>
  <c r="AM4" i="29"/>
  <c r="AL4" i="29"/>
  <c r="AK4" i="29"/>
  <c r="AY3" i="29"/>
  <c r="AX3" i="29"/>
  <c r="AT3" i="29"/>
  <c r="AN3" i="29"/>
  <c r="AM3" i="29"/>
  <c r="AL3" i="29"/>
  <c r="AY47" i="28"/>
  <c r="AX47" i="28"/>
  <c r="AU47" i="28"/>
  <c r="AV47" i="28" s="1"/>
  <c r="AT47" i="28"/>
  <c r="AN47" i="28"/>
  <c r="AM47" i="28"/>
  <c r="AL47" i="28"/>
  <c r="AK47" i="28"/>
  <c r="AY46" i="28"/>
  <c r="AX46" i="28"/>
  <c r="AU46" i="28"/>
  <c r="AV46" i="28" s="1"/>
  <c r="AT46" i="28"/>
  <c r="AN46" i="28"/>
  <c r="AM46" i="28"/>
  <c r="AL46" i="28"/>
  <c r="AK46" i="28"/>
  <c r="AY45" i="28"/>
  <c r="AX45" i="28"/>
  <c r="AU45" i="28"/>
  <c r="AV45" i="28" s="1"/>
  <c r="AT45" i="28"/>
  <c r="AN45" i="28"/>
  <c r="AM45" i="28"/>
  <c r="AL45" i="28"/>
  <c r="AK45" i="28"/>
  <c r="AY44" i="28"/>
  <c r="AX44" i="28"/>
  <c r="AU44" i="28"/>
  <c r="AT44" i="28"/>
  <c r="AN44" i="28"/>
  <c r="AM44" i="28"/>
  <c r="AL44" i="28"/>
  <c r="AK44" i="28"/>
  <c r="AY43" i="28"/>
  <c r="AX43" i="28"/>
  <c r="AU43" i="28"/>
  <c r="AZ43" i="28" s="1"/>
  <c r="AT43" i="28"/>
  <c r="AN43" i="28"/>
  <c r="AM43" i="28"/>
  <c r="AL43" i="28"/>
  <c r="AK43" i="28"/>
  <c r="AY42" i="28"/>
  <c r="AX42" i="28"/>
  <c r="AU42" i="28"/>
  <c r="AT42" i="28"/>
  <c r="AN42" i="28"/>
  <c r="AM42" i="28"/>
  <c r="AL42" i="28"/>
  <c r="AK42" i="28"/>
  <c r="AY41" i="28"/>
  <c r="AX41" i="28"/>
  <c r="AU41" i="28"/>
  <c r="AV41" i="28" s="1"/>
  <c r="AT41" i="28"/>
  <c r="AN41" i="28"/>
  <c r="AM41" i="28"/>
  <c r="AL41" i="28"/>
  <c r="AK41" i="28"/>
  <c r="AY40" i="28"/>
  <c r="AX40" i="28"/>
  <c r="AU40" i="28"/>
  <c r="AT40" i="28"/>
  <c r="AN40" i="28"/>
  <c r="AM40" i="28"/>
  <c r="AL40" i="28"/>
  <c r="AK40" i="28"/>
  <c r="AY39" i="28"/>
  <c r="AX39" i="28"/>
  <c r="AU39" i="28"/>
  <c r="AZ39" i="28" s="1"/>
  <c r="AT39" i="28"/>
  <c r="AN39" i="28"/>
  <c r="AM39" i="28"/>
  <c r="AL39" i="28"/>
  <c r="AK39" i="28"/>
  <c r="AY38" i="28"/>
  <c r="AX38" i="28"/>
  <c r="AU38" i="28"/>
  <c r="AT38" i="28"/>
  <c r="AN38" i="28"/>
  <c r="AM38" i="28"/>
  <c r="AL38" i="28"/>
  <c r="AK38" i="28"/>
  <c r="AY37" i="28"/>
  <c r="AX37" i="28"/>
  <c r="AU37" i="28"/>
  <c r="AT37" i="28"/>
  <c r="AN37" i="28"/>
  <c r="AM37" i="28"/>
  <c r="AL37" i="28"/>
  <c r="AK37" i="28"/>
  <c r="AY36" i="28"/>
  <c r="AX36" i="28"/>
  <c r="AU36" i="28"/>
  <c r="AT36" i="28"/>
  <c r="AN36" i="28"/>
  <c r="AM36" i="28"/>
  <c r="AL36" i="28"/>
  <c r="AK36" i="28"/>
  <c r="AY35" i="28"/>
  <c r="AX35" i="28"/>
  <c r="AU35" i="28"/>
  <c r="AT35" i="28"/>
  <c r="AN35" i="28"/>
  <c r="AM35" i="28"/>
  <c r="AL35" i="28"/>
  <c r="AK35" i="28"/>
  <c r="AY34" i="28"/>
  <c r="AX34" i="28"/>
  <c r="AU34" i="28"/>
  <c r="AT34" i="28"/>
  <c r="AN34" i="28"/>
  <c r="AM34" i="28"/>
  <c r="AL34" i="28"/>
  <c r="AK34" i="28"/>
  <c r="AY33" i="28"/>
  <c r="AX33" i="28"/>
  <c r="AU33" i="28"/>
  <c r="AT33" i="28"/>
  <c r="AN33" i="28"/>
  <c r="AM33" i="28"/>
  <c r="AL33" i="28"/>
  <c r="AK33" i="28"/>
  <c r="AY32" i="28"/>
  <c r="AX32" i="28"/>
  <c r="AU32" i="28"/>
  <c r="AT32" i="28"/>
  <c r="AN32" i="28"/>
  <c r="AM32" i="28"/>
  <c r="AL32" i="28"/>
  <c r="AK32" i="28"/>
  <c r="AY31" i="28"/>
  <c r="AX31" i="28"/>
  <c r="AU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Y29" i="28"/>
  <c r="AX29" i="28"/>
  <c r="AT29" i="28"/>
  <c r="AN29" i="28"/>
  <c r="AM29" i="28"/>
  <c r="AL29" i="28"/>
  <c r="AK29" i="28"/>
  <c r="AY28" i="28"/>
  <c r="AX28" i="28"/>
  <c r="AU28" i="28"/>
  <c r="AT28" i="28"/>
  <c r="AN28" i="28"/>
  <c r="AM28" i="28"/>
  <c r="AL28" i="28"/>
  <c r="AK28" i="28"/>
  <c r="AY27" i="28"/>
  <c r="AX27" i="28"/>
  <c r="AT27" i="28"/>
  <c r="AN27" i="28"/>
  <c r="AM27" i="28"/>
  <c r="AL27" i="28"/>
  <c r="AK27" i="28"/>
  <c r="AY26" i="28"/>
  <c r="AX26" i="28"/>
  <c r="AU26" i="28"/>
  <c r="AT26" i="28"/>
  <c r="AN26" i="28"/>
  <c r="AM26" i="28"/>
  <c r="AL26" i="28"/>
  <c r="AK26" i="28"/>
  <c r="AY25" i="28"/>
  <c r="AX25" i="28"/>
  <c r="AU25" i="28"/>
  <c r="AT25" i="28"/>
  <c r="AN25" i="28"/>
  <c r="AM25" i="28"/>
  <c r="AL25" i="28"/>
  <c r="AK25" i="28"/>
  <c r="AY24" i="28"/>
  <c r="AX24" i="28"/>
  <c r="AU24" i="28"/>
  <c r="AT24" i="28"/>
  <c r="AN24" i="28"/>
  <c r="AM24" i="28"/>
  <c r="AL24" i="28"/>
  <c r="AK24" i="28"/>
  <c r="AY23" i="28"/>
  <c r="AX23" i="28"/>
  <c r="AT23" i="28"/>
  <c r="AN23" i="28"/>
  <c r="AM23" i="28"/>
  <c r="AL23" i="28"/>
  <c r="AK23" i="28"/>
  <c r="AY22" i="28"/>
  <c r="AX22" i="28"/>
  <c r="AU22" i="28"/>
  <c r="AT22" i="28"/>
  <c r="AN22" i="28"/>
  <c r="AM22" i="28"/>
  <c r="AL22" i="28"/>
  <c r="AK22" i="28"/>
  <c r="AX21" i="28"/>
  <c r="AT21" i="28"/>
  <c r="AN21" i="28"/>
  <c r="AM21" i="28"/>
  <c r="AL21" i="28"/>
  <c r="AK21" i="28"/>
  <c r="AY20" i="28"/>
  <c r="AX20" i="28"/>
  <c r="AU20" i="28"/>
  <c r="AT20" i="28"/>
  <c r="AN20" i="28"/>
  <c r="AM20" i="28"/>
  <c r="AL20" i="28"/>
  <c r="AK20" i="28"/>
  <c r="AY19" i="28"/>
  <c r="AX19" i="28"/>
  <c r="AT19" i="28"/>
  <c r="AN19" i="28"/>
  <c r="AM19" i="28"/>
  <c r="AL19" i="28"/>
  <c r="AK19" i="28"/>
  <c r="AY18" i="28"/>
  <c r="AX18" i="28"/>
  <c r="AU18" i="28"/>
  <c r="AT18" i="28"/>
  <c r="AN18" i="28"/>
  <c r="AM18" i="28"/>
  <c r="AL18" i="28"/>
  <c r="AK18" i="28"/>
  <c r="AY17" i="28"/>
  <c r="AX17" i="28"/>
  <c r="AT17" i="28"/>
  <c r="AN17" i="28"/>
  <c r="AM17" i="28"/>
  <c r="AL17" i="28"/>
  <c r="AK17" i="28"/>
  <c r="AY16" i="28"/>
  <c r="AX16" i="28"/>
  <c r="AU16" i="28"/>
  <c r="AT16" i="28"/>
  <c r="AN16" i="28"/>
  <c r="AM16" i="28"/>
  <c r="AL16" i="28"/>
  <c r="AK16" i="28"/>
  <c r="AY15" i="28"/>
  <c r="AX15" i="28"/>
  <c r="AU15" i="28"/>
  <c r="AT15" i="28"/>
  <c r="AN15" i="28"/>
  <c r="AM15" i="28"/>
  <c r="AL15" i="28"/>
  <c r="AK15" i="28"/>
  <c r="AY14" i="28"/>
  <c r="AX14" i="28"/>
  <c r="AU14" i="28"/>
  <c r="AT14" i="28"/>
  <c r="AN14" i="28"/>
  <c r="AM14" i="28"/>
  <c r="AL14" i="28"/>
  <c r="AK14" i="28"/>
  <c r="AY13" i="28"/>
  <c r="AX13" i="28"/>
  <c r="AT13" i="28"/>
  <c r="AN13" i="28"/>
  <c r="AM13" i="28"/>
  <c r="AL13" i="28"/>
  <c r="AK13" i="28"/>
  <c r="AY12" i="28"/>
  <c r="AX12" i="28"/>
  <c r="AU12" i="28"/>
  <c r="AT12" i="28"/>
  <c r="AN12" i="28"/>
  <c r="AM12" i="28"/>
  <c r="AL12" i="28"/>
  <c r="AK12" i="28"/>
  <c r="AY11" i="28"/>
  <c r="AX11" i="28"/>
  <c r="AU11" i="28"/>
  <c r="AT11" i="28"/>
  <c r="AN11" i="28"/>
  <c r="AM11" i="28"/>
  <c r="AL11" i="28"/>
  <c r="AK11" i="28"/>
  <c r="AX10" i="28"/>
  <c r="AT10" i="28"/>
  <c r="AN10" i="28"/>
  <c r="AM10" i="28"/>
  <c r="AL10" i="28"/>
  <c r="AK10" i="28"/>
  <c r="AX9" i="28"/>
  <c r="AT9" i="28"/>
  <c r="AN9" i="28"/>
  <c r="AM9" i="28"/>
  <c r="AL9" i="28"/>
  <c r="AK9" i="28"/>
  <c r="AX8" i="28"/>
  <c r="AT8" i="28"/>
  <c r="AN8" i="28"/>
  <c r="AM8" i="28"/>
  <c r="AL8" i="28"/>
  <c r="AK8" i="28"/>
  <c r="AY7" i="28"/>
  <c r="AX7" i="28"/>
  <c r="AU7" i="28"/>
  <c r="AT7" i="28"/>
  <c r="AN7" i="28"/>
  <c r="AM7" i="28"/>
  <c r="AL7" i="28"/>
  <c r="AK7" i="28"/>
  <c r="AX6" i="28"/>
  <c r="AT6" i="28"/>
  <c r="AN6" i="28"/>
  <c r="AM6" i="28"/>
  <c r="AL6" i="28"/>
  <c r="AK6" i="28"/>
  <c r="AY5" i="28"/>
  <c r="AX5" i="28"/>
  <c r="AU5" i="28"/>
  <c r="AT5" i="28"/>
  <c r="AN5" i="28"/>
  <c r="AM5" i="28"/>
  <c r="AL5" i="28"/>
  <c r="AK5" i="28"/>
  <c r="AY4" i="28"/>
  <c r="AX4" i="28"/>
  <c r="AT4" i="28"/>
  <c r="AN4" i="28"/>
  <c r="AM4" i="28"/>
  <c r="AL4" i="28"/>
  <c r="AK4" i="28"/>
  <c r="AY3" i="28"/>
  <c r="AX3" i="28"/>
  <c r="AT3" i="28"/>
  <c r="AN3" i="28"/>
  <c r="AM3" i="28"/>
  <c r="AL3" i="28"/>
  <c r="AK3" i="28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Z46" i="27" s="1"/>
  <c r="AT46" i="27"/>
  <c r="AN46" i="27"/>
  <c r="AM46" i="27"/>
  <c r="AL46" i="27"/>
  <c r="AK46" i="27"/>
  <c r="AO46" i="27" s="1"/>
  <c r="BB46" i="27" s="1"/>
  <c r="AY45" i="27"/>
  <c r="AX45" i="27"/>
  <c r="AU45" i="27"/>
  <c r="AV45" i="27" s="1"/>
  <c r="AT45" i="27"/>
  <c r="AN45" i="27"/>
  <c r="AM45" i="27"/>
  <c r="AL45" i="27"/>
  <c r="AK45" i="27"/>
  <c r="AY44" i="27"/>
  <c r="AX44" i="27"/>
  <c r="AU44" i="27"/>
  <c r="AZ44" i="27" s="1"/>
  <c r="AT44" i="27"/>
  <c r="AN44" i="27"/>
  <c r="AM44" i="27"/>
  <c r="AL44" i="27"/>
  <c r="AK44" i="27"/>
  <c r="AY43" i="27"/>
  <c r="AX43" i="27"/>
  <c r="AU43" i="27"/>
  <c r="AT43" i="27"/>
  <c r="AN43" i="27"/>
  <c r="AM43" i="27"/>
  <c r="AL43" i="27"/>
  <c r="AK43" i="27"/>
  <c r="AO43" i="27" s="1"/>
  <c r="AY42" i="27"/>
  <c r="AX42" i="27"/>
  <c r="AU42" i="27"/>
  <c r="AZ42" i="27" s="1"/>
  <c r="AT42" i="27"/>
  <c r="AN42" i="27"/>
  <c r="AM42" i="27"/>
  <c r="AL42" i="27"/>
  <c r="AK42" i="27"/>
  <c r="AY41" i="27"/>
  <c r="AX41" i="27"/>
  <c r="AU41" i="27"/>
  <c r="AV41" i="27" s="1"/>
  <c r="AT41" i="27"/>
  <c r="AN41" i="27"/>
  <c r="AM41" i="27"/>
  <c r="AL41" i="27"/>
  <c r="AK41" i="27"/>
  <c r="AY40" i="27"/>
  <c r="AX40" i="27"/>
  <c r="AU40" i="27"/>
  <c r="AT40" i="27"/>
  <c r="AN40" i="27"/>
  <c r="AM40" i="27"/>
  <c r="AL40" i="27"/>
  <c r="AK40" i="27"/>
  <c r="AY39" i="27"/>
  <c r="AX39" i="27"/>
  <c r="AU39" i="27"/>
  <c r="AZ39" i="27" s="1"/>
  <c r="AT39" i="27"/>
  <c r="AN39" i="27"/>
  <c r="AM39" i="27"/>
  <c r="AL39" i="27"/>
  <c r="AK39" i="27"/>
  <c r="AY38" i="27"/>
  <c r="AX38" i="27"/>
  <c r="AU38" i="27"/>
  <c r="AT38" i="27"/>
  <c r="AN38" i="27"/>
  <c r="AM38" i="27"/>
  <c r="AL38" i="27"/>
  <c r="AK38" i="27"/>
  <c r="AY37" i="27"/>
  <c r="AX37" i="27"/>
  <c r="AU37" i="27"/>
  <c r="AT37" i="27"/>
  <c r="AN37" i="27"/>
  <c r="AM37" i="27"/>
  <c r="AL37" i="27"/>
  <c r="AK37" i="27"/>
  <c r="AY36" i="27"/>
  <c r="AX36" i="27"/>
  <c r="AU36" i="27"/>
  <c r="AT36" i="27"/>
  <c r="AN36" i="27"/>
  <c r="AM36" i="27"/>
  <c r="AL36" i="27"/>
  <c r="AY35" i="27"/>
  <c r="AX35" i="27"/>
  <c r="AU35" i="27"/>
  <c r="AT35" i="27"/>
  <c r="AN35" i="27"/>
  <c r="AM35" i="27"/>
  <c r="AL35" i="27"/>
  <c r="AK35" i="27"/>
  <c r="AY34" i="27"/>
  <c r="AX34" i="27"/>
  <c r="AU34" i="27"/>
  <c r="AT34" i="27"/>
  <c r="AN34" i="27"/>
  <c r="AM34" i="27"/>
  <c r="AL34" i="27"/>
  <c r="AK34" i="27"/>
  <c r="AY33" i="27"/>
  <c r="AX33" i="27"/>
  <c r="AU33" i="27"/>
  <c r="AT33" i="27"/>
  <c r="AN33" i="27"/>
  <c r="AM33" i="27"/>
  <c r="AL33" i="27"/>
  <c r="AK33" i="27"/>
  <c r="AY32" i="27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Y30" i="27"/>
  <c r="AX30" i="27"/>
  <c r="AU30" i="27"/>
  <c r="AT30" i="27"/>
  <c r="AN30" i="27"/>
  <c r="AM30" i="27"/>
  <c r="AL30" i="27"/>
  <c r="AK30" i="27"/>
  <c r="AY29" i="27"/>
  <c r="AX29" i="27"/>
  <c r="AT29" i="27"/>
  <c r="AN29" i="27"/>
  <c r="AM29" i="27"/>
  <c r="AL29" i="27"/>
  <c r="AK29" i="27"/>
  <c r="AY28" i="27"/>
  <c r="AX28" i="27"/>
  <c r="AU28" i="27"/>
  <c r="AT28" i="27"/>
  <c r="AN28" i="27"/>
  <c r="AM28" i="27"/>
  <c r="AL28" i="27"/>
  <c r="AK28" i="27"/>
  <c r="AY27" i="27"/>
  <c r="AX27" i="27"/>
  <c r="AT27" i="27"/>
  <c r="AN27" i="27"/>
  <c r="AM27" i="27"/>
  <c r="AL27" i="27"/>
  <c r="AY26" i="27"/>
  <c r="AX26" i="27"/>
  <c r="AU26" i="27"/>
  <c r="AT26" i="27"/>
  <c r="AN26" i="27"/>
  <c r="AM26" i="27"/>
  <c r="AL26" i="27"/>
  <c r="AK26" i="27"/>
  <c r="AY25" i="27"/>
  <c r="AX25" i="27"/>
  <c r="AU25" i="27"/>
  <c r="AT25" i="27"/>
  <c r="AN25" i="27"/>
  <c r="AM25" i="27"/>
  <c r="AL25" i="27"/>
  <c r="AK25" i="27"/>
  <c r="AY24" i="27"/>
  <c r="AX24" i="27"/>
  <c r="AU24" i="27"/>
  <c r="AT24" i="27"/>
  <c r="AN24" i="27"/>
  <c r="AM24" i="27"/>
  <c r="AL24" i="27"/>
  <c r="AY23" i="27"/>
  <c r="AX23" i="27"/>
  <c r="AU23" i="27"/>
  <c r="AT23" i="27"/>
  <c r="AN23" i="27"/>
  <c r="AM23" i="27"/>
  <c r="AL23" i="27"/>
  <c r="AY22" i="27"/>
  <c r="AX22" i="27"/>
  <c r="AU22" i="27"/>
  <c r="AT22" i="27"/>
  <c r="AN22" i="27"/>
  <c r="AM22" i="27"/>
  <c r="AL22" i="27"/>
  <c r="AK22" i="27"/>
  <c r="AX21" i="27"/>
  <c r="AT21" i="27"/>
  <c r="AN21" i="27"/>
  <c r="AM21" i="27"/>
  <c r="AL21" i="27"/>
  <c r="AK21" i="27"/>
  <c r="AY20" i="27"/>
  <c r="AX20" i="27"/>
  <c r="AU20" i="27"/>
  <c r="AT20" i="27"/>
  <c r="AN20" i="27"/>
  <c r="AM20" i="27"/>
  <c r="AL20" i="27"/>
  <c r="AK20" i="27"/>
  <c r="AY19" i="27"/>
  <c r="AX19" i="27"/>
  <c r="AT19" i="27"/>
  <c r="AN19" i="27"/>
  <c r="AM19" i="27"/>
  <c r="AL19" i="27"/>
  <c r="AK19" i="27"/>
  <c r="AY18" i="27"/>
  <c r="AX18" i="27"/>
  <c r="AU18" i="27"/>
  <c r="AT18" i="27"/>
  <c r="AN18" i="27"/>
  <c r="AM18" i="27"/>
  <c r="AL18" i="27"/>
  <c r="AK18" i="27"/>
  <c r="AY17" i="27"/>
  <c r="AX17" i="27"/>
  <c r="AT17" i="27"/>
  <c r="AN17" i="27"/>
  <c r="AM17" i="27"/>
  <c r="AL17" i="27"/>
  <c r="AK17" i="27"/>
  <c r="AY16" i="27"/>
  <c r="AX16" i="27"/>
  <c r="AU16" i="27"/>
  <c r="AT16" i="27"/>
  <c r="AN16" i="27"/>
  <c r="AM16" i="27"/>
  <c r="AL16" i="27"/>
  <c r="AY15" i="27"/>
  <c r="AX15" i="27"/>
  <c r="AU15" i="27"/>
  <c r="AT15" i="27"/>
  <c r="AN15" i="27"/>
  <c r="AM15" i="27"/>
  <c r="AL15" i="27"/>
  <c r="AK15" i="27"/>
  <c r="AY14" i="27"/>
  <c r="AX14" i="27"/>
  <c r="AU14" i="27"/>
  <c r="AT14" i="27"/>
  <c r="AN14" i="27"/>
  <c r="AM14" i="27"/>
  <c r="AL14" i="27"/>
  <c r="AK14" i="27"/>
  <c r="AY13" i="27"/>
  <c r="AX13" i="27"/>
  <c r="AT13" i="27"/>
  <c r="AN13" i="27"/>
  <c r="AM13" i="27"/>
  <c r="AL13" i="27"/>
  <c r="AY12" i="27"/>
  <c r="AX12" i="27"/>
  <c r="AU12" i="27"/>
  <c r="AT12" i="27"/>
  <c r="AN12" i="27"/>
  <c r="AM12" i="27"/>
  <c r="AL12" i="27"/>
  <c r="AY11" i="27"/>
  <c r="AX11" i="27"/>
  <c r="AU11" i="27"/>
  <c r="AT11" i="27"/>
  <c r="AN11" i="27"/>
  <c r="AM11" i="27"/>
  <c r="AL11" i="27"/>
  <c r="AK11" i="27"/>
  <c r="AX10" i="27"/>
  <c r="AT10" i="27"/>
  <c r="AN10" i="27"/>
  <c r="AM10" i="27"/>
  <c r="AL10" i="27"/>
  <c r="AK10" i="27"/>
  <c r="AX9" i="27"/>
  <c r="AT9" i="27"/>
  <c r="AN9" i="27"/>
  <c r="AM9" i="27"/>
  <c r="AL9" i="27"/>
  <c r="AK9" i="27"/>
  <c r="AX8" i="27"/>
  <c r="AT8" i="27"/>
  <c r="AN8" i="27"/>
  <c r="AM8" i="27"/>
  <c r="AL8" i="27"/>
  <c r="AK8" i="27"/>
  <c r="AY7" i="27"/>
  <c r="AX7" i="27"/>
  <c r="AU7" i="27"/>
  <c r="AT7" i="27"/>
  <c r="AN7" i="27"/>
  <c r="AM7" i="27"/>
  <c r="AL7" i="27"/>
  <c r="AK7" i="27"/>
  <c r="AX6" i="27"/>
  <c r="AT6" i="27"/>
  <c r="AN6" i="27"/>
  <c r="AM6" i="27"/>
  <c r="AL6" i="27"/>
  <c r="AK6" i="27"/>
  <c r="AY5" i="27"/>
  <c r="AX5" i="27"/>
  <c r="AU5" i="27"/>
  <c r="AT5" i="27"/>
  <c r="AN5" i="27"/>
  <c r="AM5" i="27"/>
  <c r="AL5" i="27"/>
  <c r="AK5" i="27"/>
  <c r="AY4" i="27"/>
  <c r="AX4" i="27"/>
  <c r="AT4" i="27"/>
  <c r="AN4" i="27"/>
  <c r="AM4" i="27"/>
  <c r="AL4" i="27"/>
  <c r="AK4" i="27"/>
  <c r="AY3" i="27"/>
  <c r="AX3" i="27"/>
  <c r="AT3" i="27"/>
  <c r="AN3" i="27"/>
  <c r="AM3" i="27"/>
  <c r="AL3" i="27"/>
  <c r="AY47" i="26"/>
  <c r="AX47" i="26"/>
  <c r="AU47" i="26"/>
  <c r="AT47" i="26"/>
  <c r="AN47" i="26"/>
  <c r="AM47" i="26"/>
  <c r="AL47" i="26"/>
  <c r="AK47" i="26"/>
  <c r="AY46" i="26"/>
  <c r="AX46" i="26"/>
  <c r="AU46" i="26"/>
  <c r="AT46" i="26"/>
  <c r="AN46" i="26"/>
  <c r="AM46" i="26"/>
  <c r="AL46" i="26"/>
  <c r="AK46" i="26"/>
  <c r="AY45" i="26"/>
  <c r="AX45" i="26"/>
  <c r="AU45" i="26"/>
  <c r="AZ45" i="26" s="1"/>
  <c r="AT45" i="26"/>
  <c r="AN45" i="26"/>
  <c r="AM45" i="26"/>
  <c r="AL45" i="26"/>
  <c r="AK45" i="26"/>
  <c r="AY44" i="26"/>
  <c r="AX44" i="26"/>
  <c r="AU44" i="26"/>
  <c r="AV44" i="26" s="1"/>
  <c r="AT44" i="26"/>
  <c r="AN44" i="26"/>
  <c r="AM44" i="26"/>
  <c r="AL44" i="26"/>
  <c r="AK44" i="26"/>
  <c r="AO44" i="26" s="1"/>
  <c r="AY43" i="26"/>
  <c r="AX43" i="26"/>
  <c r="AU43" i="26"/>
  <c r="AV43" i="26" s="1"/>
  <c r="AT43" i="26"/>
  <c r="AN43" i="26"/>
  <c r="AM43" i="26"/>
  <c r="AL43" i="26"/>
  <c r="AK43" i="26"/>
  <c r="AO43" i="26" s="1"/>
  <c r="BC43" i="26" s="1"/>
  <c r="AY42" i="26"/>
  <c r="AX42" i="26"/>
  <c r="AU42" i="26"/>
  <c r="AZ42" i="26" s="1"/>
  <c r="AT42" i="26"/>
  <c r="AN42" i="26"/>
  <c r="AM42" i="26"/>
  <c r="AL42" i="26"/>
  <c r="AK42" i="26"/>
  <c r="AY41" i="26"/>
  <c r="AX41" i="26"/>
  <c r="AU41" i="26"/>
  <c r="AT41" i="26"/>
  <c r="AN41" i="26"/>
  <c r="AM41" i="26"/>
  <c r="AL41" i="26"/>
  <c r="AK41" i="26"/>
  <c r="AY40" i="26"/>
  <c r="AX40" i="26"/>
  <c r="AU40" i="26"/>
  <c r="AZ40" i="26" s="1"/>
  <c r="AT40" i="26"/>
  <c r="AN40" i="26"/>
  <c r="AM40" i="26"/>
  <c r="AL40" i="26"/>
  <c r="AK40" i="26"/>
  <c r="AY39" i="26"/>
  <c r="AX39" i="26"/>
  <c r="AU39" i="26"/>
  <c r="AV39" i="26" s="1"/>
  <c r="AT39" i="26"/>
  <c r="AN39" i="26"/>
  <c r="AM39" i="26"/>
  <c r="AL39" i="26"/>
  <c r="AK39" i="26"/>
  <c r="AY38" i="26"/>
  <c r="AX38" i="26"/>
  <c r="AU38" i="26"/>
  <c r="AZ38" i="26" s="1"/>
  <c r="AT38" i="26"/>
  <c r="AN38" i="26"/>
  <c r="AM38" i="26"/>
  <c r="AL38" i="26"/>
  <c r="AK38" i="26"/>
  <c r="AY37" i="26"/>
  <c r="AX37" i="26"/>
  <c r="AU37" i="26"/>
  <c r="AT37" i="26"/>
  <c r="AN37" i="26"/>
  <c r="AM37" i="26"/>
  <c r="AL37" i="26"/>
  <c r="AK37" i="26"/>
  <c r="AY36" i="26"/>
  <c r="AX36" i="26"/>
  <c r="AU36" i="26"/>
  <c r="AT36" i="26"/>
  <c r="AN36" i="26"/>
  <c r="AM36" i="26"/>
  <c r="AL36" i="26"/>
  <c r="AY35" i="26"/>
  <c r="AX35" i="26"/>
  <c r="AU35" i="26"/>
  <c r="AT35" i="26"/>
  <c r="AN35" i="26"/>
  <c r="AM35" i="26"/>
  <c r="AL35" i="26"/>
  <c r="AK35" i="26"/>
  <c r="AY34" i="26"/>
  <c r="AX34" i="26"/>
  <c r="AU34" i="26"/>
  <c r="AT34" i="26"/>
  <c r="AN34" i="26"/>
  <c r="AM34" i="26"/>
  <c r="AL34" i="26"/>
  <c r="AK34" i="26"/>
  <c r="AY33" i="26"/>
  <c r="AX33" i="26"/>
  <c r="AU33" i="26"/>
  <c r="AT33" i="26"/>
  <c r="AN33" i="26"/>
  <c r="AM33" i="26"/>
  <c r="AL33" i="26"/>
  <c r="AK33" i="26"/>
  <c r="AY32" i="26"/>
  <c r="AX32" i="26"/>
  <c r="AU32" i="26"/>
  <c r="AT32" i="26"/>
  <c r="AN32" i="26"/>
  <c r="AM32" i="26"/>
  <c r="AL32" i="26"/>
  <c r="AK32" i="26"/>
  <c r="AY31" i="26"/>
  <c r="AX31" i="26"/>
  <c r="AU31" i="26"/>
  <c r="AT31" i="26"/>
  <c r="AN31" i="26"/>
  <c r="AM31" i="26"/>
  <c r="AL31" i="26"/>
  <c r="AY30" i="26"/>
  <c r="AX30" i="26"/>
  <c r="AU30" i="26"/>
  <c r="AT30" i="26"/>
  <c r="AN30" i="26"/>
  <c r="AM30" i="26"/>
  <c r="AL30" i="26"/>
  <c r="AK30" i="26"/>
  <c r="AY29" i="26"/>
  <c r="AX29" i="26"/>
  <c r="AT29" i="26"/>
  <c r="AN29" i="26"/>
  <c r="AM29" i="26"/>
  <c r="AL29" i="26"/>
  <c r="AK29" i="26"/>
  <c r="AY28" i="26"/>
  <c r="AX28" i="26"/>
  <c r="AU28" i="26"/>
  <c r="AT28" i="26"/>
  <c r="AN28" i="26"/>
  <c r="AM28" i="26"/>
  <c r="AL28" i="26"/>
  <c r="AK28" i="26"/>
  <c r="AX27" i="26"/>
  <c r="AT27" i="26"/>
  <c r="AN27" i="26"/>
  <c r="AM27" i="26"/>
  <c r="AL27" i="26"/>
  <c r="AY26" i="26"/>
  <c r="AX26" i="26"/>
  <c r="AU26" i="26"/>
  <c r="AT26" i="26"/>
  <c r="AN26" i="26"/>
  <c r="AM26" i="26"/>
  <c r="AL26" i="26"/>
  <c r="AK26" i="26"/>
  <c r="AY25" i="26"/>
  <c r="AX25" i="26"/>
  <c r="AU25" i="26"/>
  <c r="AT25" i="26"/>
  <c r="AN25" i="26"/>
  <c r="AM25" i="26"/>
  <c r="AL25" i="26"/>
  <c r="AK25" i="26"/>
  <c r="AY24" i="26"/>
  <c r="AX24" i="26"/>
  <c r="AU24" i="26"/>
  <c r="AT24" i="26"/>
  <c r="AN24" i="26"/>
  <c r="AM24" i="26"/>
  <c r="AL24" i="26"/>
  <c r="AY23" i="26"/>
  <c r="AX23" i="26"/>
  <c r="AT23" i="26"/>
  <c r="AN23" i="26"/>
  <c r="AM23" i="26"/>
  <c r="AL23" i="26"/>
  <c r="AY22" i="26"/>
  <c r="AX22" i="26"/>
  <c r="AU22" i="26"/>
  <c r="AT22" i="26"/>
  <c r="AN22" i="26"/>
  <c r="AM22" i="26"/>
  <c r="AL22" i="26"/>
  <c r="AK22" i="26"/>
  <c r="AX21" i="26"/>
  <c r="AT21" i="26"/>
  <c r="AN21" i="26"/>
  <c r="AM21" i="26"/>
  <c r="AL21" i="26"/>
  <c r="AK21" i="26"/>
  <c r="AY20" i="26"/>
  <c r="AX20" i="26"/>
  <c r="AU20" i="26"/>
  <c r="AT20" i="26"/>
  <c r="AN20" i="26"/>
  <c r="AM20" i="26"/>
  <c r="AL20" i="26"/>
  <c r="AK20" i="26"/>
  <c r="AX19" i="26"/>
  <c r="AT19" i="26"/>
  <c r="AN19" i="26"/>
  <c r="AM19" i="26"/>
  <c r="AL19" i="26"/>
  <c r="AK19" i="26"/>
  <c r="AY18" i="26"/>
  <c r="AX18" i="26"/>
  <c r="AU18" i="26"/>
  <c r="AT18" i="26"/>
  <c r="AN18" i="26"/>
  <c r="AM18" i="26"/>
  <c r="AL18" i="26"/>
  <c r="AK18" i="26"/>
  <c r="AY17" i="26"/>
  <c r="AX17" i="26"/>
  <c r="AT17" i="26"/>
  <c r="AN17" i="26"/>
  <c r="AM17" i="26"/>
  <c r="AL17" i="26"/>
  <c r="AK17" i="26"/>
  <c r="AY16" i="26"/>
  <c r="AX16" i="26"/>
  <c r="AU16" i="26"/>
  <c r="AT16" i="26"/>
  <c r="AN16" i="26"/>
  <c r="AM16" i="26"/>
  <c r="AL16" i="26"/>
  <c r="AY15" i="26"/>
  <c r="AX15" i="26"/>
  <c r="AU15" i="26"/>
  <c r="AT15" i="26"/>
  <c r="AN15" i="26"/>
  <c r="AM15" i="26"/>
  <c r="AL15" i="26"/>
  <c r="AK15" i="26"/>
  <c r="AY14" i="26"/>
  <c r="AX14" i="26"/>
  <c r="AU14" i="26"/>
  <c r="AT14" i="26"/>
  <c r="AN14" i="26"/>
  <c r="AM14" i="26"/>
  <c r="AL14" i="26"/>
  <c r="AK14" i="26"/>
  <c r="AY13" i="26"/>
  <c r="AX13" i="26"/>
  <c r="AT13" i="26"/>
  <c r="AN13" i="26"/>
  <c r="AM13" i="26"/>
  <c r="AL13" i="26"/>
  <c r="AY12" i="26"/>
  <c r="AX12" i="26"/>
  <c r="AU12" i="26"/>
  <c r="AT12" i="26"/>
  <c r="AN12" i="26"/>
  <c r="AM12" i="26"/>
  <c r="AL12" i="26"/>
  <c r="AY11" i="26"/>
  <c r="AX11" i="26"/>
  <c r="AU11" i="26"/>
  <c r="AT11" i="26"/>
  <c r="AN11" i="26"/>
  <c r="AM11" i="26"/>
  <c r="AL11" i="26"/>
  <c r="AK11" i="26"/>
  <c r="AX10" i="26"/>
  <c r="AT10" i="26"/>
  <c r="AN10" i="26"/>
  <c r="AM10" i="26"/>
  <c r="AL10" i="26"/>
  <c r="AK10" i="26"/>
  <c r="AX9" i="26"/>
  <c r="AT9" i="26"/>
  <c r="AN9" i="26"/>
  <c r="AM9" i="26"/>
  <c r="AL9" i="26"/>
  <c r="AK9" i="26"/>
  <c r="AX8" i="26"/>
  <c r="AT8" i="26"/>
  <c r="AN8" i="26"/>
  <c r="AM8" i="26"/>
  <c r="AL8" i="26"/>
  <c r="AK8" i="26"/>
  <c r="AY7" i="26"/>
  <c r="AX7" i="26"/>
  <c r="AU7" i="26"/>
  <c r="AT7" i="26"/>
  <c r="AN7" i="26"/>
  <c r="AM7" i="26"/>
  <c r="AL7" i="26"/>
  <c r="AK7" i="26"/>
  <c r="AX6" i="26"/>
  <c r="AT6" i="26"/>
  <c r="AN6" i="26"/>
  <c r="AM6" i="26"/>
  <c r="AL6" i="26"/>
  <c r="AK6" i="26"/>
  <c r="AY5" i="26"/>
  <c r="AX5" i="26"/>
  <c r="AU5" i="26"/>
  <c r="AT5" i="26"/>
  <c r="AN5" i="26"/>
  <c r="AM5" i="26"/>
  <c r="AL5" i="26"/>
  <c r="AK5" i="26"/>
  <c r="AY4" i="26"/>
  <c r="AX4" i="26"/>
  <c r="AT4" i="26"/>
  <c r="AN4" i="26"/>
  <c r="AM4" i="26"/>
  <c r="AL4" i="26"/>
  <c r="AK4" i="26"/>
  <c r="AY3" i="26"/>
  <c r="AX3" i="26"/>
  <c r="AT3" i="26"/>
  <c r="AN3" i="26"/>
  <c r="AM3" i="26"/>
  <c r="AL3" i="26"/>
  <c r="AZ43" i="31" l="1"/>
  <c r="AO43" i="32"/>
  <c r="AZ44" i="31"/>
  <c r="AZ47" i="32"/>
  <c r="AZ46" i="26"/>
  <c r="AZ39" i="31"/>
  <c r="AO42" i="31"/>
  <c r="AR42" i="31" s="1"/>
  <c r="AO42" i="30"/>
  <c r="AO46" i="28"/>
  <c r="AO44" i="29"/>
  <c r="AO29" i="31"/>
  <c r="AZ44" i="29"/>
  <c r="AO22" i="31"/>
  <c r="BC22" i="31" s="1"/>
  <c r="AO39" i="26"/>
  <c r="AO42" i="27"/>
  <c r="AO42" i="32"/>
  <c r="AO43" i="30"/>
  <c r="AO38" i="27"/>
  <c r="AZ42" i="30"/>
  <c r="AO30" i="31"/>
  <c r="AO41" i="31"/>
  <c r="AO42" i="28"/>
  <c r="AO47" i="30"/>
  <c r="BB38" i="29"/>
  <c r="AO22" i="29"/>
  <c r="BB22" i="29" s="1"/>
  <c r="AO28" i="29"/>
  <c r="AO4" i="29"/>
  <c r="AO37" i="29"/>
  <c r="AO13" i="29"/>
  <c r="AO30" i="27"/>
  <c r="AO37" i="27"/>
  <c r="AO15" i="27"/>
  <c r="AO26" i="27"/>
  <c r="AO36" i="27"/>
  <c r="AO22" i="27"/>
  <c r="AO12" i="27"/>
  <c r="AO14" i="27"/>
  <c r="AO27" i="26"/>
  <c r="AO23" i="26"/>
  <c r="AO3" i="26"/>
  <c r="AO12" i="26"/>
  <c r="AO18" i="26"/>
  <c r="AO11" i="26"/>
  <c r="AO37" i="28"/>
  <c r="AO41" i="28"/>
  <c r="AO21" i="28"/>
  <c r="AZ38" i="30"/>
  <c r="AO18" i="30"/>
  <c r="AV38" i="32"/>
  <c r="AO38" i="32"/>
  <c r="BB38" i="32" s="1"/>
  <c r="AV35" i="29"/>
  <c r="AZ47" i="28"/>
  <c r="AO46" i="32"/>
  <c r="BB46" i="32" s="1"/>
  <c r="AV45" i="32"/>
  <c r="AV42" i="32"/>
  <c r="AV41" i="32"/>
  <c r="AV36" i="32"/>
  <c r="AZ47" i="31"/>
  <c r="AO46" i="31"/>
  <c r="BC46" i="31" s="1"/>
  <c r="AV43" i="31"/>
  <c r="AO38" i="31"/>
  <c r="AV20" i="30"/>
  <c r="AV28" i="31"/>
  <c r="AZ27" i="31"/>
  <c r="AV27" i="31"/>
  <c r="AZ26" i="31"/>
  <c r="AV12" i="31"/>
  <c r="AO11" i="31"/>
  <c r="AV7" i="29"/>
  <c r="AO19" i="28"/>
  <c r="AO46" i="30"/>
  <c r="BC46" i="30" s="1"/>
  <c r="AV41" i="30"/>
  <c r="AZ40" i="30"/>
  <c r="AO38" i="30"/>
  <c r="BC38" i="30" s="1"/>
  <c r="AV35" i="30"/>
  <c r="AO34" i="30"/>
  <c r="AV31" i="30"/>
  <c r="AZ29" i="30"/>
  <c r="AZ25" i="30"/>
  <c r="AZ24" i="30"/>
  <c r="AZ7" i="29"/>
  <c r="AV16" i="30"/>
  <c r="AV11" i="30"/>
  <c r="AO6" i="30"/>
  <c r="AV47" i="29"/>
  <c r="AO47" i="29"/>
  <c r="AZ46" i="29"/>
  <c r="AO46" i="29"/>
  <c r="BB46" i="29" s="1"/>
  <c r="AZ43" i="29"/>
  <c r="AV43" i="29"/>
  <c r="AZ42" i="29"/>
  <c r="AZ39" i="29"/>
  <c r="AV39" i="29"/>
  <c r="AZ18" i="28"/>
  <c r="AZ32" i="29"/>
  <c r="AO31" i="29"/>
  <c r="AV30" i="29"/>
  <c r="AO26" i="29"/>
  <c r="AV20" i="29"/>
  <c r="AZ18" i="29"/>
  <c r="AV18" i="29"/>
  <c r="AO14" i="29"/>
  <c r="AV44" i="28"/>
  <c r="AV43" i="28"/>
  <c r="AO43" i="28"/>
  <c r="AZ42" i="28"/>
  <c r="AV42" i="28"/>
  <c r="AV40" i="28"/>
  <c r="AV39" i="28"/>
  <c r="AO39" i="28"/>
  <c r="AZ38" i="28"/>
  <c r="AV38" i="28"/>
  <c r="AO38" i="28"/>
  <c r="BB38" i="28" s="1"/>
  <c r="AV32" i="28"/>
  <c r="AV30" i="28"/>
  <c r="AO30" i="28"/>
  <c r="AV26" i="28"/>
  <c r="AO26" i="28"/>
  <c r="AV12" i="28"/>
  <c r="AV44" i="27"/>
  <c r="AZ43" i="27"/>
  <c r="AV43" i="27"/>
  <c r="AV42" i="27"/>
  <c r="AV40" i="27"/>
  <c r="AO47" i="26"/>
  <c r="AO23" i="27"/>
  <c r="AZ12" i="27"/>
  <c r="AV12" i="27"/>
  <c r="AZ43" i="26"/>
  <c r="AO42" i="26"/>
  <c r="AV41" i="26"/>
  <c r="AV33" i="26"/>
  <c r="AO19" i="26"/>
  <c r="AZ42" i="31"/>
  <c r="AO39" i="31"/>
  <c r="AZ37" i="32"/>
  <c r="AV37" i="31"/>
  <c r="AZ36" i="31"/>
  <c r="AV35" i="31"/>
  <c r="AV34" i="31"/>
  <c r="AV33" i="31"/>
  <c r="AZ31" i="31"/>
  <c r="AV30" i="31"/>
  <c r="AV29" i="31"/>
  <c r="AZ28" i="31"/>
  <c r="AV26" i="31"/>
  <c r="AV25" i="31"/>
  <c r="AV22" i="31"/>
  <c r="AZ20" i="31"/>
  <c r="AV18" i="31"/>
  <c r="AV14" i="31"/>
  <c r="AV7" i="31"/>
  <c r="AV5" i="31"/>
  <c r="AZ37" i="30"/>
  <c r="AV36" i="30"/>
  <c r="AZ33" i="30"/>
  <c r="AV32" i="30"/>
  <c r="AV29" i="30"/>
  <c r="AV25" i="30"/>
  <c r="AV24" i="30"/>
  <c r="AZ15" i="30"/>
  <c r="AZ14" i="30"/>
  <c r="AV12" i="30"/>
  <c r="AV9" i="30"/>
  <c r="AZ5" i="30"/>
  <c r="AZ3" i="30"/>
  <c r="AV37" i="29"/>
  <c r="AV34" i="29"/>
  <c r="AV33" i="29"/>
  <c r="AV29" i="29"/>
  <c r="AV28" i="29"/>
  <c r="AV26" i="29"/>
  <c r="AV25" i="29"/>
  <c r="AV22" i="29"/>
  <c r="AZ15" i="29"/>
  <c r="AV14" i="29"/>
  <c r="AZ12" i="29"/>
  <c r="AV11" i="29"/>
  <c r="AV37" i="28"/>
  <c r="AZ36" i="28"/>
  <c r="AV35" i="28"/>
  <c r="AV34" i="28"/>
  <c r="AV33" i="28"/>
  <c r="AZ31" i="28"/>
  <c r="AV25" i="28"/>
  <c r="AV22" i="28"/>
  <c r="AV18" i="28"/>
  <c r="AV14" i="28"/>
  <c r="AV11" i="28"/>
  <c r="AV7" i="28"/>
  <c r="AV5" i="28"/>
  <c r="AV37" i="27"/>
  <c r="AV35" i="27"/>
  <c r="AV33" i="27"/>
  <c r="AV31" i="27"/>
  <c r="AV28" i="27"/>
  <c r="AV25" i="27"/>
  <c r="AZ24" i="27"/>
  <c r="AV23" i="27"/>
  <c r="AZ22" i="27"/>
  <c r="AZ20" i="27"/>
  <c r="AV15" i="27"/>
  <c r="AZ11" i="27"/>
  <c r="AV7" i="27"/>
  <c r="AV5" i="27"/>
  <c r="AZ37" i="26"/>
  <c r="AV36" i="26"/>
  <c r="AV35" i="26"/>
  <c r="AZ34" i="26"/>
  <c r="AV31" i="26"/>
  <c r="AZ28" i="26"/>
  <c r="AV25" i="26"/>
  <c r="AV24" i="26"/>
  <c r="AZ22" i="26"/>
  <c r="AZ16" i="26"/>
  <c r="AV15" i="26"/>
  <c r="AZ14" i="26"/>
  <c r="AV12" i="26"/>
  <c r="AZ11" i="26"/>
  <c r="AZ7" i="26"/>
  <c r="AV40" i="26"/>
  <c r="AO4" i="26"/>
  <c r="AO6" i="26"/>
  <c r="AZ24" i="26"/>
  <c r="AZ30" i="26"/>
  <c r="AZ32" i="26"/>
  <c r="AZ33" i="26"/>
  <c r="AO38" i="26"/>
  <c r="AZ39" i="26"/>
  <c r="AZ41" i="26"/>
  <c r="AZ44" i="26"/>
  <c r="AZ47" i="26"/>
  <c r="AO31" i="27"/>
  <c r="AZ40" i="27"/>
  <c r="AO44" i="27"/>
  <c r="AO5" i="28"/>
  <c r="AZ44" i="28"/>
  <c r="AO47" i="28"/>
  <c r="BC47" i="28" s="1"/>
  <c r="AO18" i="29"/>
  <c r="AO24" i="29"/>
  <c r="AV44" i="29"/>
  <c r="AO24" i="30"/>
  <c r="AO31" i="30"/>
  <c r="AV37" i="30"/>
  <c r="AO3" i="31"/>
  <c r="AO4" i="31"/>
  <c r="AO7" i="31"/>
  <c r="AZ11" i="31"/>
  <c r="AZ15" i="31"/>
  <c r="AZ16" i="31"/>
  <c r="AO47" i="31"/>
  <c r="BC47" i="31" s="1"/>
  <c r="AV37" i="32"/>
  <c r="AO7" i="26"/>
  <c r="AV39" i="27"/>
  <c r="AO15" i="28"/>
  <c r="AZ12" i="26"/>
  <c r="AO15" i="26"/>
  <c r="AO25" i="26"/>
  <c r="AO40" i="26"/>
  <c r="AO45" i="26"/>
  <c r="AZ7" i="27"/>
  <c r="AO10" i="27"/>
  <c r="AO13" i="27"/>
  <c r="AO18" i="27"/>
  <c r="AO39" i="27"/>
  <c r="AO45" i="27"/>
  <c r="AO4" i="28"/>
  <c r="AO6" i="28"/>
  <c r="AZ15" i="28"/>
  <c r="AZ16" i="28"/>
  <c r="AO22" i="28"/>
  <c r="AO28" i="28"/>
  <c r="AZ11" i="29"/>
  <c r="AO16" i="29"/>
  <c r="AO21" i="29"/>
  <c r="AO30" i="29"/>
  <c r="AZ7" i="30"/>
  <c r="AO11" i="30"/>
  <c r="AZ16" i="30"/>
  <c r="AO19" i="30"/>
  <c r="AO22" i="30"/>
  <c r="AO30" i="30"/>
  <c r="AO41" i="30"/>
  <c r="AV44" i="30"/>
  <c r="AO20" i="31"/>
  <c r="AO26" i="31"/>
  <c r="AV44" i="31"/>
  <c r="AO41" i="32"/>
  <c r="AZ42" i="32"/>
  <c r="AV44" i="32"/>
  <c r="AV45" i="26"/>
  <c r="AO47" i="27"/>
  <c r="AZ11" i="28"/>
  <c r="AZ38" i="29"/>
  <c r="AZ43" i="30"/>
  <c r="AV39" i="31"/>
  <c r="AZ43" i="32"/>
  <c r="AO31" i="26"/>
  <c r="AV37" i="26"/>
  <c r="AO41" i="26"/>
  <c r="AO6" i="27"/>
  <c r="AV24" i="27"/>
  <c r="AO40" i="27"/>
  <c r="AZ40" i="28"/>
  <c r="AO44" i="28"/>
  <c r="AO9" i="29"/>
  <c r="AO10" i="29"/>
  <c r="AV40" i="29"/>
  <c r="AO43" i="29"/>
  <c r="BC43" i="29" s="1"/>
  <c r="AO45" i="29"/>
  <c r="AO26" i="30"/>
  <c r="AO37" i="30"/>
  <c r="AO44" i="30"/>
  <c r="AV45" i="30"/>
  <c r="AO15" i="31"/>
  <c r="AO16" i="31"/>
  <c r="AO37" i="31"/>
  <c r="AZ38" i="31"/>
  <c r="AZ40" i="31"/>
  <c r="AO44" i="31"/>
  <c r="AZ40" i="32"/>
  <c r="AO44" i="32"/>
  <c r="BC44" i="32" s="1"/>
  <c r="AZ5" i="26"/>
  <c r="AZ35" i="26"/>
  <c r="AO46" i="26"/>
  <c r="AZ14" i="27"/>
  <c r="AZ16" i="27"/>
  <c r="AZ18" i="27"/>
  <c r="AZ30" i="27"/>
  <c r="AZ32" i="27"/>
  <c r="AZ36" i="27"/>
  <c r="AO41" i="27"/>
  <c r="AO9" i="28"/>
  <c r="AO18" i="28"/>
  <c r="AO45" i="28"/>
  <c r="AZ46" i="28"/>
  <c r="AO10" i="30"/>
  <c r="AO14" i="30"/>
  <c r="AZ23" i="30"/>
  <c r="AZ46" i="30"/>
  <c r="AZ47" i="30"/>
  <c r="AO10" i="31"/>
  <c r="AO13" i="31"/>
  <c r="AO14" i="31"/>
  <c r="AV40" i="31"/>
  <c r="AO43" i="31"/>
  <c r="AO45" i="31"/>
  <c r="BC45" i="31" s="1"/>
  <c r="AZ46" i="31"/>
  <c r="AO37" i="32"/>
  <c r="AZ38" i="32"/>
  <c r="AV40" i="32"/>
  <c r="AZ41" i="32"/>
  <c r="AV47" i="32"/>
  <c r="AO8" i="26"/>
  <c r="AZ18" i="26"/>
  <c r="AZ20" i="26"/>
  <c r="AO36" i="26"/>
  <c r="AO37" i="26"/>
  <c r="AV16" i="27"/>
  <c r="AO28" i="27"/>
  <c r="AZ28" i="27"/>
  <c r="AZ38" i="27"/>
  <c r="AZ7" i="28"/>
  <c r="AO10" i="28"/>
  <c r="AO14" i="28"/>
  <c r="AZ24" i="28"/>
  <c r="AO8" i="29"/>
  <c r="AZ20" i="29"/>
  <c r="AZ24" i="29"/>
  <c r="AV23" i="30"/>
  <c r="AZ26" i="30"/>
  <c r="AZ28" i="30"/>
  <c r="AZ30" i="30"/>
  <c r="AO39" i="30"/>
  <c r="AZ39" i="30"/>
  <c r="AZ41" i="30"/>
  <c r="AV47" i="30"/>
  <c r="AZ3" i="31"/>
  <c r="AZ7" i="31"/>
  <c r="AZ23" i="31"/>
  <c r="AO39" i="32"/>
  <c r="AZ39" i="32"/>
  <c r="AZ46" i="32"/>
  <c r="AO40" i="28"/>
  <c r="AO5" i="29"/>
  <c r="AO6" i="29"/>
  <c r="AO40" i="30"/>
  <c r="AO45" i="30"/>
  <c r="AO40" i="31"/>
  <c r="AO40" i="32"/>
  <c r="AO45" i="32"/>
  <c r="AO47" i="32"/>
  <c r="AZ9" i="31"/>
  <c r="AZ5" i="31"/>
  <c r="AV9" i="31"/>
  <c r="AZ13" i="30"/>
  <c r="AZ18" i="30"/>
  <c r="AZ36" i="32"/>
  <c r="AO36" i="32"/>
  <c r="AZ35" i="31"/>
  <c r="AZ34" i="31"/>
  <c r="AV36" i="31"/>
  <c r="AO34" i="31"/>
  <c r="AO36" i="31"/>
  <c r="AO24" i="31"/>
  <c r="AO32" i="31"/>
  <c r="AV3" i="31"/>
  <c r="AZ14" i="31"/>
  <c r="AV15" i="31"/>
  <c r="AO19" i="31"/>
  <c r="AO23" i="31"/>
  <c r="AO25" i="31"/>
  <c r="AO31" i="31"/>
  <c r="AO33" i="31"/>
  <c r="AV11" i="31"/>
  <c r="AV16" i="31"/>
  <c r="AV20" i="31"/>
  <c r="AO5" i="31"/>
  <c r="AO9" i="31"/>
  <c r="AZ12" i="31"/>
  <c r="AV23" i="31"/>
  <c r="AO28" i="31"/>
  <c r="AV31" i="31"/>
  <c r="AZ18" i="31"/>
  <c r="AZ22" i="31"/>
  <c r="AZ24" i="31"/>
  <c r="AO27" i="31"/>
  <c r="AZ30" i="31"/>
  <c r="AZ32" i="31"/>
  <c r="AO35" i="31"/>
  <c r="AO8" i="31"/>
  <c r="AO17" i="31"/>
  <c r="AO21" i="31"/>
  <c r="AV24" i="31"/>
  <c r="AV32" i="31"/>
  <c r="AO6" i="31"/>
  <c r="AO12" i="31"/>
  <c r="AO18" i="31"/>
  <c r="AZ36" i="30"/>
  <c r="AZ34" i="30"/>
  <c r="AZ35" i="30"/>
  <c r="AV3" i="30"/>
  <c r="AV5" i="30"/>
  <c r="AV7" i="30"/>
  <c r="AO32" i="30"/>
  <c r="AV33" i="30"/>
  <c r="AV13" i="30"/>
  <c r="AO17" i="30"/>
  <c r="AO21" i="30"/>
  <c r="AV28" i="30"/>
  <c r="AZ32" i="30"/>
  <c r="AO3" i="30"/>
  <c r="AO5" i="30"/>
  <c r="AO7" i="30"/>
  <c r="AO12" i="30"/>
  <c r="AZ12" i="30"/>
  <c r="AO25" i="30"/>
  <c r="AO27" i="30"/>
  <c r="AO4" i="30"/>
  <c r="AO8" i="30"/>
  <c r="AO9" i="30"/>
  <c r="AV15" i="30"/>
  <c r="AZ22" i="30"/>
  <c r="AO28" i="30"/>
  <c r="AO33" i="30"/>
  <c r="AZ31" i="30"/>
  <c r="AO13" i="30"/>
  <c r="AO15" i="30"/>
  <c r="AO35" i="30"/>
  <c r="AZ9" i="30"/>
  <c r="AZ11" i="30"/>
  <c r="AO16" i="30"/>
  <c r="AO20" i="30"/>
  <c r="AZ20" i="30"/>
  <c r="AO23" i="30"/>
  <c r="AO29" i="30"/>
  <c r="AO36" i="30"/>
  <c r="AZ35" i="29"/>
  <c r="AZ36" i="29"/>
  <c r="AO34" i="29"/>
  <c r="AV36" i="29"/>
  <c r="AO36" i="29"/>
  <c r="AO33" i="29"/>
  <c r="AV12" i="29"/>
  <c r="AO15" i="29"/>
  <c r="AO17" i="29"/>
  <c r="AO20" i="29"/>
  <c r="AZ22" i="29"/>
  <c r="AZ34" i="29"/>
  <c r="AO12" i="29"/>
  <c r="AV24" i="29"/>
  <c r="AO27" i="29"/>
  <c r="AO29" i="29"/>
  <c r="AO11" i="29"/>
  <c r="AV15" i="29"/>
  <c r="AZ30" i="29"/>
  <c r="AZ14" i="29"/>
  <c r="AZ16" i="29"/>
  <c r="AO19" i="29"/>
  <c r="AV32" i="29"/>
  <c r="AO35" i="29"/>
  <c r="AO7" i="29"/>
  <c r="AV16" i="29"/>
  <c r="AO23" i="29"/>
  <c r="AO25" i="29"/>
  <c r="AO3" i="29"/>
  <c r="AZ26" i="29"/>
  <c r="AZ28" i="29"/>
  <c r="AO32" i="29"/>
  <c r="AV36" i="28"/>
  <c r="AO34" i="28"/>
  <c r="AO35" i="28"/>
  <c r="AO12" i="28"/>
  <c r="AV24" i="28"/>
  <c r="AO27" i="28"/>
  <c r="AO29" i="28"/>
  <c r="AV31" i="28"/>
  <c r="AZ35" i="28"/>
  <c r="AO8" i="28"/>
  <c r="AO11" i="28"/>
  <c r="AO13" i="28"/>
  <c r="AV15" i="28"/>
  <c r="AZ30" i="28"/>
  <c r="AZ32" i="28"/>
  <c r="AO36" i="28"/>
  <c r="AZ14" i="28"/>
  <c r="AO24" i="28"/>
  <c r="AV16" i="28"/>
  <c r="AZ20" i="28"/>
  <c r="AO23" i="28"/>
  <c r="AO25" i="28"/>
  <c r="AO3" i="28"/>
  <c r="AV20" i="28"/>
  <c r="AZ26" i="28"/>
  <c r="AZ28" i="28"/>
  <c r="AO32" i="28"/>
  <c r="AZ12" i="28"/>
  <c r="AO16" i="28"/>
  <c r="AV28" i="28"/>
  <c r="AO31" i="28"/>
  <c r="AO33" i="28"/>
  <c r="AO7" i="28"/>
  <c r="AO17" i="28"/>
  <c r="AO20" i="28"/>
  <c r="AZ22" i="28"/>
  <c r="AZ34" i="28"/>
  <c r="AV36" i="27"/>
  <c r="AO34" i="27"/>
  <c r="AZ35" i="27"/>
  <c r="AZ15" i="27"/>
  <c r="AV20" i="27"/>
  <c r="AO27" i="27"/>
  <c r="AO35" i="27"/>
  <c r="AV11" i="27"/>
  <c r="AO16" i="27"/>
  <c r="BB16" i="27" s="1"/>
  <c r="AO11" i="27"/>
  <c r="AR11" i="27" s="1"/>
  <c r="AO20" i="27"/>
  <c r="AO29" i="27"/>
  <c r="AV32" i="27"/>
  <c r="AO3" i="27"/>
  <c r="AO7" i="27"/>
  <c r="AO17" i="27"/>
  <c r="AO19" i="27"/>
  <c r="AZ23" i="27"/>
  <c r="AZ31" i="27"/>
  <c r="AO21" i="27"/>
  <c r="AO24" i="27"/>
  <c r="AZ26" i="27"/>
  <c r="AO32" i="27"/>
  <c r="AZ34" i="27"/>
  <c r="AO4" i="27"/>
  <c r="AO8" i="27"/>
  <c r="AO9" i="27"/>
  <c r="AO5" i="27"/>
  <c r="AO25" i="27"/>
  <c r="AO33" i="27"/>
  <c r="AO35" i="26"/>
  <c r="AO34" i="26"/>
  <c r="AV16" i="26"/>
  <c r="AV32" i="26"/>
  <c r="AO14" i="26"/>
  <c r="AZ15" i="26"/>
  <c r="AV20" i="26"/>
  <c r="AO30" i="26"/>
  <c r="AZ31" i="26"/>
  <c r="AZ36" i="26"/>
  <c r="AV5" i="26"/>
  <c r="AV7" i="26"/>
  <c r="AV11" i="26"/>
  <c r="AO5" i="26"/>
  <c r="AO9" i="26"/>
  <c r="AO16" i="26"/>
  <c r="AV28" i="26"/>
  <c r="AO32" i="26"/>
  <c r="AO20" i="26"/>
  <c r="AO26" i="26"/>
  <c r="AO17" i="26"/>
  <c r="AO28" i="26"/>
  <c r="AO33" i="26"/>
  <c r="AO10" i="26"/>
  <c r="AO21" i="26"/>
  <c r="AO22" i="26"/>
  <c r="AZ25" i="26"/>
  <c r="AO13" i="26"/>
  <c r="AO24" i="26"/>
  <c r="AZ26" i="26"/>
  <c r="AO29" i="26"/>
  <c r="AZ25" i="31"/>
  <c r="AZ29" i="31"/>
  <c r="AZ33" i="31"/>
  <c r="AZ37" i="31"/>
  <c r="AZ41" i="31"/>
  <c r="AZ45" i="31"/>
  <c r="AV14" i="30"/>
  <c r="AV18" i="30"/>
  <c r="AV22" i="30"/>
  <c r="AV26" i="30"/>
  <c r="AV30" i="30"/>
  <c r="AV34" i="30"/>
  <c r="AV38" i="30"/>
  <c r="AV42" i="30"/>
  <c r="AV46" i="30"/>
  <c r="AZ25" i="29"/>
  <c r="AZ29" i="29"/>
  <c r="AZ33" i="29"/>
  <c r="AZ37" i="29"/>
  <c r="AR38" i="29"/>
  <c r="BC38" i="29"/>
  <c r="AZ41" i="29"/>
  <c r="AR42" i="29"/>
  <c r="BC42" i="29"/>
  <c r="AZ45" i="29"/>
  <c r="AZ5" i="28"/>
  <c r="AZ25" i="28"/>
  <c r="AZ33" i="28"/>
  <c r="AZ37" i="28"/>
  <c r="AZ41" i="28"/>
  <c r="AZ45" i="28"/>
  <c r="BC43" i="27"/>
  <c r="AR43" i="27"/>
  <c r="BB43" i="27"/>
  <c r="AZ5" i="27"/>
  <c r="AZ25" i="27"/>
  <c r="AZ33" i="27"/>
  <c r="AZ37" i="27"/>
  <c r="AZ41" i="27"/>
  <c r="AZ45" i="27"/>
  <c r="AR46" i="27"/>
  <c r="BC46" i="27"/>
  <c r="AV47" i="27"/>
  <c r="AV14" i="27"/>
  <c r="AV18" i="27"/>
  <c r="AV22" i="27"/>
  <c r="AV26" i="27"/>
  <c r="AV30" i="27"/>
  <c r="AV34" i="27"/>
  <c r="AV38" i="27"/>
  <c r="AV46" i="27"/>
  <c r="BC44" i="26"/>
  <c r="AR44" i="26"/>
  <c r="BB44" i="26"/>
  <c r="AV47" i="26"/>
  <c r="AV14" i="26"/>
  <c r="AV18" i="26"/>
  <c r="AV22" i="26"/>
  <c r="AV26" i="26"/>
  <c r="AV30" i="26"/>
  <c r="AV34" i="26"/>
  <c r="AV38" i="26"/>
  <c r="AV42" i="26"/>
  <c r="AV46" i="26"/>
  <c r="BB43" i="26"/>
  <c r="AR43" i="26"/>
  <c r="AN3" i="19"/>
  <c r="AU12" i="19"/>
  <c r="AU13" i="19"/>
  <c r="AU14" i="19"/>
  <c r="AU15" i="19"/>
  <c r="AU16" i="19"/>
  <c r="AU18" i="19"/>
  <c r="AU20" i="19"/>
  <c r="AU22" i="19"/>
  <c r="AU23" i="19"/>
  <c r="AU24" i="19"/>
  <c r="AU25" i="19"/>
  <c r="AU26" i="19"/>
  <c r="AU28" i="19"/>
  <c r="AU29" i="19"/>
  <c r="AU30" i="19"/>
  <c r="AU32" i="19"/>
  <c r="AU33" i="19"/>
  <c r="AU34" i="19"/>
  <c r="AU35" i="19"/>
  <c r="AU36" i="19"/>
  <c r="AU37" i="19"/>
  <c r="AU38" i="19"/>
  <c r="AU39" i="19"/>
  <c r="AU40" i="19"/>
  <c r="AU41" i="19"/>
  <c r="AU42" i="19"/>
  <c r="AU43" i="19"/>
  <c r="AU44" i="19"/>
  <c r="AV44" i="19" s="1"/>
  <c r="AU45" i="19"/>
  <c r="AV45" i="19" s="1"/>
  <c r="AU46" i="19"/>
  <c r="AV46" i="19" s="1"/>
  <c r="AU47" i="19"/>
  <c r="AV47" i="19" s="1"/>
  <c r="AY5" i="19"/>
  <c r="AY12" i="19"/>
  <c r="AY13" i="19"/>
  <c r="AY14" i="19"/>
  <c r="AY15" i="19"/>
  <c r="AY16" i="19"/>
  <c r="AY17" i="19"/>
  <c r="AY18" i="19"/>
  <c r="AY19" i="19"/>
  <c r="AY20" i="19"/>
  <c r="AY22" i="19"/>
  <c r="AY23" i="19"/>
  <c r="AY24" i="19"/>
  <c r="AY25" i="19"/>
  <c r="AY26" i="19"/>
  <c r="AY28" i="19"/>
  <c r="AY29" i="19"/>
  <c r="AY30" i="19"/>
  <c r="AY32" i="19"/>
  <c r="AY33" i="19"/>
  <c r="AY34" i="19"/>
  <c r="AY35" i="19"/>
  <c r="AY36" i="19"/>
  <c r="AY37" i="19"/>
  <c r="AY38" i="19"/>
  <c r="AY39" i="19"/>
  <c r="AY40" i="19"/>
  <c r="AY41" i="19"/>
  <c r="AY42" i="19"/>
  <c r="AY43" i="19"/>
  <c r="AY44" i="19"/>
  <c r="AY45" i="19"/>
  <c r="AY46" i="19"/>
  <c r="AY47" i="19"/>
  <c r="AX4" i="19"/>
  <c r="AX5" i="19"/>
  <c r="AX6" i="19"/>
  <c r="AX7" i="19"/>
  <c r="AX8" i="19"/>
  <c r="AX9" i="19"/>
  <c r="AY9" i="19" s="1"/>
  <c r="AX11" i="19"/>
  <c r="AX12" i="19"/>
  <c r="AX13" i="19"/>
  <c r="AX14" i="19"/>
  <c r="AX15" i="19"/>
  <c r="AX16" i="19"/>
  <c r="AX17" i="19"/>
  <c r="AX18" i="19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Y31" i="19" s="1"/>
  <c r="AX32" i="19"/>
  <c r="AX33" i="19"/>
  <c r="AX34" i="19"/>
  <c r="AX35" i="19"/>
  <c r="AX36" i="19"/>
  <c r="AX37" i="19"/>
  <c r="AX38" i="19"/>
  <c r="AX39" i="19"/>
  <c r="AX40" i="19"/>
  <c r="AX41" i="19"/>
  <c r="AX42" i="19"/>
  <c r="AX43" i="19"/>
  <c r="AX44" i="19"/>
  <c r="AX45" i="19"/>
  <c r="AX46" i="19"/>
  <c r="AX47" i="19"/>
  <c r="AT4" i="19"/>
  <c r="AT5" i="19"/>
  <c r="AT6" i="19"/>
  <c r="AT7" i="19"/>
  <c r="AT8" i="19"/>
  <c r="AT9" i="19"/>
  <c r="AU9" i="19" s="1"/>
  <c r="AT10" i="19"/>
  <c r="AT11" i="19"/>
  <c r="AT12" i="19"/>
  <c r="AT13" i="19"/>
  <c r="AT14" i="19"/>
  <c r="AT15" i="19"/>
  <c r="AT16" i="19"/>
  <c r="AT17" i="19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M4" i="19"/>
  <c r="AM5" i="19"/>
  <c r="AM6" i="19"/>
  <c r="AM7" i="19"/>
  <c r="AM8" i="19"/>
  <c r="AM9" i="19"/>
  <c r="AM10" i="19"/>
  <c r="AM11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3" i="19"/>
  <c r="AL3" i="19"/>
  <c r="AL4" i="19"/>
  <c r="AL5" i="19"/>
  <c r="AL6" i="19"/>
  <c r="AL7" i="19"/>
  <c r="AL8" i="19"/>
  <c r="AL9" i="19"/>
  <c r="AL10" i="19"/>
  <c r="AL11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K4" i="19"/>
  <c r="AK5" i="19"/>
  <c r="AK6" i="19"/>
  <c r="AK7" i="19"/>
  <c r="AK8" i="19"/>
  <c r="AK9" i="19"/>
  <c r="AK10" i="19"/>
  <c r="AK11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3" i="19"/>
  <c r="AX3" i="19"/>
  <c r="AT3" i="19"/>
  <c r="AN4" i="19"/>
  <c r="AN5" i="19"/>
  <c r="AN6" i="19"/>
  <c r="AN7" i="19"/>
  <c r="AN8" i="19"/>
  <c r="AN9" i="19"/>
  <c r="AN10" i="19"/>
  <c r="AN11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O37" i="19" s="1"/>
  <c r="AN38" i="19"/>
  <c r="AN39" i="19"/>
  <c r="AN40" i="19"/>
  <c r="AN41" i="19"/>
  <c r="AN42" i="19"/>
  <c r="AN43" i="19"/>
  <c r="AN44" i="19"/>
  <c r="AN45" i="19"/>
  <c r="AN46" i="19"/>
  <c r="AN47" i="19"/>
  <c r="BC43" i="32" l="1"/>
  <c r="AR43" i="32"/>
  <c r="BB43" i="32"/>
  <c r="BC42" i="30"/>
  <c r="BB42" i="30"/>
  <c r="AR42" i="30"/>
  <c r="BC42" i="31"/>
  <c r="BB42" i="31"/>
  <c r="BB46" i="28"/>
  <c r="BC46" i="28"/>
  <c r="AR46" i="28"/>
  <c r="BC44" i="29"/>
  <c r="AR44" i="29"/>
  <c r="BB44" i="29"/>
  <c r="BC29" i="31"/>
  <c r="BB29" i="31"/>
  <c r="AR29" i="31"/>
  <c r="BC39" i="26"/>
  <c r="BB39" i="26"/>
  <c r="AR39" i="26"/>
  <c r="BB22" i="31"/>
  <c r="AR22" i="31"/>
  <c r="BB42" i="27"/>
  <c r="AR42" i="27"/>
  <c r="BC42" i="27"/>
  <c r="BB42" i="32"/>
  <c r="AR42" i="32"/>
  <c r="BC42" i="32"/>
  <c r="BC43" i="30"/>
  <c r="BB43" i="30"/>
  <c r="AR43" i="30"/>
  <c r="BC38" i="27"/>
  <c r="BB38" i="27"/>
  <c r="AR38" i="27"/>
  <c r="BB42" i="28"/>
  <c r="AR42" i="28"/>
  <c r="BC42" i="28"/>
  <c r="BC30" i="27"/>
  <c r="AR30" i="27"/>
  <c r="AR26" i="27"/>
  <c r="BC26" i="27"/>
  <c r="BC22" i="27"/>
  <c r="BC12" i="26"/>
  <c r="AR12" i="26"/>
  <c r="BB12" i="26"/>
  <c r="BB18" i="26"/>
  <c r="AR18" i="26"/>
  <c r="BC18" i="26"/>
  <c r="BC30" i="31"/>
  <c r="AR22" i="29"/>
  <c r="AR4" i="29"/>
  <c r="AU4" i="29" s="1"/>
  <c r="AR23" i="26"/>
  <c r="AU23" i="26" s="1"/>
  <c r="AV23" i="26" s="1"/>
  <c r="AR21" i="28"/>
  <c r="AU21" i="28" s="1"/>
  <c r="AR34" i="27"/>
  <c r="BC34" i="27"/>
  <c r="BC20" i="27"/>
  <c r="AR20" i="27"/>
  <c r="BB20" i="27"/>
  <c r="BC17" i="27"/>
  <c r="BB17" i="27"/>
  <c r="BB30" i="31"/>
  <c r="AR30" i="31"/>
  <c r="BC41" i="31"/>
  <c r="AR41" i="31"/>
  <c r="BB41" i="31"/>
  <c r="BC47" i="30"/>
  <c r="AR47" i="30"/>
  <c r="BB47" i="30"/>
  <c r="BB30" i="27"/>
  <c r="BB26" i="27"/>
  <c r="BB38" i="31"/>
  <c r="BC28" i="29"/>
  <c r="AR28" i="29"/>
  <c r="BB28" i="29"/>
  <c r="BC4" i="29"/>
  <c r="BB4" i="29"/>
  <c r="BB37" i="27"/>
  <c r="AR37" i="27"/>
  <c r="BC37" i="27"/>
  <c r="BC15" i="27"/>
  <c r="AR15" i="27"/>
  <c r="BB15" i="27"/>
  <c r="BC36" i="27"/>
  <c r="BB36" i="27"/>
  <c r="AR36" i="27"/>
  <c r="BB22" i="27"/>
  <c r="AR22" i="27"/>
  <c r="AR12" i="27"/>
  <c r="BB12" i="27"/>
  <c r="BC12" i="27"/>
  <c r="BB14" i="27"/>
  <c r="BC14" i="27"/>
  <c r="AR14" i="27"/>
  <c r="BB41" i="28"/>
  <c r="AR41" i="28"/>
  <c r="BC41" i="28"/>
  <c r="BC47" i="26"/>
  <c r="BB47" i="26"/>
  <c r="AR27" i="26"/>
  <c r="AU27" i="26" s="1"/>
  <c r="AR3" i="26"/>
  <c r="AU3" i="26" s="1"/>
  <c r="AZ3" i="26" s="1"/>
  <c r="BC44" i="27"/>
  <c r="AR44" i="27"/>
  <c r="BB44" i="27"/>
  <c r="BC35" i="28"/>
  <c r="AR35" i="28"/>
  <c r="BB35" i="28"/>
  <c r="BC12" i="28"/>
  <c r="AR23" i="28"/>
  <c r="AU23" i="28" s="1"/>
  <c r="AV23" i="28" s="1"/>
  <c r="BB32" i="28"/>
  <c r="BC33" i="28"/>
  <c r="AR33" i="28"/>
  <c r="AR13" i="29"/>
  <c r="BC37" i="29"/>
  <c r="AR37" i="29"/>
  <c r="BB37" i="29"/>
  <c r="BC22" i="29"/>
  <c r="AR3" i="28"/>
  <c r="AU3" i="28" s="1"/>
  <c r="AR16" i="27"/>
  <c r="BC11" i="26"/>
  <c r="BB14" i="26"/>
  <c r="BC14" i="26"/>
  <c r="AR14" i="26"/>
  <c r="BC16" i="26"/>
  <c r="AR16" i="26"/>
  <c r="BB16" i="26"/>
  <c r="BC32" i="26"/>
  <c r="AR32" i="26"/>
  <c r="BB32" i="26"/>
  <c r="BC4" i="26"/>
  <c r="BB4" i="26"/>
  <c r="BC20" i="26"/>
  <c r="AR20" i="26"/>
  <c r="BB20" i="26"/>
  <c r="AR26" i="26"/>
  <c r="BB26" i="26"/>
  <c r="BB28" i="26"/>
  <c r="BC33" i="26"/>
  <c r="AR33" i="26"/>
  <c r="BB33" i="26"/>
  <c r="BB38" i="26"/>
  <c r="BC38" i="26"/>
  <c r="AR38" i="26"/>
  <c r="BC24" i="26"/>
  <c r="AR24" i="26"/>
  <c r="BB24" i="26"/>
  <c r="AR29" i="26"/>
  <c r="AU29" i="26" s="1"/>
  <c r="BB22" i="26"/>
  <c r="BC22" i="26"/>
  <c r="AR22" i="26"/>
  <c r="BB7" i="26"/>
  <c r="BB11" i="26"/>
  <c r="AR7" i="26"/>
  <c r="AR11" i="26"/>
  <c r="BC4" i="27"/>
  <c r="BB4" i="27"/>
  <c r="AR9" i="27"/>
  <c r="AU9" i="27" s="1"/>
  <c r="BC24" i="27"/>
  <c r="AR24" i="27"/>
  <c r="BB24" i="27"/>
  <c r="BC5" i="27"/>
  <c r="BC25" i="27"/>
  <c r="AR25" i="27"/>
  <c r="BB25" i="27"/>
  <c r="AR32" i="27"/>
  <c r="BB18" i="30"/>
  <c r="BC17" i="28"/>
  <c r="BB17" i="28"/>
  <c r="AR20" i="28"/>
  <c r="BB20" i="28"/>
  <c r="BC37" i="28"/>
  <c r="AR37" i="28"/>
  <c r="BB37" i="28"/>
  <c r="BC31" i="28"/>
  <c r="AR31" i="28"/>
  <c r="BB31" i="28"/>
  <c r="BC11" i="28"/>
  <c r="AR11" i="28"/>
  <c r="BB11" i="28"/>
  <c r="AR13" i="28"/>
  <c r="AU13" i="28" s="1"/>
  <c r="BB36" i="28"/>
  <c r="BC7" i="28"/>
  <c r="AR7" i="28"/>
  <c r="AR24" i="28"/>
  <c r="BB24" i="28"/>
  <c r="BC19" i="28"/>
  <c r="BB19" i="28"/>
  <c r="AV37" i="19"/>
  <c r="BB38" i="30"/>
  <c r="BB34" i="30"/>
  <c r="BC18" i="30"/>
  <c r="AR18" i="30"/>
  <c r="BC11" i="31"/>
  <c r="AR19" i="28"/>
  <c r="AU19" i="28" s="1"/>
  <c r="BC34" i="30"/>
  <c r="AR6" i="30"/>
  <c r="AU6" i="30" s="1"/>
  <c r="BB26" i="29"/>
  <c r="BB14" i="29"/>
  <c r="BB30" i="28"/>
  <c r="BB26" i="28"/>
  <c r="AR19" i="26"/>
  <c r="AU19" i="26" s="1"/>
  <c r="BC36" i="32"/>
  <c r="AR36" i="32"/>
  <c r="BB36" i="32"/>
  <c r="BC41" i="32"/>
  <c r="AR41" i="32"/>
  <c r="BB41" i="32"/>
  <c r="BC37" i="32"/>
  <c r="AR37" i="32"/>
  <c r="BB37" i="32"/>
  <c r="BC39" i="32"/>
  <c r="AR39" i="32"/>
  <c r="AR45" i="30"/>
  <c r="BB45" i="30"/>
  <c r="BC39" i="27"/>
  <c r="BC45" i="27"/>
  <c r="BC41" i="26"/>
  <c r="AR37" i="26"/>
  <c r="AR42" i="26"/>
  <c r="AR36" i="26"/>
  <c r="BC25" i="26"/>
  <c r="AR46" i="26"/>
  <c r="BC40" i="26"/>
  <c r="BC45" i="26"/>
  <c r="AR45" i="26"/>
  <c r="BB31" i="26"/>
  <c r="AR31" i="26"/>
  <c r="AR47" i="26"/>
  <c r="AO44" i="19"/>
  <c r="BB39" i="32"/>
  <c r="BC40" i="32"/>
  <c r="AR40" i="32"/>
  <c r="BB40" i="32"/>
  <c r="BC45" i="32"/>
  <c r="AR45" i="32"/>
  <c r="BB45" i="32"/>
  <c r="BC47" i="32"/>
  <c r="AR47" i="32"/>
  <c r="BB47" i="32"/>
  <c r="AR38" i="32"/>
  <c r="BC38" i="32"/>
  <c r="AR46" i="32"/>
  <c r="BC46" i="32"/>
  <c r="BC23" i="31"/>
  <c r="AR23" i="31"/>
  <c r="BB23" i="31"/>
  <c r="BC31" i="31"/>
  <c r="AR31" i="31"/>
  <c r="BB31" i="31"/>
  <c r="BC33" i="31"/>
  <c r="AR33" i="31"/>
  <c r="BB33" i="31"/>
  <c r="BC39" i="31"/>
  <c r="AR39" i="31"/>
  <c r="BB39" i="31"/>
  <c r="BC9" i="31"/>
  <c r="AR9" i="31"/>
  <c r="BB9" i="31"/>
  <c r="BC28" i="31"/>
  <c r="AR28" i="31"/>
  <c r="BB28" i="31"/>
  <c r="BC36" i="31"/>
  <c r="AR36" i="31"/>
  <c r="BB36" i="31"/>
  <c r="BC4" i="31"/>
  <c r="BB4" i="31"/>
  <c r="BB20" i="31"/>
  <c r="BC27" i="31"/>
  <c r="AR27" i="31"/>
  <c r="BB27" i="31"/>
  <c r="BC35" i="31"/>
  <c r="AR35" i="31"/>
  <c r="BB35" i="31"/>
  <c r="BC44" i="31"/>
  <c r="AR44" i="31"/>
  <c r="BB44" i="31"/>
  <c r="BC43" i="31"/>
  <c r="AR43" i="31"/>
  <c r="BB43" i="31"/>
  <c r="BC12" i="31"/>
  <c r="AR12" i="31"/>
  <c r="BB12" i="31"/>
  <c r="AR13" i="31"/>
  <c r="AU13" i="31" s="1"/>
  <c r="BC24" i="31"/>
  <c r="AR24" i="31"/>
  <c r="BB24" i="31"/>
  <c r="BC32" i="31"/>
  <c r="AR32" i="31"/>
  <c r="BB32" i="31"/>
  <c r="BC40" i="31"/>
  <c r="AR40" i="31"/>
  <c r="BB40" i="31"/>
  <c r="BB46" i="31"/>
  <c r="AR14" i="31"/>
  <c r="BC14" i="31"/>
  <c r="BC26" i="31"/>
  <c r="AR34" i="31"/>
  <c r="BC34" i="31"/>
  <c r="AR38" i="31"/>
  <c r="BC38" i="31"/>
  <c r="AR46" i="31"/>
  <c r="BB7" i="31"/>
  <c r="BB11" i="31"/>
  <c r="BB15" i="31"/>
  <c r="AR7" i="31"/>
  <c r="AR11" i="31"/>
  <c r="AR15" i="31"/>
  <c r="BC31" i="30"/>
  <c r="AR31" i="30"/>
  <c r="BB31" i="30"/>
  <c r="BC41" i="30"/>
  <c r="AR41" i="30"/>
  <c r="BB41" i="30"/>
  <c r="BC20" i="30"/>
  <c r="AR20" i="30"/>
  <c r="BB20" i="30"/>
  <c r="BC19" i="30"/>
  <c r="BB19" i="30"/>
  <c r="BC24" i="30"/>
  <c r="AR24" i="30"/>
  <c r="BB24" i="30"/>
  <c r="AR32" i="30"/>
  <c r="BB32" i="30"/>
  <c r="BC16" i="30"/>
  <c r="AR16" i="30"/>
  <c r="BB16" i="30"/>
  <c r="BC23" i="30"/>
  <c r="AR23" i="30"/>
  <c r="BB23" i="30"/>
  <c r="AR11" i="30"/>
  <c r="BC17" i="30"/>
  <c r="BC37" i="30"/>
  <c r="AR37" i="30"/>
  <c r="BB37" i="30"/>
  <c r="BC44" i="30"/>
  <c r="AR44" i="30"/>
  <c r="BB44" i="30"/>
  <c r="BC3" i="30"/>
  <c r="AR3" i="30"/>
  <c r="BB3" i="30"/>
  <c r="BB5" i="30"/>
  <c r="BC7" i="30"/>
  <c r="BC25" i="30"/>
  <c r="AR25" i="30"/>
  <c r="BB25" i="30"/>
  <c r="AR27" i="30"/>
  <c r="AU27" i="30" s="1"/>
  <c r="BC4" i="30"/>
  <c r="BB4" i="30"/>
  <c r="BB9" i="30"/>
  <c r="BC33" i="30"/>
  <c r="AR33" i="30"/>
  <c r="BB33" i="30"/>
  <c r="BC39" i="30"/>
  <c r="AR39" i="30"/>
  <c r="BB39" i="30"/>
  <c r="BC40" i="30"/>
  <c r="AR40" i="30"/>
  <c r="BB40" i="30"/>
  <c r="BC45" i="30"/>
  <c r="AR39" i="27"/>
  <c r="BB45" i="27"/>
  <c r="BB42" i="26"/>
  <c r="BB25" i="26"/>
  <c r="BC13" i="30"/>
  <c r="AR13" i="30"/>
  <c r="BB13" i="30"/>
  <c r="BC15" i="30"/>
  <c r="AR15" i="30"/>
  <c r="BB14" i="30"/>
  <c r="BB46" i="30"/>
  <c r="AR14" i="30"/>
  <c r="AR22" i="30"/>
  <c r="BC22" i="30"/>
  <c r="AR26" i="30"/>
  <c r="BC26" i="30"/>
  <c r="AR30" i="30"/>
  <c r="BC30" i="30"/>
  <c r="AR34" i="30"/>
  <c r="AR38" i="30"/>
  <c r="AR46" i="30"/>
  <c r="AR9" i="29"/>
  <c r="AU9" i="29" s="1"/>
  <c r="AZ9" i="29" s="1"/>
  <c r="BC39" i="29"/>
  <c r="AR39" i="29"/>
  <c r="BB39" i="29"/>
  <c r="BC41" i="29"/>
  <c r="AR41" i="29"/>
  <c r="BB41" i="29"/>
  <c r="AR5" i="29"/>
  <c r="AU5" i="29" s="1"/>
  <c r="AZ5" i="29" s="1"/>
  <c r="BC12" i="29"/>
  <c r="AR12" i="29"/>
  <c r="BB12" i="29"/>
  <c r="BC29" i="29"/>
  <c r="AR29" i="29"/>
  <c r="BB29" i="29"/>
  <c r="BC47" i="29"/>
  <c r="AR47" i="29"/>
  <c r="BB47" i="29"/>
  <c r="BC36" i="29"/>
  <c r="AR36" i="29"/>
  <c r="BB36" i="29"/>
  <c r="AR3" i="29"/>
  <c r="AU3" i="29" s="1"/>
  <c r="BC24" i="29"/>
  <c r="AR24" i="29"/>
  <c r="BB24" i="29"/>
  <c r="BC35" i="29"/>
  <c r="AR35" i="29"/>
  <c r="BB35" i="29"/>
  <c r="BC11" i="29"/>
  <c r="AR11" i="29"/>
  <c r="BB11" i="29"/>
  <c r="AR23" i="29"/>
  <c r="AU23" i="29" s="1"/>
  <c r="BC25" i="29"/>
  <c r="BB43" i="29"/>
  <c r="BC45" i="29"/>
  <c r="AR45" i="29"/>
  <c r="BB45" i="29"/>
  <c r="BC16" i="29"/>
  <c r="AR16" i="29"/>
  <c r="BB16" i="29"/>
  <c r="AR31" i="29"/>
  <c r="AU31" i="29" s="1"/>
  <c r="BC17" i="29"/>
  <c r="BC20" i="29"/>
  <c r="AR20" i="29"/>
  <c r="BB20" i="29"/>
  <c r="BC40" i="29"/>
  <c r="AR40" i="29"/>
  <c r="BB40" i="29"/>
  <c r="AR14" i="29"/>
  <c r="BC14" i="29"/>
  <c r="AR18" i="29"/>
  <c r="BC18" i="29"/>
  <c r="AR26" i="29"/>
  <c r="BC26" i="29"/>
  <c r="AR30" i="29"/>
  <c r="BC30" i="29"/>
  <c r="BC34" i="29"/>
  <c r="AR46" i="29"/>
  <c r="BC46" i="29"/>
  <c r="BC15" i="28"/>
  <c r="BC28" i="28"/>
  <c r="AR28" i="28"/>
  <c r="BB28" i="28"/>
  <c r="BC39" i="28"/>
  <c r="AR39" i="28"/>
  <c r="BB39" i="28"/>
  <c r="BC5" i="28"/>
  <c r="AR5" i="28"/>
  <c r="BB5" i="28"/>
  <c r="BC4" i="28"/>
  <c r="BB4" i="28"/>
  <c r="BB39" i="27"/>
  <c r="AR41" i="26"/>
  <c r="BC37" i="26"/>
  <c r="BB37" i="26"/>
  <c r="BC36" i="26"/>
  <c r="AR25" i="26"/>
  <c r="BC46" i="26"/>
  <c r="BC23" i="28"/>
  <c r="BC44" i="28"/>
  <c r="AR44" i="28"/>
  <c r="BB44" i="28"/>
  <c r="BC43" i="28"/>
  <c r="AR43" i="28"/>
  <c r="BB43" i="28"/>
  <c r="BC45" i="28"/>
  <c r="AR45" i="28"/>
  <c r="BB45" i="28"/>
  <c r="BC40" i="28"/>
  <c r="AR40" i="28"/>
  <c r="BB40" i="28"/>
  <c r="BB14" i="28"/>
  <c r="AR14" i="28"/>
  <c r="AR26" i="28"/>
  <c r="BC26" i="28"/>
  <c r="AR30" i="28"/>
  <c r="BC30" i="28"/>
  <c r="AR38" i="28"/>
  <c r="BC38" i="28"/>
  <c r="BC40" i="27"/>
  <c r="AR40" i="27"/>
  <c r="BB40" i="27"/>
  <c r="BC31" i="27"/>
  <c r="AR31" i="27"/>
  <c r="BB31" i="27"/>
  <c r="BC47" i="27"/>
  <c r="AR47" i="27"/>
  <c r="BB47" i="27"/>
  <c r="BC41" i="27"/>
  <c r="AR41" i="27"/>
  <c r="BB41" i="27"/>
  <c r="BC23" i="27"/>
  <c r="AR23" i="27"/>
  <c r="BB23" i="27"/>
  <c r="AR45" i="27"/>
  <c r="BB41" i="26"/>
  <c r="BC42" i="26"/>
  <c r="BB36" i="26"/>
  <c r="BB46" i="26"/>
  <c r="AR40" i="26"/>
  <c r="BB40" i="26"/>
  <c r="BB45" i="26"/>
  <c r="BB15" i="26"/>
  <c r="AR15" i="26"/>
  <c r="AR4" i="26"/>
  <c r="AU4" i="26" s="1"/>
  <c r="AR6" i="26"/>
  <c r="AU6" i="26" s="1"/>
  <c r="BB18" i="29"/>
  <c r="BC3" i="31"/>
  <c r="AR4" i="31"/>
  <c r="AU4" i="31" s="1"/>
  <c r="BC7" i="31"/>
  <c r="BC7" i="26"/>
  <c r="AR15" i="28"/>
  <c r="BC15" i="26"/>
  <c r="AR10" i="27"/>
  <c r="AU10" i="27" s="1"/>
  <c r="AR13" i="27"/>
  <c r="AU13" i="27" s="1"/>
  <c r="BC18" i="27"/>
  <c r="AR4" i="28"/>
  <c r="AU4" i="28" s="1"/>
  <c r="AR6" i="28"/>
  <c r="AU6" i="28" s="1"/>
  <c r="BC22" i="28"/>
  <c r="AR21" i="29"/>
  <c r="AU21" i="29" s="1"/>
  <c r="BB30" i="29"/>
  <c r="BB11" i="30"/>
  <c r="AR19" i="30"/>
  <c r="AU19" i="30" s="1"/>
  <c r="BB22" i="30"/>
  <c r="BB30" i="30"/>
  <c r="BC20" i="31"/>
  <c r="BB26" i="31"/>
  <c r="BC31" i="26"/>
  <c r="AR6" i="27"/>
  <c r="AU6" i="27" s="1"/>
  <c r="AR10" i="29"/>
  <c r="AU10" i="29" s="1"/>
  <c r="BB26" i="30"/>
  <c r="BC15" i="31"/>
  <c r="BC16" i="31"/>
  <c r="BC37" i="31"/>
  <c r="AR9" i="28"/>
  <c r="AU9" i="28" s="1"/>
  <c r="BC18" i="28"/>
  <c r="AR10" i="30"/>
  <c r="AU10" i="30" s="1"/>
  <c r="BC14" i="30"/>
  <c r="AR10" i="31"/>
  <c r="AU10" i="31" s="1"/>
  <c r="BB14" i="31"/>
  <c r="AR8" i="26"/>
  <c r="BC28" i="27"/>
  <c r="AR10" i="28"/>
  <c r="AU10" i="28" s="1"/>
  <c r="BC14" i="28"/>
  <c r="AR8" i="29"/>
  <c r="AU8" i="29" s="1"/>
  <c r="AR6" i="29"/>
  <c r="AU6" i="29" s="1"/>
  <c r="BB34" i="31"/>
  <c r="AR19" i="31"/>
  <c r="AU19" i="31" s="1"/>
  <c r="BC25" i="31"/>
  <c r="BC5" i="31"/>
  <c r="AR17" i="31"/>
  <c r="AU17" i="31" s="1"/>
  <c r="AR21" i="31"/>
  <c r="AU21" i="31" s="1"/>
  <c r="AR6" i="31"/>
  <c r="AU6" i="31" s="1"/>
  <c r="BC18" i="31"/>
  <c r="BC32" i="30"/>
  <c r="AR17" i="30"/>
  <c r="AU17" i="30" s="1"/>
  <c r="AR21" i="30"/>
  <c r="AU21" i="30" s="1"/>
  <c r="BC5" i="30"/>
  <c r="AR7" i="30"/>
  <c r="BC12" i="30"/>
  <c r="AR4" i="30"/>
  <c r="AU4" i="30" s="1"/>
  <c r="BC9" i="30"/>
  <c r="BC28" i="30"/>
  <c r="BB15" i="30"/>
  <c r="BC35" i="30"/>
  <c r="BC29" i="30"/>
  <c r="AR36" i="30"/>
  <c r="BB34" i="29"/>
  <c r="BC33" i="29"/>
  <c r="BC15" i="29"/>
  <c r="AR17" i="29"/>
  <c r="AU17" i="29" s="1"/>
  <c r="AR19" i="29"/>
  <c r="AU19" i="29" s="1"/>
  <c r="AR25" i="29"/>
  <c r="BC32" i="29"/>
  <c r="BB34" i="28"/>
  <c r="AR12" i="28"/>
  <c r="AR27" i="28"/>
  <c r="AU27" i="28" s="1"/>
  <c r="AR29" i="28"/>
  <c r="AU29" i="28" s="1"/>
  <c r="AR36" i="28"/>
  <c r="BC24" i="28"/>
  <c r="BC25" i="28"/>
  <c r="BC32" i="28"/>
  <c r="BC16" i="28"/>
  <c r="BB33" i="28"/>
  <c r="BB7" i="28"/>
  <c r="AR17" i="28"/>
  <c r="AU17" i="28" s="1"/>
  <c r="AV17" i="28" s="1"/>
  <c r="BC20" i="28"/>
  <c r="BB34" i="27"/>
  <c r="AR27" i="27"/>
  <c r="AU27" i="27" s="1"/>
  <c r="AR35" i="27"/>
  <c r="BC16" i="27"/>
  <c r="BC11" i="27"/>
  <c r="AR29" i="27"/>
  <c r="AU29" i="27" s="1"/>
  <c r="AR3" i="27"/>
  <c r="AU3" i="27" s="1"/>
  <c r="BC7" i="27"/>
  <c r="AR17" i="27"/>
  <c r="AU17" i="27" s="1"/>
  <c r="AR19" i="27"/>
  <c r="AU19" i="27" s="1"/>
  <c r="AZ19" i="27" s="1"/>
  <c r="AR21" i="27"/>
  <c r="AU21" i="27" s="1"/>
  <c r="BC32" i="27"/>
  <c r="AR4" i="27"/>
  <c r="AU4" i="27" s="1"/>
  <c r="AR5" i="27"/>
  <c r="BC33" i="27"/>
  <c r="BC35" i="26"/>
  <c r="BC34" i="26"/>
  <c r="BB30" i="26"/>
  <c r="AR5" i="26"/>
  <c r="BC26" i="26"/>
  <c r="AR17" i="26"/>
  <c r="AU17" i="26" s="1"/>
  <c r="BC28" i="26"/>
  <c r="AR10" i="26"/>
  <c r="AU10" i="26" s="1"/>
  <c r="AR21" i="26"/>
  <c r="AU21" i="26" s="1"/>
  <c r="AZ40" i="19"/>
  <c r="AV22" i="19"/>
  <c r="AO36" i="19"/>
  <c r="AO43" i="19"/>
  <c r="BB43" i="19" s="1"/>
  <c r="AV39" i="19"/>
  <c r="AV30" i="19"/>
  <c r="AV20" i="19"/>
  <c r="AO42" i="19"/>
  <c r="AV38" i="19"/>
  <c r="AV29" i="19"/>
  <c r="AV28" i="19"/>
  <c r="AV36" i="19"/>
  <c r="AV15" i="19"/>
  <c r="AO47" i="19"/>
  <c r="AO41" i="19"/>
  <c r="BB41" i="19" s="1"/>
  <c r="AV14" i="19"/>
  <c r="AO46" i="19"/>
  <c r="AO40" i="19"/>
  <c r="AV13" i="19"/>
  <c r="AO45" i="19"/>
  <c r="AZ47" i="19"/>
  <c r="AV23" i="19"/>
  <c r="AV12" i="19"/>
  <c r="BB3" i="28"/>
  <c r="BC3" i="28"/>
  <c r="BB27" i="28"/>
  <c r="AZ41" i="19"/>
  <c r="AR43" i="29"/>
  <c r="BC11" i="30"/>
  <c r="AO38" i="19"/>
  <c r="BB38" i="19" s="1"/>
  <c r="AR7" i="27"/>
  <c r="BB35" i="27"/>
  <c r="BC3" i="29"/>
  <c r="AR9" i="30"/>
  <c r="AR5" i="30"/>
  <c r="BC36" i="30"/>
  <c r="AR20" i="31"/>
  <c r="AR18" i="27"/>
  <c r="AR26" i="31"/>
  <c r="BC5" i="26"/>
  <c r="BB28" i="27"/>
  <c r="AR22" i="28"/>
  <c r="BB25" i="28"/>
  <c r="BB32" i="29"/>
  <c r="BB29" i="30"/>
  <c r="BB3" i="31"/>
  <c r="BB45" i="31"/>
  <c r="BB18" i="28"/>
  <c r="BB23" i="26"/>
  <c r="AR30" i="26"/>
  <c r="AR28" i="27"/>
  <c r="BB33" i="27"/>
  <c r="AR18" i="28"/>
  <c r="AR25" i="28"/>
  <c r="BB33" i="29"/>
  <c r="AR32" i="29"/>
  <c r="BB35" i="30"/>
  <c r="AR29" i="30"/>
  <c r="AR45" i="31"/>
  <c r="BB16" i="31"/>
  <c r="BB47" i="31"/>
  <c r="BB22" i="28"/>
  <c r="AO35" i="19"/>
  <c r="BB35" i="19" s="1"/>
  <c r="AR35" i="26"/>
  <c r="BC30" i="26"/>
  <c r="AR33" i="27"/>
  <c r="BB16" i="28"/>
  <c r="BB47" i="28"/>
  <c r="AR33" i="29"/>
  <c r="BB7" i="29"/>
  <c r="AR35" i="30"/>
  <c r="BB18" i="31"/>
  <c r="BB37" i="31"/>
  <c r="AR16" i="31"/>
  <c r="AR47" i="31"/>
  <c r="BB44" i="32"/>
  <c r="BC23" i="26"/>
  <c r="AO34" i="19"/>
  <c r="BB18" i="27"/>
  <c r="AR16" i="28"/>
  <c r="BB23" i="28"/>
  <c r="AR47" i="28"/>
  <c r="BB15" i="28"/>
  <c r="AR7" i="29"/>
  <c r="BB7" i="30"/>
  <c r="AR18" i="31"/>
  <c r="AR37" i="31"/>
  <c r="AR44" i="32"/>
  <c r="AO39" i="19"/>
  <c r="AZ42" i="19"/>
  <c r="AZ34" i="19"/>
  <c r="BB32" i="27"/>
  <c r="BC7" i="29"/>
  <c r="AR3" i="31"/>
  <c r="AZ32" i="19"/>
  <c r="AO20" i="19"/>
  <c r="AR20" i="19" s="1"/>
  <c r="AO27" i="19"/>
  <c r="AO15" i="19"/>
  <c r="AO7" i="19"/>
  <c r="AR7" i="19" s="1"/>
  <c r="AO5" i="19"/>
  <c r="BC5" i="19" s="1"/>
  <c r="AZ26" i="19"/>
  <c r="AO28" i="19"/>
  <c r="BB28" i="19" s="1"/>
  <c r="AO4" i="19"/>
  <c r="AZ16" i="19"/>
  <c r="AO24" i="19"/>
  <c r="AO23" i="19"/>
  <c r="AO11" i="19"/>
  <c r="AO21" i="19"/>
  <c r="AZ24" i="19"/>
  <c r="AO32" i="19"/>
  <c r="AR32" i="19" s="1"/>
  <c r="BB3" i="26"/>
  <c r="BC3" i="26"/>
  <c r="BB5" i="31"/>
  <c r="AR5" i="31"/>
  <c r="AR8" i="31"/>
  <c r="BB17" i="31"/>
  <c r="BB25" i="31"/>
  <c r="BC17" i="31"/>
  <c r="AR25" i="31"/>
  <c r="BB36" i="30"/>
  <c r="BB28" i="30"/>
  <c r="BB12" i="30"/>
  <c r="AR28" i="30"/>
  <c r="AR12" i="30"/>
  <c r="AR8" i="30"/>
  <c r="AR34" i="29"/>
  <c r="BB17" i="29"/>
  <c r="BB15" i="29"/>
  <c r="AR15" i="29"/>
  <c r="AR27" i="29"/>
  <c r="AU27" i="29" s="1"/>
  <c r="BB25" i="29"/>
  <c r="BC36" i="28"/>
  <c r="BC34" i="28"/>
  <c r="AR34" i="28"/>
  <c r="AR32" i="28"/>
  <c r="BB12" i="28"/>
  <c r="AR8" i="28"/>
  <c r="BC35" i="27"/>
  <c r="BB7" i="27"/>
  <c r="BB11" i="27"/>
  <c r="BB5" i="27"/>
  <c r="AR8" i="27"/>
  <c r="BB35" i="26"/>
  <c r="BB34" i="26"/>
  <c r="AR34" i="26"/>
  <c r="AR13" i="26"/>
  <c r="AU13" i="26" s="1"/>
  <c r="AR28" i="26"/>
  <c r="AR9" i="26"/>
  <c r="AU9" i="26" s="1"/>
  <c r="AY8" i="26"/>
  <c r="BB5" i="26"/>
  <c r="BB17" i="26"/>
  <c r="BC17" i="26"/>
  <c r="BC6" i="31"/>
  <c r="BB6" i="31"/>
  <c r="BC21" i="31"/>
  <c r="BB21" i="31"/>
  <c r="BC10" i="31"/>
  <c r="BB10" i="31"/>
  <c r="BC21" i="30"/>
  <c r="BB21" i="30"/>
  <c r="BB10" i="30"/>
  <c r="BC10" i="30"/>
  <c r="BC6" i="29"/>
  <c r="BB6" i="29"/>
  <c r="BC21" i="29"/>
  <c r="BB21" i="29"/>
  <c r="BC10" i="29"/>
  <c r="BB10" i="29"/>
  <c r="BB10" i="28"/>
  <c r="BC10" i="28"/>
  <c r="BB6" i="28"/>
  <c r="BC6" i="28"/>
  <c r="BC21" i="28"/>
  <c r="BB21" i="28"/>
  <c r="BC21" i="27"/>
  <c r="BB21" i="27"/>
  <c r="BB10" i="27"/>
  <c r="BC21" i="26"/>
  <c r="BB21" i="26"/>
  <c r="BC6" i="26"/>
  <c r="BB6" i="26"/>
  <c r="AO3" i="19"/>
  <c r="AR37" i="19"/>
  <c r="BC37" i="19"/>
  <c r="BB37" i="19"/>
  <c r="AO29" i="19"/>
  <c r="AO26" i="19"/>
  <c r="AR26" i="19" s="1"/>
  <c r="AO33" i="19"/>
  <c r="AO25" i="19"/>
  <c r="AO31" i="19"/>
  <c r="AZ39" i="19"/>
  <c r="AO30" i="19"/>
  <c r="BC30" i="19" s="1"/>
  <c r="AO22" i="19"/>
  <c r="AO18" i="19"/>
  <c r="AO10" i="19"/>
  <c r="AZ18" i="19"/>
  <c r="AO17" i="19"/>
  <c r="AO9" i="19"/>
  <c r="AO19" i="19"/>
  <c r="AO16" i="19"/>
  <c r="AO8" i="19"/>
  <c r="AZ13" i="19"/>
  <c r="AO14" i="19"/>
  <c r="AO6" i="19"/>
  <c r="AR6" i="19" s="1"/>
  <c r="AU6" i="19" s="1"/>
  <c r="AZ23" i="19"/>
  <c r="AZ15" i="19"/>
  <c r="AZ33" i="19"/>
  <c r="AZ25" i="19"/>
  <c r="AU7" i="19"/>
  <c r="AU11" i="19"/>
  <c r="AZ35" i="19"/>
  <c r="AZ9" i="19"/>
  <c r="AZ43" i="19"/>
  <c r="AV43" i="19"/>
  <c r="AV42" i="19"/>
  <c r="AV34" i="19"/>
  <c r="AV26" i="19"/>
  <c r="AV18" i="19"/>
  <c r="AZ46" i="19"/>
  <c r="AZ38" i="19"/>
  <c r="AZ30" i="19"/>
  <c r="AZ22" i="19"/>
  <c r="AZ14" i="19"/>
  <c r="AV41" i="19"/>
  <c r="AV33" i="19"/>
  <c r="AV25" i="19"/>
  <c r="AV9" i="19"/>
  <c r="AZ45" i="19"/>
  <c r="AZ37" i="19"/>
  <c r="AZ29" i="19"/>
  <c r="AV35" i="19"/>
  <c r="AV40" i="19"/>
  <c r="AV32" i="19"/>
  <c r="AV24" i="19"/>
  <c r="AV16" i="19"/>
  <c r="AZ44" i="19"/>
  <c r="AZ36" i="19"/>
  <c r="AZ28" i="19"/>
  <c r="AZ20" i="19"/>
  <c r="AZ12" i="19"/>
  <c r="AZ23" i="26" l="1"/>
  <c r="AZ4" i="29"/>
  <c r="AV4" i="29"/>
  <c r="AV21" i="28"/>
  <c r="AY21" i="28" s="1"/>
  <c r="AV27" i="26"/>
  <c r="AY27" i="26" s="1"/>
  <c r="AV3" i="26"/>
  <c r="BB36" i="19"/>
  <c r="BC36" i="19"/>
  <c r="AR15" i="19"/>
  <c r="BC15" i="19"/>
  <c r="AR44" i="19"/>
  <c r="BB44" i="19"/>
  <c r="BC44" i="19"/>
  <c r="AZ23" i="28"/>
  <c r="AV9" i="27"/>
  <c r="AY9" i="27" s="1"/>
  <c r="BB19" i="31"/>
  <c r="AV19" i="31"/>
  <c r="AZ19" i="31"/>
  <c r="AZ3" i="29"/>
  <c r="AU13" i="29"/>
  <c r="BC5" i="29"/>
  <c r="BB23" i="29"/>
  <c r="AV23" i="29"/>
  <c r="AV31" i="29"/>
  <c r="AY31" i="29" s="1"/>
  <c r="AZ17" i="29"/>
  <c r="AV3" i="28"/>
  <c r="AZ3" i="28"/>
  <c r="AV4" i="26"/>
  <c r="AV29" i="26"/>
  <c r="BB29" i="26"/>
  <c r="AZ4" i="26"/>
  <c r="AZ29" i="26"/>
  <c r="BC29" i="26"/>
  <c r="AZ17" i="26"/>
  <c r="AV6" i="26"/>
  <c r="AY6" i="26" s="1"/>
  <c r="AV10" i="26"/>
  <c r="AY10" i="26" s="1"/>
  <c r="AV21" i="26"/>
  <c r="AY21" i="26" s="1"/>
  <c r="AV3" i="27"/>
  <c r="AZ3" i="27"/>
  <c r="BC3" i="27"/>
  <c r="BB3" i="27"/>
  <c r="AV27" i="27"/>
  <c r="BC27" i="27"/>
  <c r="AZ27" i="27"/>
  <c r="BB27" i="27"/>
  <c r="AV13" i="27"/>
  <c r="BC13" i="27"/>
  <c r="BB13" i="27"/>
  <c r="AZ13" i="27"/>
  <c r="AV19" i="27"/>
  <c r="AV4" i="27"/>
  <c r="BB19" i="27"/>
  <c r="BB29" i="27"/>
  <c r="BC29" i="27"/>
  <c r="AZ29" i="27"/>
  <c r="AV17" i="27"/>
  <c r="AZ17" i="27"/>
  <c r="AV21" i="27"/>
  <c r="AY21" i="27" s="1"/>
  <c r="BC13" i="31"/>
  <c r="AZ13" i="31"/>
  <c r="BB13" i="31"/>
  <c r="AV13" i="31"/>
  <c r="AZ17" i="31"/>
  <c r="AV8" i="29"/>
  <c r="BC13" i="28"/>
  <c r="AV13" i="28"/>
  <c r="BB13" i="28"/>
  <c r="AZ27" i="28"/>
  <c r="AV27" i="28"/>
  <c r="BC27" i="28"/>
  <c r="AZ29" i="28"/>
  <c r="BC29" i="28"/>
  <c r="AV29" i="28"/>
  <c r="BB29" i="28"/>
  <c r="AZ13" i="28"/>
  <c r="AV9" i="28"/>
  <c r="AY9" i="28" s="1"/>
  <c r="BC43" i="19"/>
  <c r="AV17" i="30"/>
  <c r="AZ17" i="30"/>
  <c r="BB6" i="30"/>
  <c r="BC6" i="30"/>
  <c r="AZ19" i="28"/>
  <c r="AV19" i="28"/>
  <c r="AV6" i="30"/>
  <c r="AY6" i="30" s="1"/>
  <c r="AV19" i="26"/>
  <c r="AY19" i="26" s="1"/>
  <c r="BB27" i="30"/>
  <c r="AZ27" i="30"/>
  <c r="BC9" i="29"/>
  <c r="BB9" i="29"/>
  <c r="AV9" i="29"/>
  <c r="BB5" i="29"/>
  <c r="AV5" i="29"/>
  <c r="BB3" i="29"/>
  <c r="AV3" i="29"/>
  <c r="BC23" i="29"/>
  <c r="AZ23" i="29"/>
  <c r="AV4" i="31"/>
  <c r="AZ4" i="31"/>
  <c r="AV10" i="27"/>
  <c r="AY10" i="27" s="1"/>
  <c r="AZ4" i="28"/>
  <c r="AV4" i="28"/>
  <c r="AV6" i="28"/>
  <c r="AY6" i="28" s="1"/>
  <c r="AV21" i="29"/>
  <c r="AY21" i="29" s="1"/>
  <c r="AV19" i="30"/>
  <c r="AZ19" i="30"/>
  <c r="AV6" i="27"/>
  <c r="AY6" i="27" s="1"/>
  <c r="AV10" i="29"/>
  <c r="AY10" i="29" s="1"/>
  <c r="AV10" i="30"/>
  <c r="AY10" i="30" s="1"/>
  <c r="AV10" i="31"/>
  <c r="AY10" i="31" s="1"/>
  <c r="AU8" i="26"/>
  <c r="AV10" i="28"/>
  <c r="AY10" i="28" s="1"/>
  <c r="AV6" i="29"/>
  <c r="AY6" i="29" s="1"/>
  <c r="BC19" i="31"/>
  <c r="AV17" i="31"/>
  <c r="AV21" i="31"/>
  <c r="AY21" i="31" s="1"/>
  <c r="AV6" i="31"/>
  <c r="AY6" i="31" s="1"/>
  <c r="BB17" i="30"/>
  <c r="AV21" i="30"/>
  <c r="AY21" i="30" s="1"/>
  <c r="AV4" i="30"/>
  <c r="AZ4" i="30"/>
  <c r="AV17" i="29"/>
  <c r="AV19" i="29"/>
  <c r="AZ19" i="29"/>
  <c r="BB19" i="29"/>
  <c r="BC19" i="29"/>
  <c r="AZ17" i="28"/>
  <c r="AV29" i="27"/>
  <c r="BC19" i="27"/>
  <c r="AZ4" i="27"/>
  <c r="AV17" i="26"/>
  <c r="BB45" i="19"/>
  <c r="AR42" i="19"/>
  <c r="BC42" i="19"/>
  <c r="BB42" i="19"/>
  <c r="BB47" i="19"/>
  <c r="BC41" i="19"/>
  <c r="AR46" i="19"/>
  <c r="BB46" i="19"/>
  <c r="BC46" i="19"/>
  <c r="BC40" i="19"/>
  <c r="BB40" i="19"/>
  <c r="AR40" i="19"/>
  <c r="BC27" i="30"/>
  <c r="AV27" i="30"/>
  <c r="BB13" i="26"/>
  <c r="AY8" i="29"/>
  <c r="BC35" i="19"/>
  <c r="BB34" i="19"/>
  <c r="BC34" i="19"/>
  <c r="AR34" i="19"/>
  <c r="BB39" i="19"/>
  <c r="AR12" i="19"/>
  <c r="BC12" i="19"/>
  <c r="BB32" i="19"/>
  <c r="AR35" i="19"/>
  <c r="BC27" i="26"/>
  <c r="BB10" i="26"/>
  <c r="BC14" i="19"/>
  <c r="AR8" i="19"/>
  <c r="BB33" i="19"/>
  <c r="BB5" i="19"/>
  <c r="AR13" i="19"/>
  <c r="AR9" i="19"/>
  <c r="AR22" i="19"/>
  <c r="BB29" i="19"/>
  <c r="AR4" i="19"/>
  <c r="AU4" i="19" s="1"/>
  <c r="BC20" i="19"/>
  <c r="BC32" i="19"/>
  <c r="BB30" i="19"/>
  <c r="AR21" i="19"/>
  <c r="AU21" i="19" s="1"/>
  <c r="BC28" i="19"/>
  <c r="AR41" i="19"/>
  <c r="AR27" i="19"/>
  <c r="AU27" i="19" s="1"/>
  <c r="BB15" i="19"/>
  <c r="BC39" i="19"/>
  <c r="AR39" i="19"/>
  <c r="AR11" i="19"/>
  <c r="BC23" i="19"/>
  <c r="AR10" i="19"/>
  <c r="AU10" i="19" s="1"/>
  <c r="AR31" i="19"/>
  <c r="AU31" i="19" s="1"/>
  <c r="AR5" i="19"/>
  <c r="AU5" i="19" s="1"/>
  <c r="AR43" i="19"/>
  <c r="BB23" i="19"/>
  <c r="BB18" i="19"/>
  <c r="AR25" i="19"/>
  <c r="BB12" i="19"/>
  <c r="AR47" i="19"/>
  <c r="BC45" i="19"/>
  <c r="BC24" i="19"/>
  <c r="BC38" i="19"/>
  <c r="AR23" i="19"/>
  <c r="BC7" i="19"/>
  <c r="BB24" i="19"/>
  <c r="BC16" i="19"/>
  <c r="BC26" i="19"/>
  <c r="BC47" i="19"/>
  <c r="AR45" i="19"/>
  <c r="AR36" i="19"/>
  <c r="AR38" i="19"/>
  <c r="AZ13" i="26"/>
  <c r="AV13" i="26"/>
  <c r="BB26" i="19"/>
  <c r="AV27" i="29"/>
  <c r="AY27" i="29" s="1"/>
  <c r="AR14" i="19"/>
  <c r="BC13" i="26"/>
  <c r="BB27" i="26"/>
  <c r="AR16" i="19"/>
  <c r="AV9" i="26"/>
  <c r="AY9" i="26" s="1"/>
  <c r="BB13" i="19"/>
  <c r="BB9" i="19"/>
  <c r="BC13" i="19"/>
  <c r="BC33" i="19"/>
  <c r="BB25" i="19"/>
  <c r="BB14" i="19"/>
  <c r="BB20" i="19"/>
  <c r="AR30" i="19"/>
  <c r="AV6" i="19"/>
  <c r="AY6" i="19" s="1"/>
  <c r="BC29" i="19"/>
  <c r="BB16" i="19"/>
  <c r="AR18" i="19"/>
  <c r="AV7" i="19"/>
  <c r="BC18" i="19"/>
  <c r="AR24" i="19"/>
  <c r="AR3" i="19"/>
  <c r="AU3" i="19" s="1"/>
  <c r="AR28" i="19"/>
  <c r="AU8" i="31"/>
  <c r="AU8" i="30"/>
  <c r="AU8" i="28"/>
  <c r="AU8" i="27"/>
  <c r="BB8" i="26"/>
  <c r="BC8" i="26"/>
  <c r="BB6" i="27"/>
  <c r="BC10" i="26"/>
  <c r="AR33" i="19"/>
  <c r="BC25" i="19"/>
  <c r="BC22" i="19"/>
  <c r="BB22" i="19"/>
  <c r="AR29" i="19"/>
  <c r="AR19" i="19"/>
  <c r="AU19" i="19" s="1"/>
  <c r="AV19" i="19" s="1"/>
  <c r="AR17" i="19"/>
  <c r="AU17" i="19" s="1"/>
  <c r="BB7" i="19"/>
  <c r="BC9" i="19"/>
  <c r="AV11" i="19"/>
  <c r="AY11" i="19" s="1"/>
  <c r="AZ27" i="26" l="1"/>
  <c r="AZ21" i="28"/>
  <c r="AZ9" i="27"/>
  <c r="AV13" i="29"/>
  <c r="AY13" i="29" s="1"/>
  <c r="BB31" i="29"/>
  <c r="BC31" i="29"/>
  <c r="AZ31" i="29"/>
  <c r="AV4" i="19"/>
  <c r="AY4" i="19" s="1"/>
  <c r="AV10" i="19"/>
  <c r="AY10" i="19" s="1"/>
  <c r="AZ31" i="19"/>
  <c r="AZ21" i="26"/>
  <c r="AZ8" i="26"/>
  <c r="AZ6" i="26"/>
  <c r="AZ10" i="26"/>
  <c r="AZ21" i="27"/>
  <c r="BC9" i="27"/>
  <c r="BB9" i="27"/>
  <c r="AZ6" i="31"/>
  <c r="AZ8" i="29"/>
  <c r="BC8" i="29"/>
  <c r="BB8" i="29"/>
  <c r="BC9" i="28"/>
  <c r="BB9" i="28"/>
  <c r="AZ9" i="28"/>
  <c r="AZ19" i="19"/>
  <c r="AZ6" i="30"/>
  <c r="AZ10" i="27"/>
  <c r="AZ6" i="28"/>
  <c r="AZ21" i="29"/>
  <c r="AZ6" i="27"/>
  <c r="AZ10" i="29"/>
  <c r="AZ10" i="30"/>
  <c r="AZ10" i="31"/>
  <c r="AV8" i="26"/>
  <c r="AZ10" i="28"/>
  <c r="AZ6" i="29"/>
  <c r="AZ21" i="31"/>
  <c r="AZ21" i="30"/>
  <c r="AZ27" i="29"/>
  <c r="BB31" i="19"/>
  <c r="AV27" i="19"/>
  <c r="AY27" i="19" s="1"/>
  <c r="AZ19" i="26"/>
  <c r="AU8" i="19"/>
  <c r="AZ5" i="19"/>
  <c r="AV5" i="19"/>
  <c r="AV21" i="19"/>
  <c r="AY21" i="19" s="1"/>
  <c r="BB17" i="19"/>
  <c r="BC19" i="19"/>
  <c r="BC31" i="19"/>
  <c r="AV31" i="19"/>
  <c r="AV3" i="19"/>
  <c r="AY3" i="19" s="1"/>
  <c r="AZ11" i="19"/>
  <c r="AZ6" i="19"/>
  <c r="BC6" i="19" s="1"/>
  <c r="BB19" i="19"/>
  <c r="AZ9" i="26"/>
  <c r="BB4" i="19"/>
  <c r="BC4" i="19"/>
  <c r="AY7" i="19"/>
  <c r="AV17" i="19"/>
  <c r="AZ17" i="19"/>
  <c r="BC17" i="19"/>
  <c r="AV8" i="31"/>
  <c r="AV8" i="30"/>
  <c r="AV8" i="28"/>
  <c r="AV8" i="27"/>
  <c r="BB11" i="19"/>
  <c r="BC11" i="19"/>
  <c r="AZ4" i="19" l="1"/>
  <c r="AZ13" i="29"/>
  <c r="BC13" i="29"/>
  <c r="BB13" i="29"/>
  <c r="BC27" i="29"/>
  <c r="BB27" i="29"/>
  <c r="AZ10" i="19"/>
  <c r="BB19" i="26"/>
  <c r="BC9" i="26"/>
  <c r="AZ27" i="19"/>
  <c r="AV8" i="19"/>
  <c r="BC10" i="27"/>
  <c r="BC6" i="27"/>
  <c r="BC19" i="26"/>
  <c r="BB9" i="26"/>
  <c r="BC10" i="19"/>
  <c r="AZ3" i="19"/>
  <c r="AZ21" i="19"/>
  <c r="BB6" i="19"/>
  <c r="AZ7" i="19"/>
  <c r="BB10" i="19"/>
  <c r="AY8" i="31"/>
  <c r="AY8" i="30"/>
  <c r="AY8" i="28"/>
  <c r="AY8" i="27"/>
  <c r="AY8" i="19" l="1"/>
  <c r="BB27" i="19"/>
  <c r="BC27" i="19"/>
  <c r="BC3" i="19"/>
  <c r="BB21" i="19"/>
  <c r="BC21" i="19"/>
  <c r="BC8" i="31"/>
  <c r="BB8" i="31"/>
  <c r="AZ8" i="31"/>
  <c r="BB8" i="30"/>
  <c r="BC8" i="30"/>
  <c r="AZ8" i="30"/>
  <c r="AZ8" i="28"/>
  <c r="BB8" i="28"/>
  <c r="BC8" i="28"/>
  <c r="BB8" i="27"/>
  <c r="BC8" i="27"/>
  <c r="AZ8" i="27"/>
  <c r="AZ8" i="19" l="1"/>
  <c r="BB8" i="19"/>
  <c r="BC8" i="19"/>
  <c r="BB3" i="19"/>
</calcChain>
</file>

<file path=xl/sharedStrings.xml><?xml version="1.0" encoding="utf-8"?>
<sst xmlns="http://schemas.openxmlformats.org/spreadsheetml/2006/main" count="1489" uniqueCount="157">
  <si>
    <t>P1</t>
  </si>
  <si>
    <t>P2</t>
  </si>
  <si>
    <t>P3</t>
  </si>
  <si>
    <t>P4</t>
  </si>
  <si>
    <t>NOMBRES</t>
  </si>
  <si>
    <t>NO</t>
  </si>
  <si>
    <t>RP1</t>
  </si>
  <si>
    <t>RP2</t>
  </si>
  <si>
    <t>RP3</t>
  </si>
  <si>
    <t>RP4</t>
  </si>
  <si>
    <t>APELLIDOS</t>
  </si>
  <si>
    <t>50% C.F</t>
  </si>
  <si>
    <t>C.E.C.</t>
  </si>
  <si>
    <t>50% C.E.C.</t>
  </si>
  <si>
    <t>30% C.F.</t>
  </si>
  <si>
    <t>C.F</t>
  </si>
  <si>
    <t>A</t>
  </si>
  <si>
    <t>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</si>
  <si>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</si>
  <si>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</si>
  <si>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</si>
  <si>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</si>
  <si>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</si>
  <si>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</si>
  <si>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</si>
  <si>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</si>
  <si>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C.C.F</t>
  </si>
  <si>
    <t>C.F.</t>
  </si>
  <si>
    <t>C.E.</t>
  </si>
  <si>
    <t>C.E.EX</t>
  </si>
  <si>
    <t>70% C.E.EX</t>
  </si>
  <si>
    <t>C.EX.F</t>
  </si>
  <si>
    <t>ANDY</t>
  </si>
  <si>
    <t>ALEXANDER</t>
  </si>
  <si>
    <t>DE LA PAZ JOSE</t>
  </si>
  <si>
    <t>ALEXANDRA</t>
  </si>
  <si>
    <t>ANA ANGELA</t>
  </si>
  <si>
    <t>ALMONTE VIDAL</t>
  </si>
  <si>
    <t>ANA JULIA</t>
  </si>
  <si>
    <t>REYES GUZMAN</t>
  </si>
  <si>
    <t>HENRIQUEZ GUERRERO</t>
  </si>
  <si>
    <t>ANGEL LUIS</t>
  </si>
  <si>
    <t>DE LA CRUZ BRAZOBAN</t>
  </si>
  <si>
    <t>CARINA</t>
  </si>
  <si>
    <t xml:space="preserve">DEL ROSARIO </t>
  </si>
  <si>
    <t>CARMEN LUCIA</t>
  </si>
  <si>
    <t>OSCAR HERNANDEZ</t>
  </si>
  <si>
    <t>CRISTIAN LEONARDO</t>
  </si>
  <si>
    <t>SOTO SELMO</t>
  </si>
  <si>
    <t>DANIEL FERNANDO</t>
  </si>
  <si>
    <t>DE WINDT MEDINA</t>
  </si>
  <si>
    <t>DANIELKA</t>
  </si>
  <si>
    <t xml:space="preserve">DE LA CRUZ </t>
  </si>
  <si>
    <t>DARIELA</t>
  </si>
  <si>
    <t>ARCANGEL VASQUEZ</t>
  </si>
  <si>
    <t>DARIHANA</t>
  </si>
  <si>
    <t xml:space="preserve">SORIANO </t>
  </si>
  <si>
    <t>DARLIN</t>
  </si>
  <si>
    <t xml:space="preserve">JIMENEZ </t>
  </si>
  <si>
    <t>DEIRI</t>
  </si>
  <si>
    <t xml:space="preserve">BRUJAN </t>
  </si>
  <si>
    <t>ELBA MARGARITA</t>
  </si>
  <si>
    <t xml:space="preserve">SALAZAR </t>
  </si>
  <si>
    <t>ELIZABETH</t>
  </si>
  <si>
    <t>SOLANO MARTINEZ</t>
  </si>
  <si>
    <t>EMMANUELLA</t>
  </si>
  <si>
    <t>JEAN LOUIS</t>
  </si>
  <si>
    <t>ERZULIA</t>
  </si>
  <si>
    <t xml:space="preserve">NARCISSE </t>
  </si>
  <si>
    <t>GREULY</t>
  </si>
  <si>
    <t>JASINTO DE LA ROSA</t>
  </si>
  <si>
    <t>JOHNNDERY YOENDRIS</t>
  </si>
  <si>
    <t>CUEBA NAVARRO</t>
  </si>
  <si>
    <t>JOSE RAMON</t>
  </si>
  <si>
    <t>CONSTANZA REYES</t>
  </si>
  <si>
    <t>JUAN JOSE</t>
  </si>
  <si>
    <t>PERALTA PANIAGUA</t>
  </si>
  <si>
    <t>LUIS MANUEL</t>
  </si>
  <si>
    <t>RODRIGUEZ FERRAND</t>
  </si>
  <si>
    <t>MERCEDES</t>
  </si>
  <si>
    <t>GIRON GARCIA</t>
  </si>
  <si>
    <t>MEROLIN</t>
  </si>
  <si>
    <t>MORENO JAQUEZ</t>
  </si>
  <si>
    <t>MIRLANDIE</t>
  </si>
  <si>
    <t>MONTREVIL PIERRE</t>
  </si>
  <si>
    <t>ODALI</t>
  </si>
  <si>
    <t>MORA PEREZ</t>
  </si>
  <si>
    <t>OSMEILIN</t>
  </si>
  <si>
    <t>CONSEPCION MARTINEZ</t>
  </si>
  <si>
    <t>PAULINA</t>
  </si>
  <si>
    <t>JACINTO TORIBIO</t>
  </si>
  <si>
    <t>PHALANCIA</t>
  </si>
  <si>
    <t xml:space="preserve">LOUIME </t>
  </si>
  <si>
    <t>ROSMAILIN ALEXANDRA</t>
  </si>
  <si>
    <t>MARIANO MARTE</t>
  </si>
  <si>
    <t>SANDY DE LOS SANTOS</t>
  </si>
  <si>
    <t>PAYANO LOPEZ</t>
  </si>
  <si>
    <t>SAUL</t>
  </si>
  <si>
    <t>DIAZ DE LA ROSA</t>
  </si>
  <si>
    <t>YONATHAN JR</t>
  </si>
  <si>
    <t>VILLAR FRIAS</t>
  </si>
  <si>
    <t>YUDITH AILYN</t>
  </si>
  <si>
    <t xml:space="preserve">RONDON </t>
  </si>
  <si>
    <t>FRANK MANUEL</t>
  </si>
  <si>
    <t>GUZMAN ARAUJO</t>
  </si>
  <si>
    <t>ALTIDOR</t>
  </si>
  <si>
    <t xml:space="preserve">CASH </t>
  </si>
  <si>
    <t>JORDANY</t>
  </si>
  <si>
    <t>MORENO GIRON</t>
  </si>
  <si>
    <t>FRANDY YADIEL</t>
  </si>
  <si>
    <t>MEDINA  MARTINEZ</t>
  </si>
  <si>
    <t>ID</t>
  </si>
  <si>
    <t>3A-A-01</t>
  </si>
  <si>
    <t>3A-A-02</t>
  </si>
  <si>
    <t>3A-A-03</t>
  </si>
  <si>
    <t>3A-A-04</t>
  </si>
  <si>
    <t>3A-A-05</t>
  </si>
  <si>
    <t>3A-A-06</t>
  </si>
  <si>
    <t>3A-A-07</t>
  </si>
  <si>
    <t>3A-A-08</t>
  </si>
  <si>
    <t>3A-A-09</t>
  </si>
  <si>
    <t>3A-A-10</t>
  </si>
  <si>
    <t>3A-A-11</t>
  </si>
  <si>
    <t>3A-A-12</t>
  </si>
  <si>
    <t>3A-A-13</t>
  </si>
  <si>
    <t>3A-A-14</t>
  </si>
  <si>
    <t>3A-A-15</t>
  </si>
  <si>
    <t>3A-A-16</t>
  </si>
  <si>
    <t>3A-A-17</t>
  </si>
  <si>
    <t>3A-A-18</t>
  </si>
  <si>
    <t>3A-A-19</t>
  </si>
  <si>
    <t>3A-A-20</t>
  </si>
  <si>
    <t>3A-A-21</t>
  </si>
  <si>
    <t>3A-A-22</t>
  </si>
  <si>
    <t>3A-A-23</t>
  </si>
  <si>
    <t>3A-A-24</t>
  </si>
  <si>
    <t>3A-A-25</t>
  </si>
  <si>
    <t>3A-A-26</t>
  </si>
  <si>
    <t>3A-A-27</t>
  </si>
  <si>
    <t>3A-A-28</t>
  </si>
  <si>
    <t>3A-A-29</t>
  </si>
  <si>
    <t>3A-A-30</t>
  </si>
  <si>
    <t>3A-A-31</t>
  </si>
  <si>
    <t>3A-A-32</t>
  </si>
  <si>
    <t>3A-A-33</t>
  </si>
  <si>
    <t>3A-A-34</t>
  </si>
  <si>
    <t>3A-A-35</t>
  </si>
  <si>
    <t>3A-A-36</t>
  </si>
  <si>
    <t>3A-A-37</t>
  </si>
  <si>
    <t>3A-A-38</t>
  </si>
  <si>
    <t>3A-A-39</t>
  </si>
  <si>
    <t>3A-A-40</t>
  </si>
  <si>
    <t>3A-A-41</t>
  </si>
  <si>
    <t>3A-A-42</t>
  </si>
  <si>
    <t>3A-A-43</t>
  </si>
  <si>
    <t>3A-A-44</t>
  </si>
  <si>
    <t>3A-A-45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</si>
</sst>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;0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rgb="FFFFFFCC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40">
    <xf numFmtId="0" fontId="0" fillId="0" borderId="0" xfId="0"/>
    <xf numFmtId="0" fontId="0" fillId="0" borderId="20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1" fillId="4" borderId="26" xfId="0" applyFont="1" applyFill="1" applyBorder="1" applyAlignment="1" applyProtection="1">
      <alignment horizontal="center"/>
      <protection locked="0"/>
    </xf>
    <xf numFmtId="0" fontId="1" fillId="7" borderId="8" xfId="0" applyFont="1" applyFill="1" applyBorder="1" applyAlignment="1" applyProtection="1">
      <alignment horizontal="center"/>
      <protection locked="0"/>
    </xf>
    <xf numFmtId="0" fontId="1" fillId="7" borderId="11" xfId="0" applyFont="1" applyFill="1" applyBorder="1" applyAlignment="1" applyProtection="1">
      <alignment horizontal="center"/>
      <protection locked="0"/>
    </xf>
    <xf numFmtId="0" fontId="1" fillId="9" borderId="16" xfId="0" applyFont="1" applyFill="1" applyBorder="1" applyAlignment="1" applyProtection="1">
      <alignment horizontal="center"/>
      <protection locked="0"/>
    </xf>
    <xf numFmtId="0" fontId="1" fillId="9" borderId="17" xfId="0" applyFont="1" applyFill="1" applyBorder="1" applyAlignment="1" applyProtection="1">
      <alignment horizontal="center"/>
      <protection locked="0"/>
    </xf>
    <xf numFmtId="0" fontId="1" fillId="9" borderId="18" xfId="0" applyFont="1" applyFill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1" fillId="3" borderId="7" xfId="0" applyFont="1" applyFill="1" applyBorder="1" applyAlignment="1" applyProtection="1">
      <alignment horizontal="center"/>
      <protection locked="0"/>
    </xf>
    <xf numFmtId="0" fontId="1" fillId="3" borderId="8" xfId="0" applyFont="1" applyFill="1" applyBorder="1" applyAlignment="1" applyProtection="1">
      <alignment horizontal="center"/>
      <protection locked="0"/>
    </xf>
    <xf numFmtId="0" fontId="1" fillId="3" borderId="9" xfId="0" applyFont="1" applyFill="1" applyBorder="1" applyAlignment="1" applyProtection="1">
      <alignment horizontal="center"/>
      <protection locked="0"/>
    </xf>
    <xf numFmtId="0" fontId="1" fillId="4" borderId="8" xfId="0" applyFont="1" applyFill="1" applyBorder="1" applyAlignment="1" applyProtection="1">
      <alignment horizontal="center"/>
      <protection locked="0"/>
    </xf>
    <xf numFmtId="0" fontId="1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2" borderId="15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164" fontId="1" fillId="0" borderId="25" xfId="0" applyNumberFormat="1" applyFont="1" applyBorder="1" applyAlignment="1" applyProtection="1">
      <alignment horizontal="center"/>
      <protection locked="0"/>
    </xf>
    <xf numFmtId="1" fontId="3" fillId="8" borderId="1" xfId="0" applyNumberFormat="1" applyFont="1" applyFill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164" fontId="1" fillId="0" borderId="35" xfId="0" applyNumberFormat="1" applyFont="1" applyBorder="1" applyAlignment="1" applyProtection="1">
      <alignment horizontal="center"/>
      <protection locked="0"/>
    </xf>
    <xf numFmtId="164" fontId="1" fillId="0" borderId="36" xfId="0" applyNumberFormat="1" applyFont="1" applyBorder="1" applyAlignment="1" applyProtection="1">
      <alignment horizontal="center"/>
      <protection locked="0"/>
    </xf>
    <xf numFmtId="164" fontId="1" fillId="3" borderId="2" xfId="0" applyNumberFormat="1" applyFont="1" applyFill="1" applyBorder="1" applyAlignment="1">
      <alignment horizontal="center"/>
    </xf>
    <xf numFmtId="164" fontId="1" fillId="7" borderId="3" xfId="0" applyNumberFormat="1" applyFont="1" applyFill="1" applyBorder="1" applyAlignment="1">
      <alignment horizontal="center"/>
    </xf>
    <xf numFmtId="164" fontId="1" fillId="9" borderId="3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5" borderId="6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1" fillId="7" borderId="8" xfId="0" applyNumberFormat="1" applyFont="1" applyFill="1" applyBorder="1" applyAlignment="1">
      <alignment horizontal="center"/>
    </xf>
    <xf numFmtId="164" fontId="1" fillId="9" borderId="8" xfId="0" applyNumberFormat="1" applyFont="1" applyFill="1" applyBorder="1" applyAlignment="1">
      <alignment horizontal="center"/>
    </xf>
    <xf numFmtId="164" fontId="1" fillId="4" borderId="8" xfId="0" applyNumberFormat="1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horizontal="center" vertical="center"/>
    </xf>
    <xf numFmtId="164" fontId="3" fillId="6" borderId="7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3" fillId="6" borderId="6" xfId="0" applyNumberFormat="1" applyFont="1" applyFill="1" applyBorder="1" applyAlignment="1">
      <alignment horizontal="center" vertical="center"/>
    </xf>
    <xf numFmtId="164" fontId="3" fillId="6" borderId="8" xfId="0" applyNumberFormat="1" applyFont="1" applyFill="1" applyBorder="1" applyAlignment="1">
      <alignment horizontal="center" vertical="center"/>
    </xf>
    <xf numFmtId="164" fontId="3" fillId="6" borderId="9" xfId="0" applyNumberFormat="1" applyFont="1" applyFill="1" applyBorder="1" applyAlignment="1">
      <alignment horizontal="center" vertical="center"/>
    </xf>
    <xf numFmtId="164" fontId="3" fillId="6" borderId="12" xfId="0" applyNumberFormat="1" applyFont="1" applyFill="1" applyBorder="1" applyAlignment="1">
      <alignment horizontal="center" vertical="center"/>
    </xf>
    <xf numFmtId="164" fontId="3" fillId="6" borderId="11" xfId="0" applyNumberFormat="1" applyFont="1" applyFill="1" applyBorder="1" applyAlignment="1">
      <alignment horizontal="center" vertical="center"/>
    </xf>
    <xf numFmtId="1" fontId="1" fillId="6" borderId="5" xfId="0" applyNumberFormat="1" applyFont="1" applyFill="1" applyBorder="1" applyAlignment="1">
      <alignment horizontal="center"/>
    </xf>
    <xf numFmtId="1" fontId="1" fillId="6" borderId="6" xfId="0" applyNumberFormat="1" applyFont="1" applyFill="1" applyBorder="1" applyAlignment="1">
      <alignment horizontal="center"/>
    </xf>
    <xf numFmtId="165" fontId="1" fillId="6" borderId="6" xfId="0" applyNumberFormat="1" applyFont="1" applyFill="1" applyBorder="1" applyAlignment="1">
      <alignment horizontal="center"/>
    </xf>
    <xf numFmtId="1" fontId="1" fillId="6" borderId="7" xfId="0" applyNumberFormat="1" applyFont="1" applyFill="1" applyBorder="1" applyAlignment="1">
      <alignment horizontal="center"/>
    </xf>
    <xf numFmtId="165" fontId="1" fillId="6" borderId="9" xfId="0" applyNumberFormat="1" applyFont="1" applyFill="1" applyBorder="1" applyAlignment="1">
      <alignment horizontal="center"/>
    </xf>
    <xf numFmtId="0" fontId="4" fillId="10" borderId="1" xfId="0" applyFont="1" applyFill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5" fillId="11" borderId="1" xfId="0" applyFont="1" applyFill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6" fillId="11" borderId="1" xfId="0" applyFont="1" applyFill="1" applyBorder="1" applyAlignment="1" applyProtection="1">
      <alignment vertical="center" wrapText="1"/>
      <protection locked="0"/>
    </xf>
    <xf numFmtId="0" fontId="7" fillId="11" borderId="1" xfId="0" applyFont="1" applyFill="1" applyBorder="1" applyAlignment="1" applyProtection="1">
      <alignment vertical="center" wrapText="1"/>
      <protection locked="0"/>
    </xf>
    <xf numFmtId="0" fontId="1" fillId="9" borderId="7" xfId="0" applyFont="1" applyFill="1" applyBorder="1" applyAlignment="1" applyProtection="1">
      <alignment horizontal="center"/>
      <protection locked="0"/>
    </xf>
    <xf numFmtId="0" fontId="1" fillId="9" borderId="8" xfId="0" applyFont="1" applyFill="1" applyBorder="1" applyAlignment="1" applyProtection="1">
      <alignment horizontal="center"/>
      <protection locked="0"/>
    </xf>
    <xf numFmtId="0" fontId="1" fillId="9" borderId="9" xfId="0" applyFont="1" applyFill="1" applyBorder="1" applyAlignment="1" applyProtection="1">
      <alignment horizontal="center"/>
      <protection locked="0"/>
    </xf>
    <xf numFmtId="0" fontId="8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166" fontId="9" fillId="12" borderId="37" xfId="0" applyNumberFormat="1" applyFont="1" applyFill="1" applyBorder="1" applyAlignment="1">
      <alignment horizontal="center"/>
    </xf>
    <xf numFmtId="166" fontId="9" fillId="13" borderId="38" xfId="0" applyNumberFormat="1" applyFont="1" applyFill="1" applyBorder="1" applyAlignment="1">
      <alignment horizontal="center"/>
    </xf>
    <xf numFmtId="166" fontId="9" fillId="14" borderId="38" xfId="0" applyNumberFormat="1" applyFont="1" applyFill="1" applyBorder="1" applyAlignment="1">
      <alignment horizontal="center"/>
    </xf>
    <xf numFmtId="166" fontId="9" fillId="15" borderId="38" xfId="0" applyNumberFormat="1" applyFont="1" applyFill="1" applyBorder="1" applyAlignment="1">
      <alignment horizontal="center"/>
    </xf>
    <xf numFmtId="166" fontId="9" fillId="16" borderId="39" xfId="0" applyNumberFormat="1" applyFont="1" applyFill="1" applyBorder="1" applyAlignment="1">
      <alignment horizontal="center"/>
    </xf>
    <xf numFmtId="0" fontId="11" fillId="0" borderId="37" xfId="1" applyFont="1" applyBorder="1" applyAlignment="1" applyProtection="1">
      <alignment horizontal="center"/>
      <protection locked="0"/>
    </xf>
    <xf numFmtId="0" fontId="11" fillId="0" borderId="38" xfId="1" applyFont="1" applyBorder="1" applyAlignment="1" applyProtection="1">
      <alignment horizontal="center"/>
      <protection locked="0"/>
    </xf>
    <xf numFmtId="0" fontId="11" fillId="0" borderId="39" xfId="1" applyFont="1" applyBorder="1" applyAlignment="1" applyProtection="1">
      <alignment horizontal="center"/>
      <protection locked="0"/>
    </xf>
    <xf numFmtId="0" fontId="11" fillId="0" borderId="40" xfId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6" borderId="6" xfId="0" applyFont="1" applyFill="1" applyBorder="1" applyAlignment="1">
      <alignment horizontal="center" vertical="center"/>
    </xf>
    <xf numFmtId="49" fontId="2" fillId="6" borderId="17" xfId="0" applyNumberFormat="1" applyFont="1" applyFill="1" applyBorder="1" applyAlignment="1">
      <alignment horizontal="center" vertical="center" wrapText="1"/>
    </xf>
    <xf numFmtId="49" fontId="2" fillId="6" borderId="22" xfId="0" applyNumberFormat="1" applyFont="1" applyFill="1" applyBorder="1" applyAlignment="1">
      <alignment horizontal="center" vertical="center" wrapText="1"/>
    </xf>
    <xf numFmtId="49" fontId="2" fillId="6" borderId="18" xfId="0" applyNumberFormat="1" applyFont="1" applyFill="1" applyBorder="1" applyAlignment="1">
      <alignment horizontal="center" vertical="center" wrapText="1"/>
    </xf>
    <xf numFmtId="49" fontId="2" fillId="6" borderId="32" xfId="0" applyNumberFormat="1" applyFont="1" applyFill="1" applyBorder="1" applyAlignment="1">
      <alignment horizontal="center" vertical="center" wrapText="1"/>
    </xf>
    <xf numFmtId="49" fontId="2" fillId="6" borderId="16" xfId="0" applyNumberFormat="1" applyFont="1" applyFill="1" applyBorder="1" applyAlignment="1">
      <alignment horizontal="center" vertical="center" wrapText="1"/>
    </xf>
    <xf numFmtId="49" fontId="2" fillId="6" borderId="31" xfId="0" applyNumberFormat="1" applyFont="1" applyFill="1" applyBorder="1" applyAlignment="1">
      <alignment horizontal="center" vertical="center" wrapText="1"/>
    </xf>
    <xf numFmtId="49" fontId="2" fillId="8" borderId="17" xfId="0" applyNumberFormat="1" applyFont="1" applyFill="1" applyBorder="1" applyAlignment="1" applyProtection="1">
      <alignment horizontal="center" vertical="center" wrapText="1"/>
      <protection locked="0"/>
    </xf>
    <xf numFmtId="49" fontId="2" fillId="8" borderId="22" xfId="0" applyNumberFormat="1" applyFont="1" applyFill="1" applyBorder="1" applyAlignment="1" applyProtection="1">
      <alignment horizontal="center" vertical="center" wrapText="1"/>
      <protection locked="0"/>
    </xf>
    <xf numFmtId="49" fontId="2" fillId="6" borderId="21" xfId="0" applyNumberFormat="1" applyFont="1" applyFill="1" applyBorder="1" applyAlignment="1">
      <alignment horizontal="center" vertical="center" wrapText="1"/>
    </xf>
    <xf numFmtId="49" fontId="2" fillId="6" borderId="19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/>
      <protection locked="0"/>
    </xf>
    <xf numFmtId="0" fontId="1" fillId="3" borderId="4" xfId="0" applyFont="1" applyFill="1" applyBorder="1" applyAlignment="1" applyProtection="1">
      <alignment horizontal="center"/>
      <protection locked="0"/>
    </xf>
    <xf numFmtId="0" fontId="1" fillId="7" borderId="2" xfId="0" applyFont="1" applyFill="1" applyBorder="1" applyAlignment="1" applyProtection="1">
      <alignment horizontal="center"/>
      <protection locked="0"/>
    </xf>
    <xf numFmtId="0" fontId="1" fillId="7" borderId="3" xfId="0" applyFont="1" applyFill="1" applyBorder="1" applyAlignment="1" applyProtection="1">
      <alignment horizontal="center"/>
      <protection locked="0"/>
    </xf>
    <xf numFmtId="0" fontId="1" fillId="7" borderId="10" xfId="0" applyFont="1" applyFill="1" applyBorder="1" applyAlignment="1" applyProtection="1">
      <alignment horizontal="center"/>
      <protection locked="0"/>
    </xf>
    <xf numFmtId="0" fontId="1" fillId="2" borderId="41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9" borderId="2" xfId="0" applyFont="1" applyFill="1" applyBorder="1" applyAlignment="1" applyProtection="1">
      <alignment horizontal="center"/>
      <protection locked="0"/>
    </xf>
    <xf numFmtId="0" fontId="1" fillId="9" borderId="3" xfId="0" applyFont="1" applyFill="1" applyBorder="1" applyAlignment="1" applyProtection="1">
      <alignment horizontal="center"/>
      <protection locked="0"/>
    </xf>
    <xf numFmtId="0" fontId="1" fillId="9" borderId="4" xfId="0" applyFont="1" applyFill="1" applyBorder="1" applyAlignment="1" applyProtection="1">
      <alignment horizontal="center"/>
      <protection locked="0"/>
    </xf>
    <xf numFmtId="0" fontId="1" fillId="4" borderId="24" xfId="0" applyFont="1" applyFill="1" applyBorder="1" applyAlignment="1" applyProtection="1">
      <alignment horizontal="center"/>
      <protection locked="0"/>
    </xf>
    <xf numFmtId="0" fontId="1" fillId="4" borderId="3" xfId="0" applyFont="1" applyFill="1" applyBorder="1" applyAlignment="1" applyProtection="1">
      <alignment horizontal="center"/>
      <protection locked="0"/>
    </xf>
    <xf numFmtId="0" fontId="1" fillId="4" borderId="10" xfId="0" applyFont="1" applyFill="1" applyBorder="1" applyAlignment="1" applyProtection="1">
      <alignment horizontal="center"/>
      <protection locked="0"/>
    </xf>
    <xf numFmtId="0" fontId="1" fillId="3" borderId="27" xfId="0" applyFont="1" applyFill="1" applyBorder="1" applyAlignment="1" applyProtection="1">
      <alignment horizontal="center" vertical="center"/>
      <protection locked="0"/>
    </xf>
    <xf numFmtId="0" fontId="1" fillId="3" borderId="29" xfId="0" applyFont="1" applyFill="1" applyBorder="1" applyAlignment="1" applyProtection="1">
      <alignment horizontal="center" vertical="center"/>
      <protection locked="0"/>
    </xf>
    <xf numFmtId="0" fontId="1" fillId="7" borderId="27" xfId="0" applyFont="1" applyFill="1" applyBorder="1" applyAlignment="1" applyProtection="1">
      <alignment horizontal="center" vertical="center"/>
      <protection locked="0"/>
    </xf>
    <xf numFmtId="0" fontId="1" fillId="7" borderId="29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34" xfId="0" applyFont="1" applyFill="1" applyBorder="1" applyAlignment="1" applyProtection="1">
      <alignment horizontal="center" vertical="center"/>
      <protection locked="0"/>
    </xf>
    <xf numFmtId="0" fontId="1" fillId="5" borderId="14" xfId="0" applyFont="1" applyFill="1" applyBorder="1" applyAlignment="1" applyProtection="1">
      <alignment horizontal="center" vertical="center" textRotation="90" wrapText="1"/>
      <protection locked="0"/>
    </xf>
    <xf numFmtId="0" fontId="1" fillId="5" borderId="30" xfId="0" applyFont="1" applyFill="1" applyBorder="1" applyAlignment="1" applyProtection="1">
      <alignment horizontal="center" vertical="center" textRotation="90" wrapText="1"/>
      <protection locked="0"/>
    </xf>
    <xf numFmtId="0" fontId="1" fillId="0" borderId="28" xfId="0" applyFont="1" applyBorder="1" applyAlignment="1" applyProtection="1">
      <alignment horizontal="center" vertical="center" textRotation="90" wrapText="1"/>
      <protection locked="0"/>
    </xf>
    <xf numFmtId="0" fontId="1" fillId="0" borderId="29" xfId="0" applyFont="1" applyBorder="1" applyAlignment="1" applyProtection="1">
      <alignment horizontal="center" vertical="center" textRotation="90" wrapText="1"/>
      <protection locked="0"/>
    </xf>
    <xf numFmtId="164" fontId="1" fillId="5" borderId="33" xfId="0" applyNumberFormat="1" applyFont="1" applyFill="1" applyBorder="1" applyAlignment="1">
      <alignment horizontal="center" vertical="center"/>
    </xf>
    <xf numFmtId="164" fontId="1" fillId="5" borderId="42" xfId="0" applyNumberFormat="1" applyFont="1" applyFill="1" applyBorder="1" applyAlignment="1">
      <alignment horizontal="center" vertical="center"/>
    </xf>
    <xf numFmtId="0" fontId="1" fillId="2" borderId="43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2D7EC844-6F26-42B0-B6EE-C43F91CA557C}"/>
  </cellStyles>
  <dxfs count="45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  <fill>
        <patternFill patternType="none"/>
      </fill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1:BI47"/>
  <sheetViews>
    <sheetView topLeftCell="B6" zoomScale="110" zoomScaleNormal="110" workbookViewId="0">
      <selection activeCell="E12" sqref="E12:AJ12"/>
    </sheetView>
  </sheetViews>
  <sheetFormatPr baseColWidth="10" defaultColWidth="11.5" defaultRowHeight="15" x14ac:dyDescent="0.2"/>
  <cols>
    <col min="1" max="1" width="4" style="12" customWidth="1"/>
    <col min="2" max="2" width="17.1640625" style="12" customWidth="1"/>
    <col min="3" max="3" width="21.33203125" style="13" customWidth="1"/>
    <col min="4" max="4" width="19.83203125" style="13" customWidth="1"/>
    <col min="5" max="36" width="4.6640625" style="13" customWidth="1"/>
    <col min="37" max="43" width="5.83203125" style="13" customWidth="1"/>
    <col min="44" max="44" width="7.6640625" style="13" customWidth="1"/>
    <col min="45" max="46" width="5.83203125" style="13" customWidth="1"/>
    <col min="47" max="47" width="6.5" style="13" customWidth="1"/>
    <col min="48" max="51" width="5.83203125" style="13" customWidth="1"/>
    <col min="52" max="53" width="5.33203125" style="13" customWidth="1"/>
    <col min="54" max="55" width="6.1640625" style="13" customWidth="1"/>
    <col min="56" max="56" width="11.33203125" style="13" customWidth="1"/>
    <col min="57" max="58" width="6.33203125" style="13" customWidth="1"/>
    <col min="59" max="59" width="6.33203125" customWidth="1"/>
    <col min="60" max="61" width="6.33203125" style="13" customWidth="1"/>
    <col min="62" max="16384" width="11.5" style="13"/>
  </cols>
  <sheetData>
    <row r="1" spans="1:61" x14ac:dyDescent="0.2">
      <c r="A1" s="105" t="s">
        <v>5</v>
      </c>
      <c r="B1" s="117" t="s">
        <v>111</v>
      </c>
      <c r="C1" s="107" t="s">
        <v>4</v>
      </c>
      <c r="D1" s="109" t="s">
        <v>10</v>
      </c>
      <c r="E1" s="111" t="s">
        <v>18</v>
      </c>
      <c r="F1" s="112"/>
      <c r="G1" s="112"/>
      <c r="H1" s="112"/>
      <c r="I1" s="112"/>
      <c r="J1" s="112"/>
      <c r="K1" s="112"/>
      <c r="L1" s="113"/>
      <c r="M1" s="114" t="s">
        <v>19</v>
      </c>
      <c r="N1" s="115"/>
      <c r="O1" s="115"/>
      <c r="P1" s="115"/>
      <c r="Q1" s="115"/>
      <c r="R1" s="115"/>
      <c r="S1" s="115"/>
      <c r="T1" s="116"/>
      <c r="U1" s="121" t="s">
        <v>20</v>
      </c>
      <c r="V1" s="122"/>
      <c r="W1" s="122"/>
      <c r="X1" s="122"/>
      <c r="Y1" s="122"/>
      <c r="Z1" s="122"/>
      <c r="AA1" s="122"/>
      <c r="AB1" s="123"/>
      <c r="AC1" s="124" t="s">
        <v>21</v>
      </c>
      <c r="AD1" s="125"/>
      <c r="AE1" s="125"/>
      <c r="AF1" s="125"/>
      <c r="AG1" s="125"/>
      <c r="AH1" s="125"/>
      <c r="AI1" s="125"/>
      <c r="AJ1" s="126"/>
      <c r="AK1" s="127" t="s">
        <v>22</v>
      </c>
      <c r="AL1" s="129" t="s">
        <v>23</v>
      </c>
      <c r="AM1" s="131" t="s">
        <v>24</v>
      </c>
      <c r="AN1" s="119" t="s">
        <v>25</v>
      </c>
      <c r="AO1" s="137" t="s">
        <v>15</v>
      </c>
      <c r="AP1" s="135"/>
      <c r="AR1" s="99" t="s">
        <v>11</v>
      </c>
      <c r="AS1" s="101" t="s">
        <v>12</v>
      </c>
      <c r="AT1" s="95" t="s">
        <v>13</v>
      </c>
      <c r="AU1" s="97" t="s">
        <v>26</v>
      </c>
      <c r="AV1" s="99" t="s">
        <v>14</v>
      </c>
      <c r="AW1" s="101" t="s">
        <v>29</v>
      </c>
      <c r="AX1" s="95" t="s">
        <v>30</v>
      </c>
      <c r="AY1" s="103" t="s">
        <v>31</v>
      </c>
      <c r="AZ1" s="90" t="s">
        <v>27</v>
      </c>
      <c r="BA1" s="92" t="s">
        <v>28</v>
      </c>
      <c r="BB1" s="91" t="s">
        <v>16</v>
      </c>
      <c r="BC1" s="94" t="s">
        <v>17</v>
      </c>
    </row>
    <row r="2" spans="1:61" ht="16" thickBot="1" x14ac:dyDescent="0.25">
      <c r="A2" s="106"/>
      <c r="B2" s="118"/>
      <c r="C2" s="108"/>
      <c r="D2" s="110"/>
      <c r="E2" s="14" t="s">
        <v>0</v>
      </c>
      <c r="F2" s="15" t="s">
        <v>6</v>
      </c>
      <c r="G2" s="15" t="s">
        <v>1</v>
      </c>
      <c r="H2" s="15" t="s">
        <v>7</v>
      </c>
      <c r="I2" s="15" t="s">
        <v>2</v>
      </c>
      <c r="J2" s="15" t="s">
        <v>8</v>
      </c>
      <c r="K2" s="15" t="s">
        <v>3</v>
      </c>
      <c r="L2" s="16" t="s">
        <v>9</v>
      </c>
      <c r="M2" s="7" t="s">
        <v>0</v>
      </c>
      <c r="N2" s="7" t="s">
        <v>6</v>
      </c>
      <c r="O2" s="7" t="s">
        <v>1</v>
      </c>
      <c r="P2" s="7" t="s">
        <v>7</v>
      </c>
      <c r="Q2" s="7" t="s">
        <v>2</v>
      </c>
      <c r="R2" s="7" t="s">
        <v>8</v>
      </c>
      <c r="S2" s="7" t="s">
        <v>3</v>
      </c>
      <c r="T2" s="8" t="s">
        <v>9</v>
      </c>
      <c r="U2" s="73" t="s">
        <v>0</v>
      </c>
      <c r="V2" s="74" t="s">
        <v>6</v>
      </c>
      <c r="W2" s="74" t="s">
        <v>1</v>
      </c>
      <c r="X2" s="74" t="s">
        <v>8</v>
      </c>
      <c r="Y2" s="74" t="s">
        <v>2</v>
      </c>
      <c r="Z2" s="74" t="s">
        <v>9</v>
      </c>
      <c r="AA2" s="74" t="s">
        <v>3</v>
      </c>
      <c r="AB2" s="75" t="s">
        <v>9</v>
      </c>
      <c r="AC2" s="6" t="s">
        <v>0</v>
      </c>
      <c r="AD2" s="17" t="s">
        <v>6</v>
      </c>
      <c r="AE2" s="17" t="s">
        <v>1</v>
      </c>
      <c r="AF2" s="17" t="s">
        <v>8</v>
      </c>
      <c r="AG2" s="17" t="s">
        <v>2</v>
      </c>
      <c r="AH2" s="17" t="s">
        <v>9</v>
      </c>
      <c r="AI2" s="17" t="s">
        <v>3</v>
      </c>
      <c r="AJ2" s="18" t="s">
        <v>9</v>
      </c>
      <c r="AK2" s="128"/>
      <c r="AL2" s="130"/>
      <c r="AM2" s="132"/>
      <c r="AN2" s="120"/>
      <c r="AO2" s="138"/>
      <c r="AP2" s="136"/>
      <c r="AR2" s="100"/>
      <c r="AS2" s="102"/>
      <c r="AT2" s="96"/>
      <c r="AU2" s="98"/>
      <c r="AV2" s="100"/>
      <c r="AW2" s="102"/>
      <c r="AX2" s="96"/>
      <c r="AY2" s="104"/>
      <c r="AZ2" s="91"/>
      <c r="BA2" s="93"/>
      <c r="BB2" s="91"/>
      <c r="BC2" s="94"/>
      <c r="BE2" s="20" t="s">
        <v>0</v>
      </c>
      <c r="BF2" s="20" t="s">
        <v>1</v>
      </c>
      <c r="BG2" s="89" t="s">
        <v>2</v>
      </c>
      <c r="BH2" s="20" t="s">
        <v>3</v>
      </c>
      <c r="BI2" s="20" t="s">
        <v>15</v>
      </c>
    </row>
    <row r="3" spans="1:61" x14ac:dyDescent="0.2">
      <c r="A3" s="26">
        <v>1</v>
      </c>
      <c r="B3" s="88" t="s">
        <v>112</v>
      </c>
      <c r="C3" s="69" t="s">
        <v>33</v>
      </c>
      <c r="D3" s="69" t="s">
        <v>34</v>
      </c>
      <c r="E3" s="19">
        <v>75</v>
      </c>
      <c r="F3" s="20"/>
      <c r="G3" s="20">
        <v>73</v>
      </c>
      <c r="H3" s="20"/>
      <c r="I3" s="20">
        <v>74</v>
      </c>
      <c r="J3" s="20"/>
      <c r="K3" s="20">
        <v>74</v>
      </c>
      <c r="L3" s="21"/>
      <c r="M3" s="19">
        <v>75</v>
      </c>
      <c r="N3" s="20"/>
      <c r="O3" s="20">
        <v>76</v>
      </c>
      <c r="P3" s="20"/>
      <c r="Q3" s="20">
        <v>74</v>
      </c>
      <c r="R3" s="20"/>
      <c r="S3" s="20">
        <v>74</v>
      </c>
      <c r="T3" s="21"/>
      <c r="U3" s="19">
        <v>76</v>
      </c>
      <c r="V3" s="20"/>
      <c r="W3" s="20">
        <v>78</v>
      </c>
      <c r="X3" s="20"/>
      <c r="Y3" s="20">
        <v>79</v>
      </c>
      <c r="Z3" s="20"/>
      <c r="AA3" s="20">
        <v>76</v>
      </c>
      <c r="AB3" s="21"/>
      <c r="AC3" s="19">
        <v>76</v>
      </c>
      <c r="AD3" s="20"/>
      <c r="AE3" s="20">
        <v>75</v>
      </c>
      <c r="AF3" s="20"/>
      <c r="AG3" s="20">
        <v>76</v>
      </c>
      <c r="AH3" s="20"/>
      <c r="AI3" s="20">
        <v>79</v>
      </c>
      <c r="AJ3" s="2"/>
      <c r="AK3" s="39">
        <f>SUMIF(E3:E3, "&gt;=70") / 4 +SUMIF(G3:G3, "&gt;=70") / 4 +SUMIF(I3:I3, "&gt;=70") / 4 +SUMIF(K3:K3, "&gt;=70") / 4 + SUMIF(F3:F3, "&gt;1") / 4 + SUMIF(H3:H3, "&gt;1") / 4 + SUMIF(J3:J3, "&gt;1") / 4 + SUMIF(L3:L3, "&gt;1") / 4</f>
        <v>74</v>
      </c>
      <c r="AL3" s="40">
        <f>SUMIF(M3:M3, "&gt;=70") / 4 +SUMIF(O3:O3, "&gt;=70") / 4 +SUMIF(Q3:Q3, "&gt;=70") / 4 +SUMIF(S3:S3, "&gt;=70") / 4 + SUMIF(N3:N3, "&gt;1") / 4 + SUMIF(P3:P3, "&gt;1") / 4 + SUMIF(R3:R3, "&gt;1") / 4 + SUMIF(T3:T3, "&gt;1") / 4</f>
        <v>74.75</v>
      </c>
      <c r="AM3" s="41">
        <f>SUMIF(U3:U3, "&gt;=70") / 4 +SUMIF(W3:W3, "&gt;=70") / 4 +SUMIF(Y3:Y3, "&gt;=70") / 4 +SUMIF(AA3:AA3, "&gt;=70") / 4 + SUMIF(V3:V3, "&gt;1") / 4 + SUMIF(X3:X3, "&gt;1") / 4 + SUMIF(Z3:Z3, "&gt;1") / 4 + SUMIF(AB3:AB3, "&gt;1") / 4</f>
        <v>77.25</v>
      </c>
      <c r="AN3" s="42">
        <f>SUMIF(AC3:AC3, "&gt;=70") / 4 +SUMIF(AE3:AE3, "&gt;=70") / 4 +SUMIF(AG3:AG3, "&gt;=70") / 4 +SUMIF(AI3:AI3, "&gt;=70") / 4 + SUMIF(AD3:AD3, "&gt;1") / 4 + SUMIF(AF3:AF3, "&gt;1") / 4 + SUMIF(AH3:AH3, "&gt;1") / 4 + SUMIF(AJ3:AJ3, "&gt;1") / 4</f>
        <v>76.5</v>
      </c>
      <c r="AO3" s="43">
        <f>AVERAGE(AK3:AN3)</f>
        <v>75.625</v>
      </c>
      <c r="AP3" s="34"/>
      <c r="AR3" s="54" t="str">
        <f>IF(AO3&lt;70, AO3*0.5, "")</f>
        <v/>
      </c>
      <c r="AS3" s="35"/>
      <c r="AT3" s="56">
        <f>AS3*50%</f>
        <v>0</v>
      </c>
      <c r="AU3" s="57" t="str">
        <f>IF(AS3&lt;&gt;"", IF(AR3="","",AR3+AT3), "")</f>
        <v/>
      </c>
      <c r="AV3" s="54" t="str">
        <f>IF(AU3 &lt; 70, AR3*30%, "")</f>
        <v/>
      </c>
      <c r="AW3" s="36"/>
      <c r="AX3" s="56">
        <f>AW3*70%</f>
        <v>0</v>
      </c>
      <c r="AY3" s="60" t="str">
        <f>IF(AW3&lt;&gt;"", IF(AV3="", "", AV3+AX3), "")</f>
        <v/>
      </c>
      <c r="AZ3" s="54" t="str">
        <f>IF(AND(AU3&lt;70, AY3&lt;70), AO3, "")</f>
        <v/>
      </c>
      <c r="BA3" s="21"/>
      <c r="BB3" s="62">
        <f>IF(AW3&lt;&gt;"", IF(AY3&gt;=70, AY3, IF(AZ3+BA3&gt;=70, AZ3+BA3, "")),
   IF(AS3&lt;&gt;"", IF(AU3&gt;=70, AU3, ""),
   IF(AO3&gt;=70, AO3, "")))</f>
        <v>75.625</v>
      </c>
      <c r="BC3" s="63" t="str">
        <f>IF(AW3&lt;&gt;"", IF(AY3&lt;70, IF(AZ3+BA3&lt;70, AZ3+BA3, ""), ""), IF(AS3&lt;&gt;"", IF(AU3&lt;70, AU3, ""), IF(AO3&lt;70, AO3, "")))</f>
        <v/>
      </c>
      <c r="BE3" s="20">
        <f t="shared" ref="BE3:BE4" si="0">SUM(E3+M3+U3+AC3)/4</f>
        <v>75.5</v>
      </c>
      <c r="BF3" s="20">
        <f t="shared" ref="BF3:BF4" si="1">SUM(G3+O3+W3+AE3)/4</f>
        <v>75.5</v>
      </c>
      <c r="BG3" s="89">
        <f t="shared" ref="BG3:BG4" si="2">SUM(I3+Q3+Y3+AG3)/4</f>
        <v>75.75</v>
      </c>
      <c r="BH3" s="20">
        <f t="shared" ref="BH3:BH4" si="3">SUM(K3+S3+AA3+AI3)/4</f>
        <v>75.75</v>
      </c>
      <c r="BI3" s="20">
        <f>AVERAGE(BE3:BH3)</f>
        <v>75.625</v>
      </c>
    </row>
    <row r="4" spans="1:61" x14ac:dyDescent="0.2">
      <c r="A4" s="29">
        <v>2</v>
      </c>
      <c r="B4" s="88" t="s">
        <v>113</v>
      </c>
      <c r="C4" s="70" t="s">
        <v>35</v>
      </c>
      <c r="D4" s="70" t="s">
        <v>34</v>
      </c>
      <c r="E4" s="19">
        <v>95</v>
      </c>
      <c r="F4" s="20"/>
      <c r="G4" s="20">
        <v>89</v>
      </c>
      <c r="H4" s="20"/>
      <c r="I4" s="20">
        <v>90</v>
      </c>
      <c r="J4" s="20"/>
      <c r="K4" s="20">
        <v>90</v>
      </c>
      <c r="L4" s="21"/>
      <c r="M4" s="19">
        <v>90</v>
      </c>
      <c r="N4" s="20"/>
      <c r="O4" s="20">
        <v>87</v>
      </c>
      <c r="P4" s="20"/>
      <c r="Q4" s="20">
        <v>90</v>
      </c>
      <c r="R4" s="20"/>
      <c r="S4" s="20">
        <v>90</v>
      </c>
      <c r="T4" s="21"/>
      <c r="U4" s="19">
        <v>95</v>
      </c>
      <c r="V4" s="20"/>
      <c r="W4" s="20">
        <v>90</v>
      </c>
      <c r="X4" s="20"/>
      <c r="Y4" s="20">
        <v>90</v>
      </c>
      <c r="Z4" s="20"/>
      <c r="AA4" s="20">
        <v>90</v>
      </c>
      <c r="AB4" s="21"/>
      <c r="AC4" s="19">
        <v>89</v>
      </c>
      <c r="AD4" s="20"/>
      <c r="AE4" s="20">
        <v>88</v>
      </c>
      <c r="AF4" s="20"/>
      <c r="AG4" s="20">
        <v>90</v>
      </c>
      <c r="AH4" s="20"/>
      <c r="AI4" s="20">
        <v>100</v>
      </c>
      <c r="AJ4" s="3"/>
      <c r="AK4" s="44">
        <f t="shared" ref="AK4:AK47" si="4">SUMIF(E4:E4, "&gt;=70") / 4 +SUMIF(G4:G4, "&gt;=70") / 4 +SUMIF(I4:I4, "&gt;=70") / 4 +SUMIF(K4:K4, "&gt;=70") / 4 + SUMIF(F4:F4, "&gt;1") / 4 + SUMIF(H4:H4, "&gt;1") / 4 + SUMIF(J4:J4, "&gt;1") / 4 + SUMIF(L4:L4, "&gt;1") / 4</f>
        <v>91</v>
      </c>
      <c r="AL4" s="45">
        <f t="shared" ref="AL4:AL47" si="5">SUMIF(M4:M4, "&gt;=70") / 4 +SUMIF(O4:O4, "&gt;=70") / 4 +SUMIF(Q4:Q4, "&gt;=70") / 4 +SUMIF(S4:S4, "&gt;=70") / 4 + SUMIF(N4:N4, "&gt;1") / 4 + SUMIF(P4:P4, "&gt;1") / 4 + SUMIF(R4:R4, "&gt;1") / 4 + SUMIF(T4:T4, "&gt;1") / 4</f>
        <v>89.25</v>
      </c>
      <c r="AM4" s="46">
        <f t="shared" ref="AM4:AM47" si="6">SUMIF(U4:U4, "&gt;=70") / 4 +SUMIF(W4:W4, "&gt;=70") / 4 +SUMIF(Y4:Y4, "&gt;=70") / 4 +SUMIF(AA4:AA4, "&gt;=70") / 4 + SUMIF(V4:V4, "&gt;1") / 4 + SUMIF(X4:X4, "&gt;1") / 4 + SUMIF(Z4:Z4, "&gt;1") / 4 + SUMIF(AB4:AB4, "&gt;1") / 4</f>
        <v>91.25</v>
      </c>
      <c r="AN4" s="47">
        <f t="shared" ref="AN4:AN47" si="7">SUMIF(AC4:AC4, "&gt;=65") / 4 +SUMIF(AE4:AE4, "&gt;=65") / 4 +SUMIF(AG4:AG4, "&gt;=65") / 4 +SUMIF(AI4:AI4, "&gt;=65") / 4 + SUMIF(AD4:AD4, "&gt;1") / 4 + SUMIF(AF4:AF4, "&gt;1") / 4 + SUMIF(AH4:AH4, "&gt;1") / 4 + SUMIF(AJ4:AJ4, "&gt;1") / 4</f>
        <v>91.75</v>
      </c>
      <c r="AO4" s="48">
        <f t="shared" ref="AO4:AO47" si="8">AVERAGE(AK4:AN4)</f>
        <v>90.8125</v>
      </c>
      <c r="AP4" s="37"/>
      <c r="AR4" s="54" t="str">
        <f t="shared" ref="AR4:AR47" si="9">IF(AO4&lt;70, AO4*0.5, "")</f>
        <v/>
      </c>
      <c r="AS4" s="35"/>
      <c r="AT4" s="56">
        <f t="shared" ref="AT4:AT47" si="10">AS4*50%</f>
        <v>0</v>
      </c>
      <c r="AU4" s="57" t="str">
        <f t="shared" ref="AU4:AU47" si="11">IF(AS4&lt;&gt;"", IF(AR4="","",AR4+AT4), "")</f>
        <v/>
      </c>
      <c r="AV4" s="54" t="str">
        <f t="shared" ref="AV4:AV47" si="12">IF(AU4 &lt; 70, AR4*30%, "")</f>
        <v/>
      </c>
      <c r="AW4" s="36"/>
      <c r="AX4" s="56">
        <f t="shared" ref="AX4:AX47" si="13">AW4*70%</f>
        <v>0</v>
      </c>
      <c r="AY4" s="60" t="str">
        <f t="shared" ref="AY4:AY47" si="14">IF(AW4&lt;&gt;"", IF(AV4="", "", AV4+AX4), "")</f>
        <v/>
      </c>
      <c r="AZ4" s="54" t="str">
        <f t="shared" ref="AZ4:AZ47" si="15">IF(AND(AU4&lt;70, AY4&lt;70), AO4, "")</f>
        <v/>
      </c>
      <c r="BA4" s="21"/>
      <c r="BB4" s="62">
        <f t="shared" ref="BB4:BB47" si="16">IF(AW4&lt;&gt;"", IF(AY4&gt;=70, AY4, IF(AZ4+BA4&gt;=70, AZ4+BA4, "")),
   IF(AS4&lt;&gt;"", IF(AU4&gt;=70, AU4, ""),
   IF(AO4&gt;=70, AO4, "")))</f>
        <v>90.8125</v>
      </c>
      <c r="BC4" s="64" t="str">
        <f t="shared" ref="BC4:BC47" si="17">IF(AW4&lt;&gt;"", IF(AY4&lt;70, IF(AZ4+BA4&lt;70, AZ4+BA4, ""), ""), IF(AS4&lt;&gt;"", IF(AU4&lt;70, AU4, ""), IF(AO4&lt;70, AO4, "")))</f>
        <v/>
      </c>
      <c r="BE4" s="20">
        <f t="shared" si="0"/>
        <v>92.25</v>
      </c>
      <c r="BF4" s="20">
        <f t="shared" si="1"/>
        <v>88.5</v>
      </c>
      <c r="BG4" s="89">
        <f t="shared" si="2"/>
        <v>90</v>
      </c>
      <c r="BH4" s="20">
        <f t="shared" si="3"/>
        <v>92.5</v>
      </c>
      <c r="BI4" s="20">
        <f>AVERAGE(BE4:BH4)</f>
        <v>90.8125</v>
      </c>
    </row>
    <row r="5" spans="1:61" x14ac:dyDescent="0.2">
      <c r="A5" s="29">
        <v>3</v>
      </c>
      <c r="B5" s="88" t="s">
        <v>114</v>
      </c>
      <c r="C5" s="69" t="s">
        <v>36</v>
      </c>
      <c r="D5" s="69" t="s">
        <v>37</v>
      </c>
      <c r="E5" s="19">
        <v>85</v>
      </c>
      <c r="F5" s="20"/>
      <c r="G5" s="20">
        <v>75</v>
      </c>
      <c r="H5" s="20"/>
      <c r="I5" s="20">
        <v>76</v>
      </c>
      <c r="J5" s="20"/>
      <c r="K5" s="20">
        <v>75</v>
      </c>
      <c r="L5" s="21"/>
      <c r="M5" s="19">
        <v>86</v>
      </c>
      <c r="N5" s="20"/>
      <c r="O5" s="20">
        <v>74</v>
      </c>
      <c r="P5" s="20"/>
      <c r="Q5" s="20">
        <v>75</v>
      </c>
      <c r="R5" s="20"/>
      <c r="S5" s="20">
        <v>76</v>
      </c>
      <c r="T5" s="21"/>
      <c r="U5" s="19">
        <v>86</v>
      </c>
      <c r="V5" s="20"/>
      <c r="W5" s="20">
        <v>75</v>
      </c>
      <c r="X5" s="20"/>
      <c r="Y5" s="20">
        <v>75</v>
      </c>
      <c r="Z5" s="20"/>
      <c r="AA5" s="20">
        <v>76</v>
      </c>
      <c r="AB5" s="21"/>
      <c r="AC5" s="19">
        <v>90</v>
      </c>
      <c r="AD5" s="20"/>
      <c r="AE5" s="20">
        <v>79</v>
      </c>
      <c r="AF5" s="20"/>
      <c r="AG5" s="20">
        <v>78</v>
      </c>
      <c r="AH5" s="20"/>
      <c r="AI5" s="20">
        <v>77</v>
      </c>
      <c r="AJ5" s="3"/>
      <c r="AK5" s="44">
        <f t="shared" si="4"/>
        <v>77.75</v>
      </c>
      <c r="AL5" s="45">
        <f t="shared" si="5"/>
        <v>77.75</v>
      </c>
      <c r="AM5" s="46">
        <f t="shared" si="6"/>
        <v>78</v>
      </c>
      <c r="AN5" s="47">
        <f t="shared" si="7"/>
        <v>81</v>
      </c>
      <c r="AO5" s="48">
        <f t="shared" si="8"/>
        <v>78.625</v>
      </c>
      <c r="AP5" s="37"/>
      <c r="AR5" s="54" t="str">
        <f t="shared" si="9"/>
        <v/>
      </c>
      <c r="AS5" s="35"/>
      <c r="AT5" s="56">
        <f t="shared" si="10"/>
        <v>0</v>
      </c>
      <c r="AU5" s="57" t="str">
        <f t="shared" si="11"/>
        <v/>
      </c>
      <c r="AV5" s="54" t="str">
        <f t="shared" si="12"/>
        <v/>
      </c>
      <c r="AW5" s="36"/>
      <c r="AX5" s="56">
        <f t="shared" si="13"/>
        <v>0</v>
      </c>
      <c r="AY5" s="60" t="str">
        <f t="shared" si="14"/>
        <v/>
      </c>
      <c r="AZ5" s="54" t="str">
        <f t="shared" si="15"/>
        <v/>
      </c>
      <c r="BA5" s="21"/>
      <c r="BB5" s="62">
        <f t="shared" si="16"/>
        <v>78.625</v>
      </c>
      <c r="BC5" s="64" t="str">
        <f t="shared" si="17"/>
        <v/>
      </c>
      <c r="BE5" s="20">
        <f>SUM(E5+M5+U5+AC5)/4</f>
        <v>86.75</v>
      </c>
      <c r="BF5" s="20">
        <f>SUM(G5+O5+W5+AE5)/4</f>
        <v>75.75</v>
      </c>
      <c r="BG5" s="89">
        <f>SUM(I5+Q5+Y5+AG5)/4</f>
        <v>76</v>
      </c>
      <c r="BH5" s="20">
        <f>SUM(K5+S5+AA5+AI5)/4</f>
        <v>76</v>
      </c>
      <c r="BI5" s="20">
        <f>AVERAGE(BE5:BH5)</f>
        <v>78.625</v>
      </c>
    </row>
    <row r="6" spans="1:61" x14ac:dyDescent="0.2">
      <c r="A6" s="29">
        <v>4</v>
      </c>
      <c r="B6" s="88" t="s">
        <v>115</v>
      </c>
      <c r="C6" s="70" t="s">
        <v>38</v>
      </c>
      <c r="D6" s="70" t="s">
        <v>39</v>
      </c>
      <c r="E6" s="19">
        <v>90</v>
      </c>
      <c r="F6" s="20"/>
      <c r="G6" s="20">
        <v>89</v>
      </c>
      <c r="H6" s="20"/>
      <c r="I6" s="20">
        <v>88</v>
      </c>
      <c r="J6" s="20"/>
      <c r="K6" s="20">
        <v>76</v>
      </c>
      <c r="L6" s="21"/>
      <c r="M6" s="19">
        <v>89</v>
      </c>
      <c r="N6" s="20"/>
      <c r="O6" s="20">
        <v>90</v>
      </c>
      <c r="P6" s="20"/>
      <c r="Q6" s="20">
        <v>89</v>
      </c>
      <c r="R6" s="20"/>
      <c r="S6" s="20">
        <v>79</v>
      </c>
      <c r="T6" s="21"/>
      <c r="U6" s="19">
        <v>89</v>
      </c>
      <c r="V6" s="20"/>
      <c r="W6" s="20">
        <v>88</v>
      </c>
      <c r="X6" s="20"/>
      <c r="Y6" s="20">
        <v>90</v>
      </c>
      <c r="Z6" s="20"/>
      <c r="AA6" s="20">
        <v>80</v>
      </c>
      <c r="AB6" s="21"/>
      <c r="AC6" s="19">
        <v>88</v>
      </c>
      <c r="AD6" s="20"/>
      <c r="AE6" s="20">
        <v>90</v>
      </c>
      <c r="AF6" s="20"/>
      <c r="AG6" s="20">
        <v>90</v>
      </c>
      <c r="AH6" s="20"/>
      <c r="AI6" s="20">
        <v>85</v>
      </c>
      <c r="AJ6" s="3"/>
      <c r="AK6" s="44">
        <f t="shared" si="4"/>
        <v>85.75</v>
      </c>
      <c r="AL6" s="45">
        <f t="shared" si="5"/>
        <v>86.75</v>
      </c>
      <c r="AM6" s="46">
        <f t="shared" si="6"/>
        <v>86.75</v>
      </c>
      <c r="AN6" s="47">
        <f t="shared" si="7"/>
        <v>88.25</v>
      </c>
      <c r="AO6" s="48">
        <f t="shared" si="8"/>
        <v>86.875</v>
      </c>
      <c r="AP6" s="37"/>
      <c r="AR6" s="54" t="str">
        <f t="shared" si="9"/>
        <v/>
      </c>
      <c r="AS6" s="35"/>
      <c r="AT6" s="56">
        <f t="shared" si="10"/>
        <v>0</v>
      </c>
      <c r="AU6" s="57" t="str">
        <f t="shared" si="11"/>
        <v/>
      </c>
      <c r="AV6" s="54" t="str">
        <f t="shared" si="12"/>
        <v/>
      </c>
      <c r="AW6" s="35"/>
      <c r="AX6" s="56">
        <f t="shared" si="13"/>
        <v>0</v>
      </c>
      <c r="AY6" s="60" t="str">
        <f t="shared" si="14"/>
        <v/>
      </c>
      <c r="AZ6" s="54" t="str">
        <f t="shared" si="15"/>
        <v/>
      </c>
      <c r="BA6" s="21"/>
      <c r="BB6" s="62">
        <f t="shared" si="16"/>
        <v>86.875</v>
      </c>
      <c r="BC6" s="64" t="str">
        <f t="shared" si="17"/>
        <v/>
      </c>
      <c r="BE6" s="20">
        <f t="shared" ref="BE6:BE47" si="18">SUM(E6+M6+U6+AC6)/4</f>
        <v>89</v>
      </c>
      <c r="BF6" s="20">
        <f t="shared" ref="BF6:BF47" si="19">SUM(G6+O6+W6+AE6)/4</f>
        <v>89.25</v>
      </c>
      <c r="BG6" s="89">
        <f t="shared" ref="BG6:BG47" si="20">SUM(I6+Q6+Y6+AG6)/4</f>
        <v>89.25</v>
      </c>
      <c r="BH6" s="20">
        <f t="shared" ref="BH6:BH47" si="21">SUM(K6+S6+AA6+AI6)/4</f>
        <v>80</v>
      </c>
      <c r="BI6" s="20">
        <f t="shared" ref="BI6:BI47" si="22">AVERAGE(BE6:BH6)</f>
        <v>86.875</v>
      </c>
    </row>
    <row r="7" spans="1:61" x14ac:dyDescent="0.2">
      <c r="A7" s="29">
        <v>5</v>
      </c>
      <c r="B7" s="88" t="s">
        <v>116</v>
      </c>
      <c r="C7" s="71" t="s">
        <v>32</v>
      </c>
      <c r="D7" s="72" t="s">
        <v>40</v>
      </c>
      <c r="E7" s="19">
        <v>96</v>
      </c>
      <c r="F7" s="20"/>
      <c r="G7" s="20">
        <v>97</v>
      </c>
      <c r="H7" s="20"/>
      <c r="I7" s="20">
        <v>98</v>
      </c>
      <c r="J7" s="20"/>
      <c r="K7" s="20">
        <v>99</v>
      </c>
      <c r="L7" s="21"/>
      <c r="M7" s="19">
        <v>99</v>
      </c>
      <c r="N7" s="20"/>
      <c r="O7" s="20">
        <v>98</v>
      </c>
      <c r="P7" s="20"/>
      <c r="Q7" s="20">
        <v>99</v>
      </c>
      <c r="R7" s="20"/>
      <c r="S7" s="20">
        <v>98</v>
      </c>
      <c r="T7" s="21"/>
      <c r="U7" s="19">
        <v>98</v>
      </c>
      <c r="V7" s="20"/>
      <c r="W7" s="20">
        <v>99</v>
      </c>
      <c r="X7" s="20"/>
      <c r="Y7" s="20">
        <v>100</v>
      </c>
      <c r="Z7" s="20"/>
      <c r="AA7" s="20">
        <v>99</v>
      </c>
      <c r="AB7" s="21"/>
      <c r="AC7" s="19">
        <v>99</v>
      </c>
      <c r="AD7" s="20"/>
      <c r="AE7" s="20">
        <v>99</v>
      </c>
      <c r="AF7" s="20"/>
      <c r="AG7" s="20">
        <v>100</v>
      </c>
      <c r="AH7" s="20"/>
      <c r="AI7" s="20">
        <v>98</v>
      </c>
      <c r="AJ7" s="3"/>
      <c r="AK7" s="44">
        <f t="shared" si="4"/>
        <v>97.5</v>
      </c>
      <c r="AL7" s="45">
        <f t="shared" si="5"/>
        <v>98.5</v>
      </c>
      <c r="AM7" s="46">
        <f t="shared" si="6"/>
        <v>99</v>
      </c>
      <c r="AN7" s="47">
        <f t="shared" si="7"/>
        <v>99</v>
      </c>
      <c r="AO7" s="48">
        <f t="shared" si="8"/>
        <v>98.5</v>
      </c>
      <c r="AP7" s="37"/>
      <c r="AR7" s="54" t="str">
        <f t="shared" si="9"/>
        <v/>
      </c>
      <c r="AS7" s="35"/>
      <c r="AT7" s="56">
        <f t="shared" si="10"/>
        <v>0</v>
      </c>
      <c r="AU7" s="57" t="str">
        <f t="shared" si="11"/>
        <v/>
      </c>
      <c r="AV7" s="54" t="str">
        <f t="shared" si="12"/>
        <v/>
      </c>
      <c r="AW7" s="35"/>
      <c r="AX7" s="56">
        <f t="shared" si="13"/>
        <v>0</v>
      </c>
      <c r="AY7" s="60" t="str">
        <f t="shared" si="14"/>
        <v/>
      </c>
      <c r="AZ7" s="54" t="str">
        <f t="shared" si="15"/>
        <v/>
      </c>
      <c r="BA7" s="21"/>
      <c r="BB7" s="62">
        <f t="shared" si="16"/>
        <v>98.5</v>
      </c>
      <c r="BC7" s="64" t="str">
        <f t="shared" si="17"/>
        <v/>
      </c>
      <c r="BE7" s="20">
        <f t="shared" si="18"/>
        <v>98</v>
      </c>
      <c r="BF7" s="20">
        <f t="shared" si="19"/>
        <v>98.25</v>
      </c>
      <c r="BG7" s="89">
        <f t="shared" si="20"/>
        <v>99.25</v>
      </c>
      <c r="BH7" s="20">
        <f t="shared" si="21"/>
        <v>98.5</v>
      </c>
      <c r="BI7" s="20">
        <f t="shared" si="22"/>
        <v>98.5</v>
      </c>
    </row>
    <row r="8" spans="1:61" x14ac:dyDescent="0.2">
      <c r="A8" s="29">
        <v>6</v>
      </c>
      <c r="B8" s="88" t="s">
        <v>117</v>
      </c>
      <c r="C8" s="70" t="s">
        <v>41</v>
      </c>
      <c r="D8" s="70" t="s">
        <v>42</v>
      </c>
      <c r="E8" s="19">
        <v>80</v>
      </c>
      <c r="F8" s="20"/>
      <c r="G8" s="20">
        <v>78</v>
      </c>
      <c r="H8" s="20"/>
      <c r="I8" s="20">
        <v>83</v>
      </c>
      <c r="J8" s="20"/>
      <c r="K8" s="20">
        <v>84</v>
      </c>
      <c r="L8" s="21"/>
      <c r="M8" s="19">
        <v>84</v>
      </c>
      <c r="N8" s="20"/>
      <c r="O8" s="20">
        <v>79</v>
      </c>
      <c r="P8" s="20"/>
      <c r="Q8" s="20">
        <v>76</v>
      </c>
      <c r="R8" s="20"/>
      <c r="S8" s="20">
        <v>85</v>
      </c>
      <c r="T8" s="21"/>
      <c r="U8" s="19">
        <v>76</v>
      </c>
      <c r="V8" s="20"/>
      <c r="W8" s="20">
        <v>80</v>
      </c>
      <c r="X8" s="20"/>
      <c r="Y8" s="20">
        <v>79</v>
      </c>
      <c r="Z8" s="20"/>
      <c r="AA8" s="20">
        <v>86</v>
      </c>
      <c r="AB8" s="21"/>
      <c r="AC8" s="19">
        <v>75</v>
      </c>
      <c r="AD8" s="20"/>
      <c r="AE8" s="20">
        <v>76</v>
      </c>
      <c r="AF8" s="20"/>
      <c r="AG8" s="20">
        <v>85</v>
      </c>
      <c r="AH8" s="20"/>
      <c r="AI8" s="20">
        <v>88</v>
      </c>
      <c r="AJ8" s="3"/>
      <c r="AK8" s="44">
        <f t="shared" si="4"/>
        <v>81.25</v>
      </c>
      <c r="AL8" s="45">
        <f t="shared" si="5"/>
        <v>81</v>
      </c>
      <c r="AM8" s="46">
        <f t="shared" si="6"/>
        <v>80.25</v>
      </c>
      <c r="AN8" s="47">
        <f t="shared" si="7"/>
        <v>81</v>
      </c>
      <c r="AO8" s="48">
        <f t="shared" si="8"/>
        <v>80.875</v>
      </c>
      <c r="AP8" s="37"/>
      <c r="AR8" s="54" t="str">
        <f t="shared" si="9"/>
        <v/>
      </c>
      <c r="AS8" s="35"/>
      <c r="AT8" s="56">
        <f t="shared" si="10"/>
        <v>0</v>
      </c>
      <c r="AU8" s="57" t="str">
        <f t="shared" si="11"/>
        <v/>
      </c>
      <c r="AV8" s="54" t="str">
        <f t="shared" si="12"/>
        <v/>
      </c>
      <c r="AW8" s="35"/>
      <c r="AX8" s="56">
        <f t="shared" si="13"/>
        <v>0</v>
      </c>
      <c r="AY8" s="60" t="str">
        <f t="shared" si="14"/>
        <v/>
      </c>
      <c r="AZ8" s="54" t="str">
        <f t="shared" si="15"/>
        <v/>
      </c>
      <c r="BA8" s="21"/>
      <c r="BB8" s="62">
        <f t="shared" si="16"/>
        <v>80.875</v>
      </c>
      <c r="BC8" s="64" t="str">
        <f t="shared" si="17"/>
        <v/>
      </c>
      <c r="BE8" s="20">
        <f t="shared" si="18"/>
        <v>78.75</v>
      </c>
      <c r="BF8" s="20">
        <f t="shared" si="19"/>
        <v>78.25</v>
      </c>
      <c r="BG8" s="89">
        <f t="shared" si="20"/>
        <v>80.75</v>
      </c>
      <c r="BH8" s="20">
        <f t="shared" si="21"/>
        <v>85.75</v>
      </c>
      <c r="BI8" s="20">
        <f t="shared" si="22"/>
        <v>80.875</v>
      </c>
    </row>
    <row r="9" spans="1:61" x14ac:dyDescent="0.2">
      <c r="A9" s="29">
        <v>7</v>
      </c>
      <c r="B9" s="88" t="s">
        <v>118</v>
      </c>
      <c r="C9" s="69" t="s">
        <v>43</v>
      </c>
      <c r="D9" s="69" t="s">
        <v>44</v>
      </c>
      <c r="E9" s="19">
        <v>80</v>
      </c>
      <c r="F9" s="20"/>
      <c r="G9" s="20">
        <v>85</v>
      </c>
      <c r="H9" s="20"/>
      <c r="I9" s="20">
        <v>89</v>
      </c>
      <c r="J9" s="20"/>
      <c r="K9" s="20">
        <v>90</v>
      </c>
      <c r="L9" s="21"/>
      <c r="M9" s="19">
        <v>80</v>
      </c>
      <c r="N9" s="20"/>
      <c r="O9" s="20">
        <v>90</v>
      </c>
      <c r="P9" s="20"/>
      <c r="Q9" s="20">
        <v>89</v>
      </c>
      <c r="R9" s="20"/>
      <c r="S9" s="20">
        <v>91</v>
      </c>
      <c r="T9" s="21"/>
      <c r="U9" s="19">
        <v>85</v>
      </c>
      <c r="V9" s="20"/>
      <c r="W9" s="20">
        <v>87</v>
      </c>
      <c r="X9" s="20"/>
      <c r="Y9" s="20">
        <v>89</v>
      </c>
      <c r="Z9" s="20"/>
      <c r="AA9" s="20">
        <v>94</v>
      </c>
      <c r="AB9" s="21"/>
      <c r="AC9" s="19">
        <v>84</v>
      </c>
      <c r="AD9" s="20"/>
      <c r="AE9" s="20">
        <v>88</v>
      </c>
      <c r="AF9" s="20"/>
      <c r="AG9" s="20">
        <v>90</v>
      </c>
      <c r="AH9" s="20"/>
      <c r="AI9" s="20">
        <v>90</v>
      </c>
      <c r="AJ9" s="3"/>
      <c r="AK9" s="44">
        <f t="shared" si="4"/>
        <v>86</v>
      </c>
      <c r="AL9" s="45">
        <f t="shared" si="5"/>
        <v>87.5</v>
      </c>
      <c r="AM9" s="46">
        <f t="shared" si="6"/>
        <v>88.75</v>
      </c>
      <c r="AN9" s="47">
        <f t="shared" si="7"/>
        <v>88</v>
      </c>
      <c r="AO9" s="48">
        <f t="shared" si="8"/>
        <v>87.5625</v>
      </c>
      <c r="AP9" s="37"/>
      <c r="AR9" s="54" t="str">
        <f t="shared" si="9"/>
        <v/>
      </c>
      <c r="AS9" s="35"/>
      <c r="AT9" s="56">
        <f t="shared" si="10"/>
        <v>0</v>
      </c>
      <c r="AU9" s="57" t="str">
        <f t="shared" si="11"/>
        <v/>
      </c>
      <c r="AV9" s="54" t="str">
        <f t="shared" si="12"/>
        <v/>
      </c>
      <c r="AW9" s="35"/>
      <c r="AX9" s="56">
        <f t="shared" si="13"/>
        <v>0</v>
      </c>
      <c r="AY9" s="60" t="str">
        <f t="shared" si="14"/>
        <v/>
      </c>
      <c r="AZ9" s="54" t="str">
        <f t="shared" si="15"/>
        <v/>
      </c>
      <c r="BA9" s="21"/>
      <c r="BB9" s="62">
        <f t="shared" si="16"/>
        <v>87.5625</v>
      </c>
      <c r="BC9" s="64" t="str">
        <f t="shared" si="17"/>
        <v/>
      </c>
      <c r="BE9" s="20">
        <f t="shared" si="18"/>
        <v>82.25</v>
      </c>
      <c r="BF9" s="20">
        <f t="shared" si="19"/>
        <v>87.5</v>
      </c>
      <c r="BG9" s="89">
        <f t="shared" si="20"/>
        <v>89.25</v>
      </c>
      <c r="BH9" s="20">
        <f t="shared" si="21"/>
        <v>91.25</v>
      </c>
      <c r="BI9" s="20">
        <f t="shared" si="22"/>
        <v>87.5625</v>
      </c>
    </row>
    <row r="10" spans="1:61" x14ac:dyDescent="0.2">
      <c r="A10" s="29">
        <v>8</v>
      </c>
      <c r="B10" s="88" t="s">
        <v>119</v>
      </c>
      <c r="C10" s="70" t="s">
        <v>45</v>
      </c>
      <c r="D10" s="70" t="s">
        <v>46</v>
      </c>
      <c r="E10" s="19">
        <v>75</v>
      </c>
      <c r="F10" s="20"/>
      <c r="G10" s="20">
        <v>73</v>
      </c>
      <c r="H10" s="20"/>
      <c r="I10" s="20">
        <v>74</v>
      </c>
      <c r="J10" s="20"/>
      <c r="K10" s="20">
        <v>74</v>
      </c>
      <c r="L10" s="21"/>
      <c r="M10" s="19">
        <v>75</v>
      </c>
      <c r="N10" s="20"/>
      <c r="O10" s="20">
        <v>76</v>
      </c>
      <c r="P10" s="20"/>
      <c r="Q10" s="20">
        <v>74</v>
      </c>
      <c r="R10" s="20"/>
      <c r="S10" s="20">
        <v>74</v>
      </c>
      <c r="T10" s="21"/>
      <c r="U10" s="19">
        <v>76</v>
      </c>
      <c r="V10" s="20"/>
      <c r="W10" s="20">
        <v>78</v>
      </c>
      <c r="X10" s="20"/>
      <c r="Y10" s="20">
        <v>79</v>
      </c>
      <c r="Z10" s="20"/>
      <c r="AA10" s="20">
        <v>76</v>
      </c>
      <c r="AB10" s="21"/>
      <c r="AC10" s="19">
        <v>76</v>
      </c>
      <c r="AD10" s="20"/>
      <c r="AE10" s="20">
        <v>75</v>
      </c>
      <c r="AF10" s="20"/>
      <c r="AG10" s="20">
        <v>76</v>
      </c>
      <c r="AH10" s="20"/>
      <c r="AI10" s="20">
        <v>79</v>
      </c>
      <c r="AJ10" s="3"/>
      <c r="AK10" s="44">
        <f t="shared" si="4"/>
        <v>74</v>
      </c>
      <c r="AL10" s="45">
        <f t="shared" si="5"/>
        <v>74.75</v>
      </c>
      <c r="AM10" s="46">
        <f t="shared" si="6"/>
        <v>77.25</v>
      </c>
      <c r="AN10" s="47">
        <f t="shared" si="7"/>
        <v>76.5</v>
      </c>
      <c r="AO10" s="48">
        <f t="shared" si="8"/>
        <v>75.625</v>
      </c>
      <c r="AP10" s="37"/>
      <c r="AR10" s="54" t="str">
        <f t="shared" si="9"/>
        <v/>
      </c>
      <c r="AS10" s="35"/>
      <c r="AT10" s="56">
        <f t="shared" si="10"/>
        <v>0</v>
      </c>
      <c r="AU10" s="57" t="str">
        <f t="shared" si="11"/>
        <v/>
      </c>
      <c r="AV10" s="54" t="str">
        <f t="shared" si="12"/>
        <v/>
      </c>
      <c r="AW10" s="35"/>
      <c r="AX10" s="56">
        <f t="shared" si="13"/>
        <v>0</v>
      </c>
      <c r="AY10" s="60" t="str">
        <f t="shared" si="14"/>
        <v/>
      </c>
      <c r="AZ10" s="54" t="str">
        <f t="shared" si="15"/>
        <v/>
      </c>
      <c r="BA10" s="21"/>
      <c r="BB10" s="62">
        <f t="shared" si="16"/>
        <v>75.625</v>
      </c>
      <c r="BC10" s="64" t="str">
        <f t="shared" si="17"/>
        <v/>
      </c>
      <c r="BE10" s="20">
        <f t="shared" si="18"/>
        <v>75.5</v>
      </c>
      <c r="BF10" s="20">
        <f t="shared" si="19"/>
        <v>75.5</v>
      </c>
      <c r="BG10" s="89">
        <f t="shared" si="20"/>
        <v>75.75</v>
      </c>
      <c r="BH10" s="20">
        <f t="shared" si="21"/>
        <v>75.75</v>
      </c>
      <c r="BI10" s="20">
        <f t="shared" si="22"/>
        <v>75.625</v>
      </c>
    </row>
    <row r="11" spans="1:61" x14ac:dyDescent="0.2">
      <c r="A11" s="29">
        <v>9</v>
      </c>
      <c r="B11" s="88" t="s">
        <v>120</v>
      </c>
      <c r="C11" s="69" t="s">
        <v>47</v>
      </c>
      <c r="D11" s="69" t="s">
        <v>48</v>
      </c>
      <c r="E11" s="19">
        <v>75</v>
      </c>
      <c r="F11" s="20"/>
      <c r="G11" s="20">
        <v>76</v>
      </c>
      <c r="H11" s="20"/>
      <c r="I11" s="20">
        <v>80</v>
      </c>
      <c r="J11" s="20"/>
      <c r="K11" s="20">
        <v>84</v>
      </c>
      <c r="L11" s="21"/>
      <c r="M11" s="19">
        <v>76</v>
      </c>
      <c r="N11" s="20"/>
      <c r="O11" s="20">
        <v>79</v>
      </c>
      <c r="P11" s="20"/>
      <c r="Q11" s="20">
        <v>78</v>
      </c>
      <c r="R11" s="20"/>
      <c r="S11" s="20">
        <v>79</v>
      </c>
      <c r="T11" s="21"/>
      <c r="U11" s="19">
        <v>74</v>
      </c>
      <c r="V11" s="20"/>
      <c r="W11" s="20">
        <v>79</v>
      </c>
      <c r="X11" s="20"/>
      <c r="Y11" s="20">
        <v>78</v>
      </c>
      <c r="Z11" s="20"/>
      <c r="AA11" s="20">
        <v>80</v>
      </c>
      <c r="AB11" s="21"/>
      <c r="AC11" s="19">
        <v>76</v>
      </c>
      <c r="AD11" s="20"/>
      <c r="AE11" s="20">
        <v>79</v>
      </c>
      <c r="AF11" s="20"/>
      <c r="AG11" s="20">
        <v>80</v>
      </c>
      <c r="AH11" s="20"/>
      <c r="AI11" s="20">
        <v>84</v>
      </c>
      <c r="AJ11" s="3"/>
      <c r="AK11" s="44">
        <f t="shared" si="4"/>
        <v>78.75</v>
      </c>
      <c r="AL11" s="45">
        <f t="shared" si="5"/>
        <v>78</v>
      </c>
      <c r="AM11" s="46">
        <f t="shared" si="6"/>
        <v>77.75</v>
      </c>
      <c r="AN11" s="47">
        <f t="shared" si="7"/>
        <v>79.75</v>
      </c>
      <c r="AO11" s="48">
        <f t="shared" si="8"/>
        <v>78.5625</v>
      </c>
      <c r="AP11" s="37"/>
      <c r="AR11" s="54" t="str">
        <f t="shared" si="9"/>
        <v/>
      </c>
      <c r="AS11" s="35"/>
      <c r="AT11" s="56">
        <f t="shared" si="10"/>
        <v>0</v>
      </c>
      <c r="AU11" s="57" t="str">
        <f t="shared" si="11"/>
        <v/>
      </c>
      <c r="AV11" s="54" t="str">
        <f t="shared" si="12"/>
        <v/>
      </c>
      <c r="AW11" s="35"/>
      <c r="AX11" s="56">
        <f t="shared" si="13"/>
        <v>0</v>
      </c>
      <c r="AY11" s="60" t="str">
        <f t="shared" si="14"/>
        <v/>
      </c>
      <c r="AZ11" s="54" t="str">
        <f t="shared" si="15"/>
        <v/>
      </c>
      <c r="BA11" s="21"/>
      <c r="BB11" s="62">
        <f t="shared" si="16"/>
        <v>78.5625</v>
      </c>
      <c r="BC11" s="64" t="str">
        <f t="shared" si="17"/>
        <v/>
      </c>
      <c r="BE11" s="20">
        <f t="shared" si="18"/>
        <v>75.25</v>
      </c>
      <c r="BF11" s="20">
        <f t="shared" si="19"/>
        <v>78.25</v>
      </c>
      <c r="BG11" s="89">
        <f t="shared" si="20"/>
        <v>79</v>
      </c>
      <c r="BH11" s="20">
        <f t="shared" si="21"/>
        <v>81.75</v>
      </c>
      <c r="BI11" s="20">
        <f t="shared" si="22"/>
        <v>78.5625</v>
      </c>
    </row>
    <row r="12" spans="1:61" x14ac:dyDescent="0.2">
      <c r="A12" s="29">
        <v>10</v>
      </c>
      <c r="B12" s="88" t="s">
        <v>121</v>
      </c>
      <c r="C12" s="70" t="s">
        <v>49</v>
      </c>
      <c r="D12" s="70" t="s">
        <v>50</v>
      </c>
      <c r="E12" s="19">
        <v>60</v>
      </c>
      <c r="F12" s="19">
        <v>60</v>
      </c>
      <c r="G12" s="20"/>
      <c r="H12" s="20">
        <v>65</v>
      </c>
      <c r="I12" s="20"/>
      <c r="J12" s="20">
        <v>63</v>
      </c>
      <c r="K12" s="20"/>
      <c r="L12" s="20">
        <v>68</v>
      </c>
      <c r="M12" s="19">
        <v>60</v>
      </c>
      <c r="N12" s="19">
        <v>60</v>
      </c>
      <c r="O12" s="20"/>
      <c r="P12" s="20">
        <v>65</v>
      </c>
      <c r="Q12" s="20"/>
      <c r="R12" s="20">
        <v>63</v>
      </c>
      <c r="S12" s="20"/>
      <c r="T12" s="20">
        <v>68</v>
      </c>
      <c r="U12" s="19">
        <v>60</v>
      </c>
      <c r="V12" s="19">
        <v>60</v>
      </c>
      <c r="W12" s="20"/>
      <c r="X12" s="20">
        <v>65</v>
      </c>
      <c r="Y12" s="20"/>
      <c r="Z12" s="20">
        <v>63</v>
      </c>
      <c r="AA12" s="20"/>
      <c r="AB12" s="20">
        <v>68</v>
      </c>
      <c r="AC12" s="19">
        <v>60</v>
      </c>
      <c r="AD12" s="19">
        <v>60</v>
      </c>
      <c r="AE12" s="20"/>
      <c r="AF12" s="20">
        <v>65</v>
      </c>
      <c r="AG12" s="20"/>
      <c r="AH12" s="20">
        <v>63</v>
      </c>
      <c r="AI12" s="20"/>
      <c r="AJ12" s="20">
        <v>68</v>
      </c>
      <c r="AK12" s="44">
        <f t="shared" ref="AK12:AK13" si="23">SUMIF(E12:E12, "&gt;=70") / 4 +SUMIF(G12:G12, "&gt;=70") / 4 +SUMIF(I12:I12, "&gt;=70") / 4 +SUMIF(K12:K12, "&gt;=70") / 4 + SUMIF(F12:F12, "&gt;1") / 4 + SUMIF(H12:H12, "&gt;1") / 4 + SUMIF(J12:J12, "&gt;1") / 4 + SUMIF(L12:L12, "&gt;1") / 4</f>
        <v>64</v>
      </c>
      <c r="AL12" s="45">
        <f t="shared" ref="AL12:AL13" si="24">SUMIF(M12:M12, "&gt;=70") / 4 +SUMIF(O12:O12, "&gt;=70") / 4 +SUMIF(Q12:Q12, "&gt;=70") / 4 +SUMIF(S12:S12, "&gt;=70") / 4 + SUMIF(N12:N12, "&gt;1") / 4 + SUMIF(P12:P12, "&gt;1") / 4 + SUMIF(R12:R12, "&gt;1") / 4 + SUMIF(T12:T12, "&gt;1") / 4</f>
        <v>64</v>
      </c>
      <c r="AM12" s="46">
        <f t="shared" ref="AM12:AM13" si="25">SUMIF(U12:U12, "&gt;=70") / 4 +SUMIF(W12:W12, "&gt;=70") / 4 +SUMIF(Y12:Y12, "&gt;=70") / 4 +SUMIF(AA12:AA12, "&gt;=70") / 4 + SUMIF(V12:V12, "&gt;1") / 4 + SUMIF(X12:X12, "&gt;1") / 4 + SUMIF(Z12:Z12, "&gt;1") / 4 + SUMIF(AB12:AB12, "&gt;1") / 4</f>
        <v>64</v>
      </c>
      <c r="AN12" s="47">
        <f t="shared" ref="AN12:AN13" si="26">SUMIF(AC12:AC12, "&gt;=65") / 4 +SUMIF(AE12:AE12, "&gt;=65") / 4 +SUMIF(AG12:AG12, "&gt;=65") / 4 +SUMIF(AI12:AI12, "&gt;=65") / 4 + SUMIF(AD12:AD12, "&gt;1") / 4 + SUMIF(AF12:AF12, "&gt;1") / 4 + SUMIF(AH12:AH12, "&gt;1") / 4 + SUMIF(AJ12:AJ12, "&gt;1") / 4</f>
        <v>64</v>
      </c>
      <c r="AO12" s="48">
        <f t="shared" ref="AO12:AO13" si="27">AVERAGE(AK12:AN12)</f>
        <v>64</v>
      </c>
      <c r="AP12" s="37"/>
      <c r="AR12" s="54">
        <f t="shared" si="9"/>
        <v>32</v>
      </c>
      <c r="AS12" s="20"/>
      <c r="AT12" s="56">
        <f t="shared" si="10"/>
        <v>0</v>
      </c>
      <c r="AU12" s="57" t="str">
        <f t="shared" si="11"/>
        <v/>
      </c>
      <c r="AV12" s="54" t="str">
        <f t="shared" si="12"/>
        <v/>
      </c>
      <c r="AW12" s="20"/>
      <c r="AX12" s="56">
        <f t="shared" si="13"/>
        <v>0</v>
      </c>
      <c r="AY12" s="60" t="str">
        <f t="shared" si="14"/>
        <v/>
      </c>
      <c r="AZ12" s="54" t="str">
        <f t="shared" si="15"/>
        <v/>
      </c>
      <c r="BA12" s="21"/>
      <c r="BB12" s="62" t="str">
        <f t="shared" si="16"/>
        <v/>
      </c>
      <c r="BC12" s="64">
        <f t="shared" si="17"/>
        <v>64</v>
      </c>
      <c r="BE12" s="20">
        <f t="shared" si="18"/>
        <v>60</v>
      </c>
      <c r="BF12" s="20">
        <f t="shared" si="19"/>
        <v>0</v>
      </c>
      <c r="BG12" s="89">
        <f t="shared" si="20"/>
        <v>0</v>
      </c>
      <c r="BH12" s="20">
        <f t="shared" si="21"/>
        <v>0</v>
      </c>
      <c r="BI12" s="20">
        <f t="shared" si="22"/>
        <v>15</v>
      </c>
    </row>
    <row r="13" spans="1:61" x14ac:dyDescent="0.2">
      <c r="A13" s="29">
        <v>11</v>
      </c>
      <c r="B13" s="88" t="s">
        <v>122</v>
      </c>
      <c r="C13" s="69" t="s">
        <v>51</v>
      </c>
      <c r="D13" s="69" t="s">
        <v>52</v>
      </c>
      <c r="E13" s="19">
        <v>67</v>
      </c>
      <c r="F13" s="19">
        <v>67</v>
      </c>
      <c r="G13" s="20"/>
      <c r="H13" s="20">
        <v>65</v>
      </c>
      <c r="I13" s="20"/>
      <c r="J13" s="20">
        <v>66</v>
      </c>
      <c r="K13" s="20"/>
      <c r="L13" s="20">
        <v>61</v>
      </c>
      <c r="M13" s="19">
        <v>67</v>
      </c>
      <c r="N13" s="19">
        <v>67</v>
      </c>
      <c r="O13" s="20"/>
      <c r="P13" s="20">
        <v>65</v>
      </c>
      <c r="Q13" s="20"/>
      <c r="R13" s="20">
        <v>66</v>
      </c>
      <c r="S13" s="20"/>
      <c r="T13" s="20">
        <v>61</v>
      </c>
      <c r="U13" s="19">
        <v>67</v>
      </c>
      <c r="V13" s="19">
        <v>67</v>
      </c>
      <c r="W13" s="20"/>
      <c r="X13" s="20">
        <v>65</v>
      </c>
      <c r="Y13" s="20"/>
      <c r="Z13" s="20">
        <v>66</v>
      </c>
      <c r="AA13" s="20"/>
      <c r="AB13" s="20">
        <v>61</v>
      </c>
      <c r="AC13" s="19">
        <v>67</v>
      </c>
      <c r="AD13" s="19">
        <v>67</v>
      </c>
      <c r="AE13" s="20"/>
      <c r="AF13" s="20">
        <v>65</v>
      </c>
      <c r="AG13" s="20"/>
      <c r="AH13" s="20">
        <v>66</v>
      </c>
      <c r="AI13" s="20"/>
      <c r="AJ13" s="20">
        <v>61</v>
      </c>
      <c r="AK13" s="44">
        <f t="shared" si="23"/>
        <v>64.75</v>
      </c>
      <c r="AL13" s="45">
        <f t="shared" si="24"/>
        <v>64.75</v>
      </c>
      <c r="AM13" s="46">
        <f t="shared" si="25"/>
        <v>64.75</v>
      </c>
      <c r="AN13" s="47">
        <f t="shared" si="26"/>
        <v>81.5</v>
      </c>
      <c r="AO13" s="48">
        <f t="shared" si="27"/>
        <v>68.9375</v>
      </c>
      <c r="AP13" s="37"/>
      <c r="AR13" s="54">
        <f t="shared" si="9"/>
        <v>34.46875</v>
      </c>
      <c r="AS13" s="20"/>
      <c r="AT13" s="56">
        <f t="shared" si="10"/>
        <v>0</v>
      </c>
      <c r="AU13" s="57" t="str">
        <f t="shared" si="11"/>
        <v/>
      </c>
      <c r="AV13" s="54" t="str">
        <f t="shared" si="12"/>
        <v/>
      </c>
      <c r="AW13" s="20"/>
      <c r="AX13" s="56">
        <f t="shared" si="13"/>
        <v>0</v>
      </c>
      <c r="AY13" s="60" t="str">
        <f t="shared" si="14"/>
        <v/>
      </c>
      <c r="AZ13" s="54" t="str">
        <f t="shared" si="15"/>
        <v/>
      </c>
      <c r="BA13" s="21"/>
      <c r="BB13" s="62" t="str">
        <f t="shared" si="16"/>
        <v/>
      </c>
      <c r="BC13" s="64">
        <f t="shared" si="17"/>
        <v>68.9375</v>
      </c>
      <c r="BE13" s="20">
        <f t="shared" si="18"/>
        <v>67</v>
      </c>
      <c r="BF13" s="20">
        <f t="shared" si="19"/>
        <v>0</v>
      </c>
      <c r="BG13" s="89">
        <f t="shared" si="20"/>
        <v>0</v>
      </c>
      <c r="BH13" s="20">
        <f t="shared" si="21"/>
        <v>0</v>
      </c>
      <c r="BI13" s="20">
        <f t="shared" si="22"/>
        <v>16.75</v>
      </c>
    </row>
    <row r="14" spans="1:61" x14ac:dyDescent="0.2">
      <c r="A14" s="29">
        <v>12</v>
      </c>
      <c r="B14" s="88" t="s">
        <v>123</v>
      </c>
      <c r="C14" s="70" t="s">
        <v>53</v>
      </c>
      <c r="D14" s="70" t="s">
        <v>54</v>
      </c>
      <c r="E14" s="19">
        <v>90</v>
      </c>
      <c r="F14" s="20"/>
      <c r="G14" s="20">
        <v>89</v>
      </c>
      <c r="H14" s="20"/>
      <c r="I14" s="20">
        <v>80</v>
      </c>
      <c r="J14" s="20"/>
      <c r="K14" s="20">
        <v>84</v>
      </c>
      <c r="L14" s="21"/>
      <c r="M14" s="19">
        <v>93</v>
      </c>
      <c r="N14" s="20"/>
      <c r="O14" s="20">
        <v>88</v>
      </c>
      <c r="P14" s="20"/>
      <c r="Q14" s="20">
        <v>89</v>
      </c>
      <c r="R14" s="20"/>
      <c r="S14" s="20">
        <v>86</v>
      </c>
      <c r="T14" s="21"/>
      <c r="U14" s="19">
        <v>94</v>
      </c>
      <c r="V14" s="20"/>
      <c r="W14" s="20">
        <v>86</v>
      </c>
      <c r="X14" s="20"/>
      <c r="Y14" s="20">
        <v>89</v>
      </c>
      <c r="Z14" s="20"/>
      <c r="AA14" s="20">
        <v>83</v>
      </c>
      <c r="AB14" s="21"/>
      <c r="AC14" s="19">
        <v>90</v>
      </c>
      <c r="AD14" s="20"/>
      <c r="AE14" s="20">
        <v>89</v>
      </c>
      <c r="AF14" s="20"/>
      <c r="AG14" s="20">
        <v>85</v>
      </c>
      <c r="AH14" s="20"/>
      <c r="AI14" s="20">
        <v>89</v>
      </c>
      <c r="AJ14" s="3"/>
      <c r="AK14" s="44">
        <f t="shared" si="4"/>
        <v>85.75</v>
      </c>
      <c r="AL14" s="45">
        <f t="shared" si="5"/>
        <v>89</v>
      </c>
      <c r="AM14" s="46">
        <f t="shared" si="6"/>
        <v>88</v>
      </c>
      <c r="AN14" s="47">
        <f t="shared" si="7"/>
        <v>88.25</v>
      </c>
      <c r="AO14" s="48">
        <f t="shared" si="8"/>
        <v>87.75</v>
      </c>
      <c r="AP14" s="37"/>
      <c r="AR14" s="54" t="str">
        <f t="shared" si="9"/>
        <v/>
      </c>
      <c r="AS14" s="20"/>
      <c r="AT14" s="56">
        <f t="shared" si="10"/>
        <v>0</v>
      </c>
      <c r="AU14" s="57" t="str">
        <f t="shared" si="11"/>
        <v/>
      </c>
      <c r="AV14" s="54" t="str">
        <f t="shared" si="12"/>
        <v/>
      </c>
      <c r="AW14" s="20"/>
      <c r="AX14" s="56">
        <f t="shared" si="13"/>
        <v>0</v>
      </c>
      <c r="AY14" s="60" t="str">
        <f t="shared" si="14"/>
        <v/>
      </c>
      <c r="AZ14" s="54" t="str">
        <f t="shared" si="15"/>
        <v/>
      </c>
      <c r="BA14" s="21"/>
      <c r="BB14" s="62">
        <f t="shared" si="16"/>
        <v>87.75</v>
      </c>
      <c r="BC14" s="64" t="str">
        <f t="shared" si="17"/>
        <v/>
      </c>
      <c r="BE14" s="20">
        <f t="shared" si="18"/>
        <v>91.75</v>
      </c>
      <c r="BF14" s="20">
        <f t="shared" si="19"/>
        <v>88</v>
      </c>
      <c r="BG14" s="89">
        <f t="shared" si="20"/>
        <v>85.75</v>
      </c>
      <c r="BH14" s="20">
        <f t="shared" si="21"/>
        <v>85.5</v>
      </c>
      <c r="BI14" s="20">
        <f t="shared" si="22"/>
        <v>87.75</v>
      </c>
    </row>
    <row r="15" spans="1:61" x14ac:dyDescent="0.2">
      <c r="A15" s="29">
        <v>13</v>
      </c>
      <c r="B15" s="88" t="s">
        <v>124</v>
      </c>
      <c r="C15" s="69" t="s">
        <v>55</v>
      </c>
      <c r="D15" s="69" t="s">
        <v>56</v>
      </c>
      <c r="E15" s="19">
        <v>75</v>
      </c>
      <c r="F15" s="20"/>
      <c r="G15" s="20">
        <v>78</v>
      </c>
      <c r="H15" s="20"/>
      <c r="I15" s="20">
        <v>75</v>
      </c>
      <c r="J15" s="20"/>
      <c r="K15" s="20">
        <v>74</v>
      </c>
      <c r="L15" s="21"/>
      <c r="M15" s="19">
        <v>74</v>
      </c>
      <c r="N15" s="20"/>
      <c r="O15" s="20">
        <v>79</v>
      </c>
      <c r="P15" s="20"/>
      <c r="Q15" s="20">
        <v>78</v>
      </c>
      <c r="R15" s="20"/>
      <c r="S15" s="20">
        <v>75</v>
      </c>
      <c r="T15" s="21"/>
      <c r="U15" s="19">
        <v>73</v>
      </c>
      <c r="V15" s="20"/>
      <c r="W15" s="20">
        <v>79</v>
      </c>
      <c r="X15" s="20"/>
      <c r="Y15" s="20">
        <v>78</v>
      </c>
      <c r="Z15" s="20"/>
      <c r="AA15" s="20">
        <v>76</v>
      </c>
      <c r="AB15" s="21"/>
      <c r="AC15" s="19">
        <v>75</v>
      </c>
      <c r="AD15" s="20"/>
      <c r="AE15" s="20">
        <v>79</v>
      </c>
      <c r="AF15" s="20"/>
      <c r="AG15" s="20">
        <v>80</v>
      </c>
      <c r="AH15" s="20"/>
      <c r="AI15" s="20">
        <v>86</v>
      </c>
      <c r="AJ15" s="3"/>
      <c r="AK15" s="44">
        <f t="shared" si="4"/>
        <v>75.5</v>
      </c>
      <c r="AL15" s="45">
        <f t="shared" si="5"/>
        <v>76.5</v>
      </c>
      <c r="AM15" s="46">
        <f t="shared" si="6"/>
        <v>76.5</v>
      </c>
      <c r="AN15" s="47">
        <f t="shared" si="7"/>
        <v>80</v>
      </c>
      <c r="AO15" s="48">
        <f t="shared" si="8"/>
        <v>77.125</v>
      </c>
      <c r="AP15" s="37"/>
      <c r="AR15" s="54" t="str">
        <f t="shared" si="9"/>
        <v/>
      </c>
      <c r="AS15" s="20"/>
      <c r="AT15" s="56">
        <f t="shared" si="10"/>
        <v>0</v>
      </c>
      <c r="AU15" s="57" t="str">
        <f t="shared" si="11"/>
        <v/>
      </c>
      <c r="AV15" s="54" t="str">
        <f t="shared" si="12"/>
        <v/>
      </c>
      <c r="AW15" s="20"/>
      <c r="AX15" s="56">
        <f t="shared" si="13"/>
        <v>0</v>
      </c>
      <c r="AY15" s="60" t="str">
        <f t="shared" si="14"/>
        <v/>
      </c>
      <c r="AZ15" s="54" t="str">
        <f t="shared" si="15"/>
        <v/>
      </c>
      <c r="BA15" s="21"/>
      <c r="BB15" s="62">
        <f t="shared" si="16"/>
        <v>77.125</v>
      </c>
      <c r="BC15" s="64" t="str">
        <f t="shared" si="17"/>
        <v/>
      </c>
      <c r="BE15" s="20">
        <f t="shared" si="18"/>
        <v>74.25</v>
      </c>
      <c r="BF15" s="20">
        <f t="shared" si="19"/>
        <v>78.75</v>
      </c>
      <c r="BG15" s="89">
        <f t="shared" si="20"/>
        <v>77.75</v>
      </c>
      <c r="BH15" s="20">
        <f t="shared" si="21"/>
        <v>77.75</v>
      </c>
      <c r="BI15" s="20">
        <f t="shared" si="22"/>
        <v>77.125</v>
      </c>
    </row>
    <row r="16" spans="1:61" x14ac:dyDescent="0.2">
      <c r="A16" s="29">
        <v>14</v>
      </c>
      <c r="B16" s="88" t="s">
        <v>125</v>
      </c>
      <c r="C16" s="70" t="s">
        <v>57</v>
      </c>
      <c r="D16" s="70" t="s">
        <v>58</v>
      </c>
      <c r="E16" s="19">
        <v>0</v>
      </c>
      <c r="F16" s="19">
        <v>60</v>
      </c>
      <c r="G16" s="20"/>
      <c r="H16" s="20">
        <v>65</v>
      </c>
      <c r="I16" s="20"/>
      <c r="J16" s="20">
        <v>63</v>
      </c>
      <c r="K16" s="20"/>
      <c r="L16" s="20">
        <v>68</v>
      </c>
      <c r="M16" s="19">
        <v>0</v>
      </c>
      <c r="N16" s="19">
        <v>60</v>
      </c>
      <c r="O16" s="20"/>
      <c r="P16" s="20">
        <v>65</v>
      </c>
      <c r="Q16" s="20"/>
      <c r="R16" s="20">
        <v>63</v>
      </c>
      <c r="S16" s="20"/>
      <c r="T16" s="20">
        <v>68</v>
      </c>
      <c r="U16" s="19">
        <v>0</v>
      </c>
      <c r="V16" s="19">
        <v>60</v>
      </c>
      <c r="W16" s="20"/>
      <c r="X16" s="20">
        <v>65</v>
      </c>
      <c r="Y16" s="20"/>
      <c r="Z16" s="20">
        <v>63</v>
      </c>
      <c r="AA16" s="20"/>
      <c r="AB16" s="20">
        <v>68</v>
      </c>
      <c r="AC16" s="19">
        <v>0</v>
      </c>
      <c r="AD16" s="19">
        <v>60</v>
      </c>
      <c r="AE16" s="20"/>
      <c r="AF16" s="20">
        <v>65</v>
      </c>
      <c r="AG16" s="20"/>
      <c r="AH16" s="20">
        <v>63</v>
      </c>
      <c r="AI16" s="20"/>
      <c r="AJ16" s="20">
        <v>68</v>
      </c>
      <c r="AK16" s="44">
        <f t="shared" si="4"/>
        <v>64</v>
      </c>
      <c r="AL16" s="45">
        <f t="shared" si="5"/>
        <v>64</v>
      </c>
      <c r="AM16" s="46">
        <f t="shared" si="6"/>
        <v>64</v>
      </c>
      <c r="AN16" s="47">
        <f t="shared" si="7"/>
        <v>64</v>
      </c>
      <c r="AO16" s="48">
        <f t="shared" si="8"/>
        <v>64</v>
      </c>
      <c r="AP16" s="37"/>
      <c r="AR16" s="54">
        <f t="shared" si="9"/>
        <v>32</v>
      </c>
      <c r="AS16" s="20"/>
      <c r="AT16" s="56">
        <f t="shared" si="10"/>
        <v>0</v>
      </c>
      <c r="AU16" s="57" t="str">
        <f t="shared" si="11"/>
        <v/>
      </c>
      <c r="AV16" s="54" t="str">
        <f t="shared" si="12"/>
        <v/>
      </c>
      <c r="AW16" s="20"/>
      <c r="AX16" s="56">
        <f t="shared" si="13"/>
        <v>0</v>
      </c>
      <c r="AY16" s="60" t="str">
        <f t="shared" si="14"/>
        <v/>
      </c>
      <c r="AZ16" s="54" t="str">
        <f t="shared" si="15"/>
        <v/>
      </c>
      <c r="BA16" s="21"/>
      <c r="BB16" s="62" t="str">
        <f t="shared" si="16"/>
        <v/>
      </c>
      <c r="BC16" s="64">
        <f t="shared" si="17"/>
        <v>64</v>
      </c>
      <c r="BE16" s="20">
        <f t="shared" si="18"/>
        <v>0</v>
      </c>
      <c r="BF16" s="20">
        <f t="shared" si="19"/>
        <v>0</v>
      </c>
      <c r="BG16" s="89">
        <f t="shared" si="20"/>
        <v>0</v>
      </c>
      <c r="BH16" s="20">
        <f t="shared" si="21"/>
        <v>0</v>
      </c>
      <c r="BI16" s="20">
        <f t="shared" si="22"/>
        <v>0</v>
      </c>
    </row>
    <row r="17" spans="1:61" x14ac:dyDescent="0.2">
      <c r="A17" s="29">
        <v>15</v>
      </c>
      <c r="B17" s="88" t="s">
        <v>126</v>
      </c>
      <c r="C17" s="69" t="s">
        <v>59</v>
      </c>
      <c r="D17" s="69" t="s">
        <v>60</v>
      </c>
      <c r="E17" s="19">
        <v>75</v>
      </c>
      <c r="F17" s="20"/>
      <c r="G17" s="20">
        <v>74</v>
      </c>
      <c r="H17" s="20"/>
      <c r="I17" s="20">
        <v>76</v>
      </c>
      <c r="J17" s="20"/>
      <c r="K17" s="20">
        <v>75</v>
      </c>
      <c r="L17" s="21"/>
      <c r="M17" s="19">
        <v>75</v>
      </c>
      <c r="N17" s="20"/>
      <c r="O17" s="20">
        <v>73</v>
      </c>
      <c r="P17" s="20"/>
      <c r="Q17" s="20">
        <v>74</v>
      </c>
      <c r="R17" s="20"/>
      <c r="S17" s="20">
        <v>75</v>
      </c>
      <c r="T17" s="21"/>
      <c r="U17" s="19">
        <v>74</v>
      </c>
      <c r="V17" s="20"/>
      <c r="W17" s="20">
        <v>74</v>
      </c>
      <c r="X17" s="20"/>
      <c r="Y17" s="20">
        <v>74</v>
      </c>
      <c r="Z17" s="20"/>
      <c r="AA17" s="20">
        <v>74</v>
      </c>
      <c r="AB17" s="21"/>
      <c r="AC17" s="19">
        <v>74</v>
      </c>
      <c r="AD17" s="20"/>
      <c r="AE17" s="20">
        <v>75</v>
      </c>
      <c r="AF17" s="20"/>
      <c r="AG17" s="20">
        <v>73</v>
      </c>
      <c r="AH17" s="20"/>
      <c r="AI17" s="20">
        <v>75</v>
      </c>
      <c r="AJ17" s="3"/>
      <c r="AK17" s="44">
        <f t="shared" si="4"/>
        <v>75</v>
      </c>
      <c r="AL17" s="45">
        <f t="shared" si="5"/>
        <v>74.25</v>
      </c>
      <c r="AM17" s="46">
        <f t="shared" si="6"/>
        <v>74</v>
      </c>
      <c r="AN17" s="47">
        <f t="shared" si="7"/>
        <v>74.25</v>
      </c>
      <c r="AO17" s="48">
        <f t="shared" si="8"/>
        <v>74.375</v>
      </c>
      <c r="AP17" s="37"/>
      <c r="AR17" s="54" t="str">
        <f t="shared" si="9"/>
        <v/>
      </c>
      <c r="AS17" s="20"/>
      <c r="AT17" s="56">
        <f t="shared" si="10"/>
        <v>0</v>
      </c>
      <c r="AU17" s="57" t="str">
        <f t="shared" si="11"/>
        <v/>
      </c>
      <c r="AV17" s="54" t="str">
        <f t="shared" si="12"/>
        <v/>
      </c>
      <c r="AW17" s="20"/>
      <c r="AX17" s="56">
        <f t="shared" si="13"/>
        <v>0</v>
      </c>
      <c r="AY17" s="60" t="str">
        <f t="shared" si="14"/>
        <v/>
      </c>
      <c r="AZ17" s="54" t="str">
        <f t="shared" si="15"/>
        <v/>
      </c>
      <c r="BA17" s="21"/>
      <c r="BB17" s="62">
        <f t="shared" si="16"/>
        <v>74.375</v>
      </c>
      <c r="BC17" s="64" t="str">
        <f t="shared" si="17"/>
        <v/>
      </c>
      <c r="BE17" s="20">
        <f t="shared" si="18"/>
        <v>74.5</v>
      </c>
      <c r="BF17" s="20">
        <f t="shared" si="19"/>
        <v>74</v>
      </c>
      <c r="BG17" s="89">
        <f t="shared" si="20"/>
        <v>74.25</v>
      </c>
      <c r="BH17" s="20">
        <f t="shared" si="21"/>
        <v>74.75</v>
      </c>
      <c r="BI17" s="20">
        <f t="shared" si="22"/>
        <v>74.375</v>
      </c>
    </row>
    <row r="18" spans="1:61" x14ac:dyDescent="0.2">
      <c r="A18" s="29">
        <v>16</v>
      </c>
      <c r="B18" s="88" t="s">
        <v>127</v>
      </c>
      <c r="C18" s="70" t="s">
        <v>61</v>
      </c>
      <c r="D18" s="70" t="s">
        <v>62</v>
      </c>
      <c r="E18" s="19">
        <v>90</v>
      </c>
      <c r="F18" s="20"/>
      <c r="G18" s="20">
        <v>89</v>
      </c>
      <c r="H18" s="20"/>
      <c r="I18" s="20">
        <v>94</v>
      </c>
      <c r="J18" s="20"/>
      <c r="K18" s="20">
        <v>96</v>
      </c>
      <c r="L18" s="21"/>
      <c r="M18" s="19">
        <v>90</v>
      </c>
      <c r="N18" s="20"/>
      <c r="O18" s="20">
        <v>89</v>
      </c>
      <c r="P18" s="20"/>
      <c r="Q18" s="20">
        <v>90</v>
      </c>
      <c r="R18" s="20"/>
      <c r="S18" s="20">
        <v>91</v>
      </c>
      <c r="T18" s="21"/>
      <c r="U18" s="19">
        <v>95</v>
      </c>
      <c r="V18" s="20"/>
      <c r="W18" s="20">
        <v>96</v>
      </c>
      <c r="X18" s="20"/>
      <c r="Y18" s="20">
        <v>95</v>
      </c>
      <c r="Z18" s="20"/>
      <c r="AA18" s="20">
        <v>96</v>
      </c>
      <c r="AB18" s="21"/>
      <c r="AC18" s="19">
        <v>98</v>
      </c>
      <c r="AD18" s="20"/>
      <c r="AE18" s="20">
        <v>97</v>
      </c>
      <c r="AF18" s="20"/>
      <c r="AG18" s="20">
        <v>98</v>
      </c>
      <c r="AH18" s="20"/>
      <c r="AI18" s="20">
        <v>97</v>
      </c>
      <c r="AJ18" s="3"/>
      <c r="AK18" s="44">
        <f t="shared" si="4"/>
        <v>92.25</v>
      </c>
      <c r="AL18" s="45">
        <f t="shared" si="5"/>
        <v>90</v>
      </c>
      <c r="AM18" s="46">
        <f t="shared" si="6"/>
        <v>95.5</v>
      </c>
      <c r="AN18" s="47">
        <f t="shared" si="7"/>
        <v>97.5</v>
      </c>
      <c r="AO18" s="48">
        <f t="shared" si="8"/>
        <v>93.8125</v>
      </c>
      <c r="AP18" s="37"/>
      <c r="AR18" s="54" t="str">
        <f t="shared" si="9"/>
        <v/>
      </c>
      <c r="AS18" s="20"/>
      <c r="AT18" s="56">
        <f t="shared" si="10"/>
        <v>0</v>
      </c>
      <c r="AU18" s="57" t="str">
        <f t="shared" si="11"/>
        <v/>
      </c>
      <c r="AV18" s="54" t="str">
        <f t="shared" si="12"/>
        <v/>
      </c>
      <c r="AW18" s="20"/>
      <c r="AX18" s="56">
        <f t="shared" si="13"/>
        <v>0</v>
      </c>
      <c r="AY18" s="60" t="str">
        <f t="shared" si="14"/>
        <v/>
      </c>
      <c r="AZ18" s="54" t="str">
        <f t="shared" si="15"/>
        <v/>
      </c>
      <c r="BA18" s="21"/>
      <c r="BB18" s="62">
        <f t="shared" si="16"/>
        <v>93.8125</v>
      </c>
      <c r="BC18" s="64" t="str">
        <f t="shared" si="17"/>
        <v/>
      </c>
      <c r="BE18" s="20">
        <f t="shared" si="18"/>
        <v>93.25</v>
      </c>
      <c r="BF18" s="20">
        <f t="shared" si="19"/>
        <v>92.75</v>
      </c>
      <c r="BG18" s="89">
        <f t="shared" si="20"/>
        <v>94.25</v>
      </c>
      <c r="BH18" s="20">
        <f t="shared" si="21"/>
        <v>95</v>
      </c>
      <c r="BI18" s="20">
        <f t="shared" si="22"/>
        <v>93.8125</v>
      </c>
    </row>
    <row r="19" spans="1:61" x14ac:dyDescent="0.2">
      <c r="A19" s="29">
        <v>17</v>
      </c>
      <c r="B19" s="88" t="s">
        <v>128</v>
      </c>
      <c r="C19" s="69" t="s">
        <v>63</v>
      </c>
      <c r="D19" s="69" t="s">
        <v>64</v>
      </c>
      <c r="E19" s="19">
        <v>90</v>
      </c>
      <c r="F19" s="20"/>
      <c r="G19" s="20">
        <v>90</v>
      </c>
      <c r="H19" s="20"/>
      <c r="I19" s="20">
        <v>85</v>
      </c>
      <c r="J19" s="20"/>
      <c r="K19" s="20">
        <v>89</v>
      </c>
      <c r="L19" s="21"/>
      <c r="M19" s="19">
        <v>89</v>
      </c>
      <c r="N19" s="20"/>
      <c r="O19" s="20">
        <v>89</v>
      </c>
      <c r="P19" s="20"/>
      <c r="Q19" s="20">
        <v>88</v>
      </c>
      <c r="R19" s="20"/>
      <c r="S19" s="20">
        <v>88</v>
      </c>
      <c r="T19" s="21"/>
      <c r="U19" s="19">
        <v>84</v>
      </c>
      <c r="V19" s="20"/>
      <c r="W19" s="20">
        <v>87</v>
      </c>
      <c r="X19" s="20"/>
      <c r="Y19" s="20">
        <v>86</v>
      </c>
      <c r="Z19" s="20"/>
      <c r="AA19" s="20">
        <v>85</v>
      </c>
      <c r="AB19" s="21"/>
      <c r="AC19" s="19">
        <v>83</v>
      </c>
      <c r="AD19" s="20"/>
      <c r="AE19" s="20">
        <v>89</v>
      </c>
      <c r="AF19" s="20"/>
      <c r="AG19" s="20">
        <v>90</v>
      </c>
      <c r="AH19" s="20"/>
      <c r="AI19" s="20">
        <v>90</v>
      </c>
      <c r="AJ19" s="3"/>
      <c r="AK19" s="44">
        <f t="shared" si="4"/>
        <v>88.5</v>
      </c>
      <c r="AL19" s="45">
        <f t="shared" si="5"/>
        <v>88.5</v>
      </c>
      <c r="AM19" s="46">
        <f t="shared" si="6"/>
        <v>85.5</v>
      </c>
      <c r="AN19" s="47">
        <f t="shared" si="7"/>
        <v>88</v>
      </c>
      <c r="AO19" s="48">
        <f t="shared" si="8"/>
        <v>87.625</v>
      </c>
      <c r="AP19" s="37"/>
      <c r="AR19" s="54" t="str">
        <f t="shared" si="9"/>
        <v/>
      </c>
      <c r="AS19" s="20"/>
      <c r="AT19" s="56">
        <f t="shared" si="10"/>
        <v>0</v>
      </c>
      <c r="AU19" s="57" t="str">
        <f t="shared" si="11"/>
        <v/>
      </c>
      <c r="AV19" s="54" t="str">
        <f t="shared" si="12"/>
        <v/>
      </c>
      <c r="AW19" s="20"/>
      <c r="AX19" s="56">
        <f t="shared" si="13"/>
        <v>0</v>
      </c>
      <c r="AY19" s="60" t="str">
        <f t="shared" si="14"/>
        <v/>
      </c>
      <c r="AZ19" s="54" t="str">
        <f t="shared" si="15"/>
        <v/>
      </c>
      <c r="BA19" s="21"/>
      <c r="BB19" s="62">
        <f t="shared" si="16"/>
        <v>87.625</v>
      </c>
      <c r="BC19" s="64" t="str">
        <f t="shared" si="17"/>
        <v/>
      </c>
      <c r="BE19" s="20">
        <f t="shared" si="18"/>
        <v>86.5</v>
      </c>
      <c r="BF19" s="20">
        <f t="shared" si="19"/>
        <v>88.75</v>
      </c>
      <c r="BG19" s="89">
        <f t="shared" si="20"/>
        <v>87.25</v>
      </c>
      <c r="BH19" s="20">
        <f t="shared" si="21"/>
        <v>88</v>
      </c>
      <c r="BI19" s="20">
        <f t="shared" si="22"/>
        <v>87.625</v>
      </c>
    </row>
    <row r="20" spans="1:61" x14ac:dyDescent="0.2">
      <c r="A20" s="29">
        <v>18</v>
      </c>
      <c r="B20" s="88" t="s">
        <v>129</v>
      </c>
      <c r="C20" s="70" t="s">
        <v>65</v>
      </c>
      <c r="D20" s="70" t="s">
        <v>66</v>
      </c>
      <c r="E20" s="19">
        <v>76</v>
      </c>
      <c r="F20" s="20"/>
      <c r="G20" s="20">
        <v>79</v>
      </c>
      <c r="H20" s="20"/>
      <c r="I20" s="20">
        <v>76</v>
      </c>
      <c r="J20" s="20"/>
      <c r="K20" s="20">
        <v>75</v>
      </c>
      <c r="L20" s="21"/>
      <c r="M20" s="19">
        <v>78</v>
      </c>
      <c r="N20" s="20"/>
      <c r="O20" s="20">
        <v>79</v>
      </c>
      <c r="P20" s="20"/>
      <c r="Q20" s="20">
        <v>78</v>
      </c>
      <c r="R20" s="20"/>
      <c r="S20" s="20">
        <v>76</v>
      </c>
      <c r="T20" s="21"/>
      <c r="U20" s="19">
        <v>80</v>
      </c>
      <c r="V20" s="20"/>
      <c r="W20" s="20">
        <v>80</v>
      </c>
      <c r="X20" s="20"/>
      <c r="Y20" s="20">
        <v>79</v>
      </c>
      <c r="Z20" s="20"/>
      <c r="AA20" s="20">
        <v>79</v>
      </c>
      <c r="AB20" s="21"/>
      <c r="AC20" s="19">
        <v>79</v>
      </c>
      <c r="AD20" s="20"/>
      <c r="AE20" s="20">
        <v>79</v>
      </c>
      <c r="AF20" s="20"/>
      <c r="AG20" s="20">
        <v>80</v>
      </c>
      <c r="AH20" s="20"/>
      <c r="AI20" s="20">
        <v>79</v>
      </c>
      <c r="AJ20" s="3"/>
      <c r="AK20" s="44">
        <f t="shared" si="4"/>
        <v>76.5</v>
      </c>
      <c r="AL20" s="45">
        <f t="shared" si="5"/>
        <v>77.75</v>
      </c>
      <c r="AM20" s="46">
        <f t="shared" si="6"/>
        <v>79.5</v>
      </c>
      <c r="AN20" s="47">
        <f t="shared" si="7"/>
        <v>79.25</v>
      </c>
      <c r="AO20" s="48">
        <f t="shared" si="8"/>
        <v>78.25</v>
      </c>
      <c r="AP20" s="37"/>
      <c r="AR20" s="54" t="str">
        <f t="shared" si="9"/>
        <v/>
      </c>
      <c r="AS20" s="20"/>
      <c r="AT20" s="56">
        <f t="shared" si="10"/>
        <v>0</v>
      </c>
      <c r="AU20" s="57" t="str">
        <f t="shared" si="11"/>
        <v/>
      </c>
      <c r="AV20" s="54" t="str">
        <f t="shared" si="12"/>
        <v/>
      </c>
      <c r="AW20" s="20"/>
      <c r="AX20" s="56">
        <f t="shared" si="13"/>
        <v>0</v>
      </c>
      <c r="AY20" s="60" t="str">
        <f t="shared" si="14"/>
        <v/>
      </c>
      <c r="AZ20" s="54" t="str">
        <f t="shared" si="15"/>
        <v/>
      </c>
      <c r="BA20" s="21"/>
      <c r="BB20" s="62">
        <f t="shared" si="16"/>
        <v>78.25</v>
      </c>
      <c r="BC20" s="64" t="str">
        <f t="shared" si="17"/>
        <v/>
      </c>
      <c r="BE20" s="20">
        <f t="shared" si="18"/>
        <v>78.25</v>
      </c>
      <c r="BF20" s="20">
        <f t="shared" si="19"/>
        <v>79.25</v>
      </c>
      <c r="BG20" s="89">
        <f t="shared" si="20"/>
        <v>78.25</v>
      </c>
      <c r="BH20" s="20">
        <f t="shared" si="21"/>
        <v>77.25</v>
      </c>
      <c r="BI20" s="20">
        <f t="shared" si="22"/>
        <v>78.25</v>
      </c>
    </row>
    <row r="21" spans="1:61" x14ac:dyDescent="0.2">
      <c r="A21" s="29">
        <v>19</v>
      </c>
      <c r="B21" s="88" t="s">
        <v>130</v>
      </c>
      <c r="C21" s="69" t="s">
        <v>67</v>
      </c>
      <c r="D21" s="69" t="s">
        <v>68</v>
      </c>
      <c r="E21" s="19">
        <v>76</v>
      </c>
      <c r="F21" s="20"/>
      <c r="G21" s="20">
        <v>85</v>
      </c>
      <c r="H21" s="20"/>
      <c r="I21" s="20">
        <v>89</v>
      </c>
      <c r="J21" s="20"/>
      <c r="K21" s="20">
        <v>90</v>
      </c>
      <c r="L21" s="21"/>
      <c r="M21" s="19">
        <v>78</v>
      </c>
      <c r="N21" s="20"/>
      <c r="O21" s="20">
        <v>84</v>
      </c>
      <c r="P21" s="20"/>
      <c r="Q21" s="20">
        <v>85</v>
      </c>
      <c r="R21" s="20"/>
      <c r="S21" s="20">
        <v>89</v>
      </c>
      <c r="T21" s="21"/>
      <c r="U21" s="19">
        <v>76</v>
      </c>
      <c r="V21" s="20"/>
      <c r="W21" s="20">
        <v>85</v>
      </c>
      <c r="X21" s="20"/>
      <c r="Y21" s="20">
        <v>86</v>
      </c>
      <c r="Z21" s="20"/>
      <c r="AA21" s="20">
        <v>90</v>
      </c>
      <c r="AB21" s="21"/>
      <c r="AC21" s="19">
        <v>78</v>
      </c>
      <c r="AD21" s="20"/>
      <c r="AE21" s="20">
        <v>85</v>
      </c>
      <c r="AF21" s="20"/>
      <c r="AG21" s="20">
        <v>86</v>
      </c>
      <c r="AH21" s="20"/>
      <c r="AI21" s="20">
        <v>89</v>
      </c>
      <c r="AJ21" s="3"/>
      <c r="AK21" s="44">
        <f t="shared" si="4"/>
        <v>85</v>
      </c>
      <c r="AL21" s="45">
        <f t="shared" si="5"/>
        <v>84</v>
      </c>
      <c r="AM21" s="46">
        <f t="shared" si="6"/>
        <v>84.25</v>
      </c>
      <c r="AN21" s="47">
        <f t="shared" si="7"/>
        <v>84.5</v>
      </c>
      <c r="AO21" s="48">
        <f t="shared" si="8"/>
        <v>84.4375</v>
      </c>
      <c r="AP21" s="37"/>
      <c r="AR21" s="54" t="str">
        <f t="shared" si="9"/>
        <v/>
      </c>
      <c r="AS21" s="20"/>
      <c r="AT21" s="56">
        <f t="shared" si="10"/>
        <v>0</v>
      </c>
      <c r="AU21" s="57" t="str">
        <f t="shared" si="11"/>
        <v/>
      </c>
      <c r="AV21" s="54" t="str">
        <f t="shared" si="12"/>
        <v/>
      </c>
      <c r="AW21" s="20"/>
      <c r="AX21" s="56">
        <f t="shared" si="13"/>
        <v>0</v>
      </c>
      <c r="AY21" s="60" t="str">
        <f t="shared" si="14"/>
        <v/>
      </c>
      <c r="AZ21" s="54" t="str">
        <f t="shared" si="15"/>
        <v/>
      </c>
      <c r="BA21" s="21"/>
      <c r="BB21" s="62">
        <f t="shared" si="16"/>
        <v>84.4375</v>
      </c>
      <c r="BC21" s="64" t="str">
        <f t="shared" si="17"/>
        <v/>
      </c>
      <c r="BE21" s="20">
        <f t="shared" si="18"/>
        <v>77</v>
      </c>
      <c r="BF21" s="20">
        <f t="shared" si="19"/>
        <v>84.75</v>
      </c>
      <c r="BG21" s="89">
        <f t="shared" si="20"/>
        <v>86.5</v>
      </c>
      <c r="BH21" s="20">
        <f t="shared" si="21"/>
        <v>89.5</v>
      </c>
      <c r="BI21" s="20">
        <f t="shared" si="22"/>
        <v>84.4375</v>
      </c>
    </row>
    <row r="22" spans="1:61" x14ac:dyDescent="0.2">
      <c r="A22" s="29">
        <v>20</v>
      </c>
      <c r="B22" s="88" t="s">
        <v>131</v>
      </c>
      <c r="C22" s="70" t="s">
        <v>69</v>
      </c>
      <c r="D22" s="70" t="s">
        <v>70</v>
      </c>
      <c r="E22" s="19">
        <v>76</v>
      </c>
      <c r="F22" s="20"/>
      <c r="G22" s="20">
        <v>79</v>
      </c>
      <c r="H22" s="20"/>
      <c r="I22" s="20">
        <v>80</v>
      </c>
      <c r="J22" s="20"/>
      <c r="K22" s="20">
        <v>85</v>
      </c>
      <c r="L22" s="21"/>
      <c r="M22" s="19">
        <v>77</v>
      </c>
      <c r="N22" s="20"/>
      <c r="O22" s="20">
        <v>80</v>
      </c>
      <c r="P22" s="20"/>
      <c r="Q22" s="20">
        <v>79</v>
      </c>
      <c r="R22" s="20"/>
      <c r="S22" s="20">
        <v>81</v>
      </c>
      <c r="T22" s="21"/>
      <c r="U22" s="19">
        <v>76</v>
      </c>
      <c r="V22" s="20"/>
      <c r="W22" s="20">
        <v>80</v>
      </c>
      <c r="X22" s="20"/>
      <c r="Y22" s="20">
        <v>79</v>
      </c>
      <c r="Z22" s="20"/>
      <c r="AA22" s="20">
        <v>80</v>
      </c>
      <c r="AB22" s="21"/>
      <c r="AC22" s="19">
        <v>75</v>
      </c>
      <c r="AD22" s="20"/>
      <c r="AE22" s="20">
        <v>79</v>
      </c>
      <c r="AF22" s="20"/>
      <c r="AG22" s="20">
        <v>84</v>
      </c>
      <c r="AH22" s="20"/>
      <c r="AI22" s="20">
        <v>83</v>
      </c>
      <c r="AJ22" s="3"/>
      <c r="AK22" s="44">
        <f t="shared" si="4"/>
        <v>80</v>
      </c>
      <c r="AL22" s="45">
        <f t="shared" si="5"/>
        <v>79.25</v>
      </c>
      <c r="AM22" s="46">
        <f t="shared" si="6"/>
        <v>78.75</v>
      </c>
      <c r="AN22" s="47">
        <f t="shared" si="7"/>
        <v>80.25</v>
      </c>
      <c r="AO22" s="48">
        <f t="shared" si="8"/>
        <v>79.5625</v>
      </c>
      <c r="AP22" s="37"/>
      <c r="AR22" s="54" t="str">
        <f t="shared" si="9"/>
        <v/>
      </c>
      <c r="AS22" s="20"/>
      <c r="AT22" s="56">
        <f t="shared" si="10"/>
        <v>0</v>
      </c>
      <c r="AU22" s="57" t="str">
        <f t="shared" si="11"/>
        <v/>
      </c>
      <c r="AV22" s="54" t="str">
        <f t="shared" si="12"/>
        <v/>
      </c>
      <c r="AW22" s="20"/>
      <c r="AX22" s="56">
        <f t="shared" si="13"/>
        <v>0</v>
      </c>
      <c r="AY22" s="60" t="str">
        <f t="shared" si="14"/>
        <v/>
      </c>
      <c r="AZ22" s="54" t="str">
        <f t="shared" si="15"/>
        <v/>
      </c>
      <c r="BA22" s="21"/>
      <c r="BB22" s="62">
        <f t="shared" si="16"/>
        <v>79.5625</v>
      </c>
      <c r="BC22" s="64" t="str">
        <f t="shared" si="17"/>
        <v/>
      </c>
      <c r="BE22" s="20">
        <f t="shared" si="18"/>
        <v>76</v>
      </c>
      <c r="BF22" s="20">
        <f t="shared" si="19"/>
        <v>79.5</v>
      </c>
      <c r="BG22" s="89">
        <f t="shared" si="20"/>
        <v>80.5</v>
      </c>
      <c r="BH22" s="20">
        <f t="shared" si="21"/>
        <v>82.25</v>
      </c>
      <c r="BI22" s="20">
        <f t="shared" si="22"/>
        <v>79.5625</v>
      </c>
    </row>
    <row r="23" spans="1:61" x14ac:dyDescent="0.2">
      <c r="A23" s="29">
        <v>21</v>
      </c>
      <c r="B23" s="88" t="s">
        <v>132</v>
      </c>
      <c r="C23" s="69" t="s">
        <v>71</v>
      </c>
      <c r="D23" s="69" t="s">
        <v>72</v>
      </c>
      <c r="E23" s="19">
        <v>60</v>
      </c>
      <c r="F23" s="19">
        <v>60</v>
      </c>
      <c r="G23" s="20"/>
      <c r="H23" s="20">
        <v>65</v>
      </c>
      <c r="I23" s="20"/>
      <c r="J23" s="20">
        <v>63</v>
      </c>
      <c r="K23" s="20"/>
      <c r="L23" s="20">
        <v>68</v>
      </c>
      <c r="M23" s="19">
        <v>60</v>
      </c>
      <c r="N23" s="19">
        <v>60</v>
      </c>
      <c r="O23" s="20"/>
      <c r="P23" s="20">
        <v>65</v>
      </c>
      <c r="Q23" s="20"/>
      <c r="R23" s="20">
        <v>63</v>
      </c>
      <c r="S23" s="20"/>
      <c r="T23" s="20">
        <v>68</v>
      </c>
      <c r="U23" s="19">
        <v>60</v>
      </c>
      <c r="V23" s="19">
        <v>60</v>
      </c>
      <c r="W23" s="20"/>
      <c r="X23" s="20">
        <v>65</v>
      </c>
      <c r="Y23" s="20"/>
      <c r="Z23" s="20">
        <v>63</v>
      </c>
      <c r="AA23" s="20"/>
      <c r="AB23" s="20">
        <v>68</v>
      </c>
      <c r="AC23" s="19">
        <v>60</v>
      </c>
      <c r="AD23" s="19">
        <v>60</v>
      </c>
      <c r="AE23" s="20"/>
      <c r="AF23" s="20">
        <v>65</v>
      </c>
      <c r="AG23" s="20"/>
      <c r="AH23" s="20">
        <v>63</v>
      </c>
      <c r="AI23" s="20"/>
      <c r="AJ23" s="20">
        <v>68</v>
      </c>
      <c r="AK23" s="44">
        <f t="shared" si="4"/>
        <v>64</v>
      </c>
      <c r="AL23" s="45">
        <f t="shared" si="5"/>
        <v>64</v>
      </c>
      <c r="AM23" s="46">
        <f t="shared" si="6"/>
        <v>64</v>
      </c>
      <c r="AN23" s="47">
        <f t="shared" si="7"/>
        <v>64</v>
      </c>
      <c r="AO23" s="48">
        <f t="shared" si="8"/>
        <v>64</v>
      </c>
      <c r="AP23" s="37"/>
      <c r="AR23" s="54">
        <f t="shared" si="9"/>
        <v>32</v>
      </c>
      <c r="AS23" s="20"/>
      <c r="AT23" s="56">
        <f t="shared" si="10"/>
        <v>0</v>
      </c>
      <c r="AU23" s="57" t="str">
        <f t="shared" si="11"/>
        <v/>
      </c>
      <c r="AV23" s="54" t="str">
        <f t="shared" si="12"/>
        <v/>
      </c>
      <c r="AW23" s="20"/>
      <c r="AX23" s="56">
        <f t="shared" si="13"/>
        <v>0</v>
      </c>
      <c r="AY23" s="60" t="str">
        <f t="shared" si="14"/>
        <v/>
      </c>
      <c r="AZ23" s="54" t="str">
        <f t="shared" si="15"/>
        <v/>
      </c>
      <c r="BA23" s="21"/>
      <c r="BB23" s="62" t="str">
        <f t="shared" si="16"/>
        <v/>
      </c>
      <c r="BC23" s="64">
        <f t="shared" si="17"/>
        <v>64</v>
      </c>
      <c r="BE23" s="20">
        <f t="shared" si="18"/>
        <v>60</v>
      </c>
      <c r="BF23" s="20">
        <f t="shared" si="19"/>
        <v>0</v>
      </c>
      <c r="BG23" s="89">
        <f t="shared" si="20"/>
        <v>0</v>
      </c>
      <c r="BH23" s="20">
        <f t="shared" si="21"/>
        <v>0</v>
      </c>
      <c r="BI23" s="20">
        <f t="shared" si="22"/>
        <v>15</v>
      </c>
    </row>
    <row r="24" spans="1:61" x14ac:dyDescent="0.2">
      <c r="A24" s="29">
        <v>22</v>
      </c>
      <c r="B24" s="88" t="s">
        <v>133</v>
      </c>
      <c r="C24" s="70" t="s">
        <v>73</v>
      </c>
      <c r="D24" s="70" t="s">
        <v>74</v>
      </c>
      <c r="E24" s="19">
        <v>67</v>
      </c>
      <c r="F24" s="19">
        <v>67</v>
      </c>
      <c r="G24" s="20"/>
      <c r="H24" s="20">
        <v>65</v>
      </c>
      <c r="I24" s="20"/>
      <c r="J24" s="20">
        <v>66</v>
      </c>
      <c r="K24" s="20"/>
      <c r="L24" s="20">
        <v>61</v>
      </c>
      <c r="M24" s="19">
        <v>67</v>
      </c>
      <c r="N24" s="19">
        <v>67</v>
      </c>
      <c r="O24" s="20"/>
      <c r="P24" s="20">
        <v>65</v>
      </c>
      <c r="Q24" s="20"/>
      <c r="R24" s="20">
        <v>66</v>
      </c>
      <c r="S24" s="20"/>
      <c r="T24" s="20">
        <v>61</v>
      </c>
      <c r="U24" s="19">
        <v>67</v>
      </c>
      <c r="V24" s="19">
        <v>67</v>
      </c>
      <c r="W24" s="20"/>
      <c r="X24" s="20">
        <v>65</v>
      </c>
      <c r="Y24" s="20"/>
      <c r="Z24" s="20">
        <v>66</v>
      </c>
      <c r="AA24" s="20"/>
      <c r="AB24" s="20">
        <v>61</v>
      </c>
      <c r="AC24" s="19">
        <v>67</v>
      </c>
      <c r="AD24" s="19">
        <v>67</v>
      </c>
      <c r="AE24" s="20"/>
      <c r="AF24" s="20">
        <v>65</v>
      </c>
      <c r="AG24" s="20"/>
      <c r="AH24" s="20">
        <v>66</v>
      </c>
      <c r="AI24" s="20"/>
      <c r="AJ24" s="20">
        <v>61</v>
      </c>
      <c r="AK24" s="44">
        <f t="shared" si="4"/>
        <v>64.75</v>
      </c>
      <c r="AL24" s="45">
        <f t="shared" si="5"/>
        <v>64.75</v>
      </c>
      <c r="AM24" s="46">
        <f t="shared" si="6"/>
        <v>64.75</v>
      </c>
      <c r="AN24" s="47">
        <f t="shared" si="7"/>
        <v>81.5</v>
      </c>
      <c r="AO24" s="48">
        <f t="shared" si="8"/>
        <v>68.9375</v>
      </c>
      <c r="AP24" s="37"/>
      <c r="AR24" s="54">
        <f t="shared" si="9"/>
        <v>34.46875</v>
      </c>
      <c r="AS24" s="20"/>
      <c r="AT24" s="56">
        <f t="shared" si="10"/>
        <v>0</v>
      </c>
      <c r="AU24" s="57" t="str">
        <f t="shared" si="11"/>
        <v/>
      </c>
      <c r="AV24" s="54" t="str">
        <f t="shared" si="12"/>
        <v/>
      </c>
      <c r="AW24" s="20"/>
      <c r="AX24" s="56">
        <f t="shared" si="13"/>
        <v>0</v>
      </c>
      <c r="AY24" s="60" t="str">
        <f t="shared" si="14"/>
        <v/>
      </c>
      <c r="AZ24" s="54" t="str">
        <f t="shared" si="15"/>
        <v/>
      </c>
      <c r="BA24" s="21"/>
      <c r="BB24" s="62" t="str">
        <f t="shared" si="16"/>
        <v/>
      </c>
      <c r="BC24" s="64">
        <f t="shared" si="17"/>
        <v>68.9375</v>
      </c>
      <c r="BE24" s="20">
        <f t="shared" si="18"/>
        <v>67</v>
      </c>
      <c r="BF24" s="20">
        <f t="shared" si="19"/>
        <v>0</v>
      </c>
      <c r="BG24" s="89">
        <f t="shared" si="20"/>
        <v>0</v>
      </c>
      <c r="BH24" s="20">
        <f t="shared" si="21"/>
        <v>0</v>
      </c>
      <c r="BI24" s="20">
        <f t="shared" si="22"/>
        <v>16.75</v>
      </c>
    </row>
    <row r="25" spans="1:61" x14ac:dyDescent="0.2">
      <c r="A25" s="29">
        <v>23</v>
      </c>
      <c r="B25" s="88" t="s">
        <v>134</v>
      </c>
      <c r="C25" s="69" t="s">
        <v>75</v>
      </c>
      <c r="D25" s="69" t="s">
        <v>76</v>
      </c>
      <c r="E25" s="19">
        <v>79</v>
      </c>
      <c r="F25" s="20"/>
      <c r="G25" s="20">
        <v>78</v>
      </c>
      <c r="H25" s="20"/>
      <c r="I25" s="20">
        <v>80</v>
      </c>
      <c r="J25" s="20"/>
      <c r="K25" s="20">
        <v>89</v>
      </c>
      <c r="L25" s="21"/>
      <c r="M25" s="19">
        <v>84</v>
      </c>
      <c r="N25" s="20"/>
      <c r="O25" s="20">
        <v>79</v>
      </c>
      <c r="P25" s="20"/>
      <c r="Q25" s="20">
        <v>84</v>
      </c>
      <c r="R25" s="20"/>
      <c r="S25" s="20">
        <v>88</v>
      </c>
      <c r="T25" s="21"/>
      <c r="U25" s="19">
        <v>80</v>
      </c>
      <c r="V25" s="20"/>
      <c r="W25" s="20">
        <v>79</v>
      </c>
      <c r="X25" s="20"/>
      <c r="Y25" s="20">
        <v>80</v>
      </c>
      <c r="Z25" s="20"/>
      <c r="AA25" s="20">
        <v>84</v>
      </c>
      <c r="AB25" s="21"/>
      <c r="AC25" s="19">
        <v>79</v>
      </c>
      <c r="AD25" s="20"/>
      <c r="AE25" s="20">
        <v>79</v>
      </c>
      <c r="AF25" s="20"/>
      <c r="AG25" s="20">
        <v>84</v>
      </c>
      <c r="AH25" s="20"/>
      <c r="AI25" s="20">
        <v>86</v>
      </c>
      <c r="AJ25" s="3"/>
      <c r="AK25" s="44">
        <f t="shared" si="4"/>
        <v>81.5</v>
      </c>
      <c r="AL25" s="45">
        <f t="shared" si="5"/>
        <v>83.75</v>
      </c>
      <c r="AM25" s="46">
        <f t="shared" si="6"/>
        <v>80.75</v>
      </c>
      <c r="AN25" s="47">
        <f t="shared" si="7"/>
        <v>82</v>
      </c>
      <c r="AO25" s="48">
        <f t="shared" si="8"/>
        <v>82</v>
      </c>
      <c r="AP25" s="37"/>
      <c r="AR25" s="54" t="str">
        <f t="shared" si="9"/>
        <v/>
      </c>
      <c r="AS25" s="20"/>
      <c r="AT25" s="56">
        <f t="shared" si="10"/>
        <v>0</v>
      </c>
      <c r="AU25" s="57" t="str">
        <f t="shared" si="11"/>
        <v/>
      </c>
      <c r="AV25" s="54" t="str">
        <f t="shared" si="12"/>
        <v/>
      </c>
      <c r="AW25" s="20"/>
      <c r="AX25" s="56">
        <f t="shared" si="13"/>
        <v>0</v>
      </c>
      <c r="AY25" s="60" t="str">
        <f t="shared" si="14"/>
        <v/>
      </c>
      <c r="AZ25" s="54" t="str">
        <f t="shared" si="15"/>
        <v/>
      </c>
      <c r="BA25" s="21"/>
      <c r="BB25" s="62">
        <f t="shared" si="16"/>
        <v>82</v>
      </c>
      <c r="BC25" s="64" t="str">
        <f t="shared" si="17"/>
        <v/>
      </c>
      <c r="BE25" s="20">
        <f t="shared" si="18"/>
        <v>80.5</v>
      </c>
      <c r="BF25" s="20">
        <f t="shared" si="19"/>
        <v>78.75</v>
      </c>
      <c r="BG25" s="89">
        <f t="shared" si="20"/>
        <v>82</v>
      </c>
      <c r="BH25" s="20">
        <f t="shared" si="21"/>
        <v>86.75</v>
      </c>
      <c r="BI25" s="20">
        <f t="shared" si="22"/>
        <v>82</v>
      </c>
    </row>
    <row r="26" spans="1:61" x14ac:dyDescent="0.2">
      <c r="A26" s="29">
        <v>24</v>
      </c>
      <c r="B26" s="88" t="s">
        <v>135</v>
      </c>
      <c r="C26" s="70" t="s">
        <v>77</v>
      </c>
      <c r="D26" s="70" t="s">
        <v>78</v>
      </c>
      <c r="E26" s="19">
        <v>75</v>
      </c>
      <c r="F26" s="20"/>
      <c r="G26" s="20">
        <v>76</v>
      </c>
      <c r="H26" s="20"/>
      <c r="I26" s="20">
        <v>77</v>
      </c>
      <c r="J26" s="20"/>
      <c r="K26" s="20">
        <v>78</v>
      </c>
      <c r="L26" s="21"/>
      <c r="M26" s="19">
        <v>76</v>
      </c>
      <c r="N26" s="20"/>
      <c r="O26" s="20">
        <v>78</v>
      </c>
      <c r="P26" s="20"/>
      <c r="Q26" s="20">
        <v>77</v>
      </c>
      <c r="R26" s="20"/>
      <c r="S26" s="20">
        <v>76</v>
      </c>
      <c r="T26" s="21"/>
      <c r="U26" s="19">
        <v>73</v>
      </c>
      <c r="V26" s="20"/>
      <c r="W26" s="20">
        <v>76</v>
      </c>
      <c r="X26" s="20"/>
      <c r="Y26" s="20">
        <v>77</v>
      </c>
      <c r="Z26" s="20"/>
      <c r="AA26" s="20">
        <v>78</v>
      </c>
      <c r="AB26" s="21"/>
      <c r="AC26" s="19">
        <v>74</v>
      </c>
      <c r="AD26" s="20"/>
      <c r="AE26" s="20">
        <v>76</v>
      </c>
      <c r="AF26" s="20"/>
      <c r="AG26" s="20">
        <v>77</v>
      </c>
      <c r="AH26" s="20"/>
      <c r="AI26" s="20">
        <v>73</v>
      </c>
      <c r="AJ26" s="3"/>
      <c r="AK26" s="44">
        <f t="shared" si="4"/>
        <v>76.5</v>
      </c>
      <c r="AL26" s="45">
        <f t="shared" si="5"/>
        <v>76.75</v>
      </c>
      <c r="AM26" s="46">
        <f t="shared" si="6"/>
        <v>76</v>
      </c>
      <c r="AN26" s="47">
        <f t="shared" si="7"/>
        <v>75</v>
      </c>
      <c r="AO26" s="48">
        <f t="shared" si="8"/>
        <v>76.0625</v>
      </c>
      <c r="AP26" s="37"/>
      <c r="AR26" s="54" t="str">
        <f t="shared" si="9"/>
        <v/>
      </c>
      <c r="AS26" s="20"/>
      <c r="AT26" s="56">
        <f t="shared" si="10"/>
        <v>0</v>
      </c>
      <c r="AU26" s="57" t="str">
        <f t="shared" si="11"/>
        <v/>
      </c>
      <c r="AV26" s="54" t="str">
        <f t="shared" si="12"/>
        <v/>
      </c>
      <c r="AW26" s="20"/>
      <c r="AX26" s="56">
        <f t="shared" si="13"/>
        <v>0</v>
      </c>
      <c r="AY26" s="60" t="str">
        <f t="shared" si="14"/>
        <v/>
      </c>
      <c r="AZ26" s="54" t="str">
        <f t="shared" si="15"/>
        <v/>
      </c>
      <c r="BA26" s="21"/>
      <c r="BB26" s="62">
        <f t="shared" si="16"/>
        <v>76.0625</v>
      </c>
      <c r="BC26" s="64" t="str">
        <f t="shared" si="17"/>
        <v/>
      </c>
      <c r="BE26" s="20">
        <f t="shared" si="18"/>
        <v>74.5</v>
      </c>
      <c r="BF26" s="20">
        <f t="shared" si="19"/>
        <v>76.5</v>
      </c>
      <c r="BG26" s="89">
        <f t="shared" si="20"/>
        <v>77</v>
      </c>
      <c r="BH26" s="20">
        <f t="shared" si="21"/>
        <v>76.25</v>
      </c>
      <c r="BI26" s="20">
        <f t="shared" si="22"/>
        <v>76.0625</v>
      </c>
    </row>
    <row r="27" spans="1:61" x14ac:dyDescent="0.2">
      <c r="A27" s="29">
        <v>25</v>
      </c>
      <c r="B27" s="88" t="s">
        <v>136</v>
      </c>
      <c r="C27" s="69" t="s">
        <v>79</v>
      </c>
      <c r="D27" s="69" t="s">
        <v>80</v>
      </c>
      <c r="E27" s="19">
        <v>0</v>
      </c>
      <c r="F27" s="19">
        <v>60</v>
      </c>
      <c r="G27" s="20"/>
      <c r="H27" s="20">
        <v>65</v>
      </c>
      <c r="I27" s="20"/>
      <c r="J27" s="20">
        <v>63</v>
      </c>
      <c r="K27" s="20"/>
      <c r="L27" s="20">
        <v>68</v>
      </c>
      <c r="M27" s="19">
        <v>0</v>
      </c>
      <c r="N27" s="19">
        <v>60</v>
      </c>
      <c r="O27" s="20"/>
      <c r="P27" s="20">
        <v>65</v>
      </c>
      <c r="Q27" s="20"/>
      <c r="R27" s="20">
        <v>63</v>
      </c>
      <c r="S27" s="20"/>
      <c r="T27" s="20">
        <v>68</v>
      </c>
      <c r="U27" s="19">
        <v>0</v>
      </c>
      <c r="V27" s="19">
        <v>60</v>
      </c>
      <c r="W27" s="20"/>
      <c r="X27" s="20">
        <v>65</v>
      </c>
      <c r="Y27" s="20"/>
      <c r="Z27" s="20">
        <v>63</v>
      </c>
      <c r="AA27" s="20"/>
      <c r="AB27" s="20">
        <v>68</v>
      </c>
      <c r="AC27" s="19">
        <v>0</v>
      </c>
      <c r="AD27" s="19">
        <v>60</v>
      </c>
      <c r="AE27" s="20"/>
      <c r="AF27" s="20">
        <v>65</v>
      </c>
      <c r="AG27" s="20"/>
      <c r="AH27" s="20">
        <v>63</v>
      </c>
      <c r="AI27" s="20"/>
      <c r="AJ27" s="20">
        <v>68</v>
      </c>
      <c r="AK27" s="44">
        <f t="shared" si="4"/>
        <v>64</v>
      </c>
      <c r="AL27" s="45">
        <f t="shared" si="5"/>
        <v>64</v>
      </c>
      <c r="AM27" s="46">
        <f t="shared" si="6"/>
        <v>64</v>
      </c>
      <c r="AN27" s="47">
        <f t="shared" si="7"/>
        <v>64</v>
      </c>
      <c r="AO27" s="48">
        <f t="shared" si="8"/>
        <v>64</v>
      </c>
      <c r="AP27" s="37"/>
      <c r="AR27" s="54">
        <f t="shared" si="9"/>
        <v>32</v>
      </c>
      <c r="AS27" s="20"/>
      <c r="AT27" s="56">
        <f t="shared" si="10"/>
        <v>0</v>
      </c>
      <c r="AU27" s="57" t="str">
        <f t="shared" si="11"/>
        <v/>
      </c>
      <c r="AV27" s="54" t="str">
        <f t="shared" si="12"/>
        <v/>
      </c>
      <c r="AW27" s="20"/>
      <c r="AX27" s="56">
        <f t="shared" si="13"/>
        <v>0</v>
      </c>
      <c r="AY27" s="60" t="str">
        <f t="shared" si="14"/>
        <v/>
      </c>
      <c r="AZ27" s="54" t="str">
        <f t="shared" si="15"/>
        <v/>
      </c>
      <c r="BA27" s="21"/>
      <c r="BB27" s="62" t="str">
        <f t="shared" si="16"/>
        <v/>
      </c>
      <c r="BC27" s="64">
        <f t="shared" si="17"/>
        <v>64</v>
      </c>
      <c r="BE27" s="20">
        <f t="shared" si="18"/>
        <v>0</v>
      </c>
      <c r="BF27" s="20">
        <f t="shared" si="19"/>
        <v>0</v>
      </c>
      <c r="BG27" s="89">
        <f t="shared" si="20"/>
        <v>0</v>
      </c>
      <c r="BH27" s="20">
        <f t="shared" si="21"/>
        <v>0</v>
      </c>
      <c r="BI27" s="20">
        <f t="shared" si="22"/>
        <v>0</v>
      </c>
    </row>
    <row r="28" spans="1:61" x14ac:dyDescent="0.2">
      <c r="A28" s="29">
        <v>26</v>
      </c>
      <c r="B28" s="88" t="s">
        <v>137</v>
      </c>
      <c r="C28" s="70" t="s">
        <v>81</v>
      </c>
      <c r="D28" s="70" t="s">
        <v>82</v>
      </c>
      <c r="E28" s="19">
        <v>89</v>
      </c>
      <c r="F28" s="20"/>
      <c r="G28" s="20">
        <v>95</v>
      </c>
      <c r="H28" s="20"/>
      <c r="I28" s="20">
        <v>97</v>
      </c>
      <c r="J28" s="20"/>
      <c r="K28" s="20">
        <v>96</v>
      </c>
      <c r="L28" s="21"/>
      <c r="M28" s="19">
        <v>90</v>
      </c>
      <c r="N28" s="20"/>
      <c r="O28" s="20">
        <v>94</v>
      </c>
      <c r="P28" s="20"/>
      <c r="Q28" s="20">
        <v>95</v>
      </c>
      <c r="R28" s="20"/>
      <c r="S28" s="20">
        <v>96</v>
      </c>
      <c r="T28" s="21"/>
      <c r="U28" s="19">
        <v>95</v>
      </c>
      <c r="V28" s="20"/>
      <c r="W28" s="20">
        <v>94</v>
      </c>
      <c r="X28" s="20"/>
      <c r="Y28" s="20">
        <v>94</v>
      </c>
      <c r="Z28" s="20"/>
      <c r="AA28" s="20">
        <v>96</v>
      </c>
      <c r="AB28" s="21"/>
      <c r="AC28" s="19">
        <v>94</v>
      </c>
      <c r="AD28" s="20"/>
      <c r="AE28" s="20">
        <v>96</v>
      </c>
      <c r="AF28" s="20"/>
      <c r="AG28" s="20">
        <v>96</v>
      </c>
      <c r="AH28" s="20"/>
      <c r="AI28" s="20">
        <v>97</v>
      </c>
      <c r="AJ28" s="3"/>
      <c r="AK28" s="44">
        <f t="shared" si="4"/>
        <v>94.25</v>
      </c>
      <c r="AL28" s="45">
        <f t="shared" si="5"/>
        <v>93.75</v>
      </c>
      <c r="AM28" s="46">
        <f t="shared" si="6"/>
        <v>94.75</v>
      </c>
      <c r="AN28" s="47">
        <f t="shared" si="7"/>
        <v>95.75</v>
      </c>
      <c r="AO28" s="48">
        <f t="shared" si="8"/>
        <v>94.625</v>
      </c>
      <c r="AP28" s="37"/>
      <c r="AR28" s="54" t="str">
        <f t="shared" si="9"/>
        <v/>
      </c>
      <c r="AS28" s="20"/>
      <c r="AT28" s="56">
        <f t="shared" si="10"/>
        <v>0</v>
      </c>
      <c r="AU28" s="57" t="str">
        <f t="shared" si="11"/>
        <v/>
      </c>
      <c r="AV28" s="54" t="str">
        <f t="shared" si="12"/>
        <v/>
      </c>
      <c r="AW28" s="20"/>
      <c r="AX28" s="56">
        <f t="shared" si="13"/>
        <v>0</v>
      </c>
      <c r="AY28" s="60" t="str">
        <f t="shared" si="14"/>
        <v/>
      </c>
      <c r="AZ28" s="54" t="str">
        <f t="shared" si="15"/>
        <v/>
      </c>
      <c r="BA28" s="21"/>
      <c r="BB28" s="62">
        <f t="shared" si="16"/>
        <v>94.625</v>
      </c>
      <c r="BC28" s="64" t="str">
        <f t="shared" si="17"/>
        <v/>
      </c>
      <c r="BE28" s="20">
        <f t="shared" si="18"/>
        <v>92</v>
      </c>
      <c r="BF28" s="20">
        <f t="shared" si="19"/>
        <v>94.75</v>
      </c>
      <c r="BG28" s="89">
        <f t="shared" si="20"/>
        <v>95.5</v>
      </c>
      <c r="BH28" s="20">
        <f t="shared" si="21"/>
        <v>96.25</v>
      </c>
      <c r="BI28" s="20">
        <f t="shared" si="22"/>
        <v>94.625</v>
      </c>
    </row>
    <row r="29" spans="1:61" x14ac:dyDescent="0.2">
      <c r="A29" s="29">
        <v>27</v>
      </c>
      <c r="B29" s="88" t="s">
        <v>138</v>
      </c>
      <c r="C29" s="69" t="s">
        <v>83</v>
      </c>
      <c r="D29" s="69" t="s">
        <v>84</v>
      </c>
      <c r="E29" s="19">
        <v>85</v>
      </c>
      <c r="F29" s="20"/>
      <c r="G29" s="20">
        <v>86</v>
      </c>
      <c r="H29" s="20"/>
      <c r="I29" s="20">
        <v>89</v>
      </c>
      <c r="J29" s="20"/>
      <c r="K29" s="20">
        <v>88</v>
      </c>
      <c r="L29" s="21"/>
      <c r="M29" s="19">
        <v>80</v>
      </c>
      <c r="N29" s="20"/>
      <c r="O29" s="20">
        <v>87</v>
      </c>
      <c r="P29" s="20"/>
      <c r="Q29" s="20">
        <v>88</v>
      </c>
      <c r="R29" s="20"/>
      <c r="S29" s="20">
        <v>89</v>
      </c>
      <c r="T29" s="21"/>
      <c r="U29" s="19">
        <v>89</v>
      </c>
      <c r="V29" s="20"/>
      <c r="W29" s="20">
        <v>88</v>
      </c>
      <c r="X29" s="20"/>
      <c r="Y29" s="20">
        <v>90</v>
      </c>
      <c r="Z29" s="20"/>
      <c r="AA29" s="20">
        <v>85</v>
      </c>
      <c r="AB29" s="21"/>
      <c r="AC29" s="19">
        <v>84</v>
      </c>
      <c r="AD29" s="20"/>
      <c r="AE29" s="20">
        <v>87</v>
      </c>
      <c r="AF29" s="20"/>
      <c r="AG29" s="20">
        <v>89</v>
      </c>
      <c r="AH29" s="20"/>
      <c r="AI29" s="20">
        <v>90</v>
      </c>
      <c r="AJ29" s="3"/>
      <c r="AK29" s="44">
        <f t="shared" si="4"/>
        <v>87</v>
      </c>
      <c r="AL29" s="45">
        <f t="shared" si="5"/>
        <v>86</v>
      </c>
      <c r="AM29" s="46">
        <f t="shared" si="6"/>
        <v>88</v>
      </c>
      <c r="AN29" s="47">
        <f t="shared" si="7"/>
        <v>87.5</v>
      </c>
      <c r="AO29" s="48">
        <f t="shared" si="8"/>
        <v>87.125</v>
      </c>
      <c r="AP29" s="37"/>
      <c r="AR29" s="54" t="str">
        <f t="shared" si="9"/>
        <v/>
      </c>
      <c r="AS29" s="20"/>
      <c r="AT29" s="56">
        <f t="shared" si="10"/>
        <v>0</v>
      </c>
      <c r="AU29" s="57" t="str">
        <f t="shared" si="11"/>
        <v/>
      </c>
      <c r="AV29" s="54" t="str">
        <f t="shared" si="12"/>
        <v/>
      </c>
      <c r="AW29" s="20"/>
      <c r="AX29" s="56">
        <f t="shared" si="13"/>
        <v>0</v>
      </c>
      <c r="AY29" s="60" t="str">
        <f t="shared" si="14"/>
        <v/>
      </c>
      <c r="AZ29" s="54" t="str">
        <f t="shared" si="15"/>
        <v/>
      </c>
      <c r="BA29" s="21"/>
      <c r="BB29" s="62">
        <f t="shared" si="16"/>
        <v>87.125</v>
      </c>
      <c r="BC29" s="64" t="str">
        <f t="shared" si="17"/>
        <v/>
      </c>
      <c r="BE29" s="20">
        <f t="shared" si="18"/>
        <v>84.5</v>
      </c>
      <c r="BF29" s="20">
        <f t="shared" si="19"/>
        <v>87</v>
      </c>
      <c r="BG29" s="89">
        <f t="shared" si="20"/>
        <v>89</v>
      </c>
      <c r="BH29" s="20">
        <f t="shared" si="21"/>
        <v>88</v>
      </c>
      <c r="BI29" s="20">
        <f t="shared" si="22"/>
        <v>87.125</v>
      </c>
    </row>
    <row r="30" spans="1:61" x14ac:dyDescent="0.2">
      <c r="A30" s="29">
        <v>28</v>
      </c>
      <c r="B30" s="88" t="s">
        <v>139</v>
      </c>
      <c r="C30" s="70" t="s">
        <v>85</v>
      </c>
      <c r="D30" s="70" t="s">
        <v>86</v>
      </c>
      <c r="E30" s="19">
        <v>88</v>
      </c>
      <c r="F30" s="20"/>
      <c r="G30" s="20">
        <v>89</v>
      </c>
      <c r="H30" s="20"/>
      <c r="I30" s="20">
        <v>90</v>
      </c>
      <c r="J30" s="20"/>
      <c r="K30" s="20">
        <v>94</v>
      </c>
      <c r="L30" s="21"/>
      <c r="M30" s="19">
        <v>89</v>
      </c>
      <c r="N30" s="20"/>
      <c r="O30" s="20">
        <v>88</v>
      </c>
      <c r="P30" s="20"/>
      <c r="Q30" s="20">
        <v>90</v>
      </c>
      <c r="R30" s="20"/>
      <c r="S30" s="20">
        <v>90</v>
      </c>
      <c r="T30" s="21"/>
      <c r="U30" s="19">
        <v>90</v>
      </c>
      <c r="V30" s="20"/>
      <c r="W30" s="20">
        <v>89</v>
      </c>
      <c r="X30" s="20"/>
      <c r="Y30" s="20">
        <v>88</v>
      </c>
      <c r="Z30" s="20"/>
      <c r="AA30" s="20">
        <v>90</v>
      </c>
      <c r="AB30" s="21"/>
      <c r="AC30" s="19">
        <v>89</v>
      </c>
      <c r="AD30" s="20"/>
      <c r="AE30" s="20">
        <v>94</v>
      </c>
      <c r="AF30" s="20"/>
      <c r="AG30" s="20">
        <v>93</v>
      </c>
      <c r="AH30" s="20"/>
      <c r="AI30" s="20">
        <v>95</v>
      </c>
      <c r="AJ30" s="3"/>
      <c r="AK30" s="44">
        <f t="shared" si="4"/>
        <v>90.25</v>
      </c>
      <c r="AL30" s="45">
        <f t="shared" si="5"/>
        <v>89.25</v>
      </c>
      <c r="AM30" s="46">
        <f t="shared" si="6"/>
        <v>89.25</v>
      </c>
      <c r="AN30" s="47">
        <f t="shared" si="7"/>
        <v>92.75</v>
      </c>
      <c r="AO30" s="48">
        <f t="shared" si="8"/>
        <v>90.375</v>
      </c>
      <c r="AP30" s="37"/>
      <c r="AR30" s="54" t="str">
        <f t="shared" si="9"/>
        <v/>
      </c>
      <c r="AS30" s="20"/>
      <c r="AT30" s="56">
        <f t="shared" si="10"/>
        <v>0</v>
      </c>
      <c r="AU30" s="57" t="str">
        <f t="shared" si="11"/>
        <v/>
      </c>
      <c r="AV30" s="54" t="str">
        <f t="shared" si="12"/>
        <v/>
      </c>
      <c r="AW30" s="20"/>
      <c r="AX30" s="56">
        <f t="shared" si="13"/>
        <v>0</v>
      </c>
      <c r="AY30" s="60" t="str">
        <f t="shared" si="14"/>
        <v/>
      </c>
      <c r="AZ30" s="54" t="str">
        <f t="shared" si="15"/>
        <v/>
      </c>
      <c r="BA30" s="21"/>
      <c r="BB30" s="62">
        <f t="shared" si="16"/>
        <v>90.375</v>
      </c>
      <c r="BC30" s="64" t="str">
        <f t="shared" si="17"/>
        <v/>
      </c>
      <c r="BE30" s="20">
        <f t="shared" si="18"/>
        <v>89</v>
      </c>
      <c r="BF30" s="20">
        <f t="shared" si="19"/>
        <v>90</v>
      </c>
      <c r="BG30" s="89">
        <f t="shared" si="20"/>
        <v>90.25</v>
      </c>
      <c r="BH30" s="20">
        <f t="shared" si="21"/>
        <v>92.25</v>
      </c>
      <c r="BI30" s="20">
        <f t="shared" si="22"/>
        <v>90.375</v>
      </c>
    </row>
    <row r="31" spans="1:61" x14ac:dyDescent="0.2">
      <c r="A31" s="29">
        <v>29</v>
      </c>
      <c r="B31" s="88" t="s">
        <v>140</v>
      </c>
      <c r="C31" s="69" t="s">
        <v>87</v>
      </c>
      <c r="D31" s="69" t="s">
        <v>88</v>
      </c>
      <c r="E31" s="19">
        <v>0</v>
      </c>
      <c r="F31" s="20"/>
      <c r="G31" s="20">
        <v>0</v>
      </c>
      <c r="H31" s="20"/>
      <c r="I31" s="20">
        <v>0</v>
      </c>
      <c r="J31" s="20"/>
      <c r="K31" s="20">
        <v>0</v>
      </c>
      <c r="L31" s="21"/>
      <c r="M31" s="19">
        <v>0</v>
      </c>
      <c r="N31" s="20"/>
      <c r="O31" s="20">
        <v>0</v>
      </c>
      <c r="P31" s="20"/>
      <c r="Q31" s="20">
        <v>0</v>
      </c>
      <c r="R31" s="20"/>
      <c r="S31" s="20">
        <v>0</v>
      </c>
      <c r="T31" s="21"/>
      <c r="U31" s="19">
        <v>0</v>
      </c>
      <c r="V31" s="20"/>
      <c r="W31" s="20">
        <v>0</v>
      </c>
      <c r="X31" s="20"/>
      <c r="Y31" s="20">
        <v>0</v>
      </c>
      <c r="Z31" s="20"/>
      <c r="AA31" s="20">
        <v>0</v>
      </c>
      <c r="AB31" s="21"/>
      <c r="AC31" s="19">
        <v>0</v>
      </c>
      <c r="AD31" s="20"/>
      <c r="AE31" s="20">
        <v>0</v>
      </c>
      <c r="AF31" s="20"/>
      <c r="AG31" s="20">
        <v>0</v>
      </c>
      <c r="AH31" s="20"/>
      <c r="AI31" s="20">
        <v>0</v>
      </c>
      <c r="AJ31" s="3"/>
      <c r="AK31" s="44">
        <f t="shared" si="4"/>
        <v>0</v>
      </c>
      <c r="AL31" s="45">
        <f t="shared" si="5"/>
        <v>0</v>
      </c>
      <c r="AM31" s="46">
        <f t="shared" si="6"/>
        <v>0</v>
      </c>
      <c r="AN31" s="47">
        <f t="shared" si="7"/>
        <v>0</v>
      </c>
      <c r="AO31" s="48">
        <f t="shared" si="8"/>
        <v>0</v>
      </c>
      <c r="AP31" s="37"/>
      <c r="AR31" s="54">
        <f t="shared" si="9"/>
        <v>0</v>
      </c>
      <c r="AS31" s="20"/>
      <c r="AT31" s="56">
        <f t="shared" si="10"/>
        <v>0</v>
      </c>
      <c r="AU31" s="57" t="str">
        <f t="shared" si="11"/>
        <v/>
      </c>
      <c r="AV31" s="54" t="str">
        <f t="shared" si="12"/>
        <v/>
      </c>
      <c r="AW31" s="20"/>
      <c r="AX31" s="56">
        <f t="shared" si="13"/>
        <v>0</v>
      </c>
      <c r="AY31" s="60" t="str">
        <f t="shared" si="14"/>
        <v/>
      </c>
      <c r="AZ31" s="54" t="str">
        <f t="shared" si="15"/>
        <v/>
      </c>
      <c r="BA31" s="21"/>
      <c r="BB31" s="62" t="str">
        <f t="shared" si="16"/>
        <v/>
      </c>
      <c r="BC31" s="64">
        <f t="shared" si="17"/>
        <v>0</v>
      </c>
      <c r="BE31" s="20">
        <f t="shared" si="18"/>
        <v>0</v>
      </c>
      <c r="BF31" s="20">
        <f t="shared" si="19"/>
        <v>0</v>
      </c>
      <c r="BG31" s="89">
        <f t="shared" si="20"/>
        <v>0</v>
      </c>
      <c r="BH31" s="20">
        <f t="shared" si="21"/>
        <v>0</v>
      </c>
      <c r="BI31" s="20">
        <f t="shared" si="22"/>
        <v>0</v>
      </c>
    </row>
    <row r="32" spans="1:61" x14ac:dyDescent="0.2">
      <c r="A32" s="29">
        <v>30</v>
      </c>
      <c r="B32" s="88" t="s">
        <v>141</v>
      </c>
      <c r="C32" s="70" t="s">
        <v>89</v>
      </c>
      <c r="D32" s="70" t="s">
        <v>90</v>
      </c>
      <c r="E32" s="19">
        <v>75</v>
      </c>
      <c r="F32" s="20"/>
      <c r="G32" s="20">
        <v>76</v>
      </c>
      <c r="H32" s="20"/>
      <c r="I32" s="20">
        <v>74</v>
      </c>
      <c r="J32" s="20"/>
      <c r="K32" s="20">
        <v>75</v>
      </c>
      <c r="L32" s="21"/>
      <c r="M32" s="19">
        <v>74</v>
      </c>
      <c r="N32" s="20"/>
      <c r="O32" s="20">
        <v>73</v>
      </c>
      <c r="P32" s="20"/>
      <c r="Q32" s="20">
        <v>74</v>
      </c>
      <c r="R32" s="20"/>
      <c r="S32" s="20">
        <v>73</v>
      </c>
      <c r="T32" s="21"/>
      <c r="U32" s="19">
        <v>73</v>
      </c>
      <c r="V32" s="20"/>
      <c r="W32" s="20">
        <v>74</v>
      </c>
      <c r="X32" s="20"/>
      <c r="Y32" s="20">
        <v>75</v>
      </c>
      <c r="Z32" s="20"/>
      <c r="AA32" s="20">
        <v>73</v>
      </c>
      <c r="AB32" s="21"/>
      <c r="AC32" s="19">
        <v>74</v>
      </c>
      <c r="AD32" s="20"/>
      <c r="AE32" s="20">
        <v>75</v>
      </c>
      <c r="AF32" s="20"/>
      <c r="AG32" s="20">
        <v>74</v>
      </c>
      <c r="AH32" s="20"/>
      <c r="AI32" s="20">
        <v>75</v>
      </c>
      <c r="AJ32" s="3"/>
      <c r="AK32" s="44">
        <f t="shared" si="4"/>
        <v>75</v>
      </c>
      <c r="AL32" s="45">
        <f t="shared" si="5"/>
        <v>73.5</v>
      </c>
      <c r="AM32" s="46">
        <f t="shared" si="6"/>
        <v>73.75</v>
      </c>
      <c r="AN32" s="47">
        <f t="shared" si="7"/>
        <v>74.5</v>
      </c>
      <c r="AO32" s="48">
        <f t="shared" si="8"/>
        <v>74.1875</v>
      </c>
      <c r="AP32" s="37"/>
      <c r="AR32" s="54" t="str">
        <f t="shared" si="9"/>
        <v/>
      </c>
      <c r="AS32" s="20"/>
      <c r="AT32" s="56">
        <f t="shared" si="10"/>
        <v>0</v>
      </c>
      <c r="AU32" s="57" t="str">
        <f t="shared" si="11"/>
        <v/>
      </c>
      <c r="AV32" s="54" t="str">
        <f t="shared" si="12"/>
        <v/>
      </c>
      <c r="AW32" s="20"/>
      <c r="AX32" s="56">
        <f t="shared" si="13"/>
        <v>0</v>
      </c>
      <c r="AY32" s="60" t="str">
        <f t="shared" si="14"/>
        <v/>
      </c>
      <c r="AZ32" s="54" t="str">
        <f t="shared" si="15"/>
        <v/>
      </c>
      <c r="BA32" s="21"/>
      <c r="BB32" s="62">
        <f t="shared" si="16"/>
        <v>74.1875</v>
      </c>
      <c r="BC32" s="64" t="str">
        <f t="shared" si="17"/>
        <v/>
      </c>
      <c r="BE32" s="20">
        <f t="shared" si="18"/>
        <v>74</v>
      </c>
      <c r="BF32" s="20">
        <f t="shared" si="19"/>
        <v>74.5</v>
      </c>
      <c r="BG32" s="89">
        <f t="shared" si="20"/>
        <v>74.25</v>
      </c>
      <c r="BH32" s="20">
        <f t="shared" si="21"/>
        <v>74</v>
      </c>
      <c r="BI32" s="20">
        <f t="shared" si="22"/>
        <v>74.1875</v>
      </c>
    </row>
    <row r="33" spans="1:61" x14ac:dyDescent="0.2">
      <c r="A33" s="29">
        <v>31</v>
      </c>
      <c r="B33" s="88" t="s">
        <v>142</v>
      </c>
      <c r="C33" s="69" t="s">
        <v>91</v>
      </c>
      <c r="D33" s="69" t="s">
        <v>92</v>
      </c>
      <c r="E33" s="19">
        <v>79</v>
      </c>
      <c r="F33" s="20"/>
      <c r="G33" s="20">
        <v>80</v>
      </c>
      <c r="H33" s="20"/>
      <c r="I33" s="20">
        <v>76</v>
      </c>
      <c r="J33" s="20"/>
      <c r="K33" s="20">
        <v>75</v>
      </c>
      <c r="L33" s="21"/>
      <c r="M33" s="19">
        <v>79</v>
      </c>
      <c r="N33" s="20"/>
      <c r="O33" s="20">
        <v>78</v>
      </c>
      <c r="P33" s="20"/>
      <c r="Q33" s="20">
        <v>80</v>
      </c>
      <c r="R33" s="20"/>
      <c r="S33" s="20">
        <v>75</v>
      </c>
      <c r="T33" s="21"/>
      <c r="U33" s="19">
        <v>79</v>
      </c>
      <c r="V33" s="20"/>
      <c r="W33" s="20">
        <v>80</v>
      </c>
      <c r="X33" s="20"/>
      <c r="Y33" s="20">
        <v>83</v>
      </c>
      <c r="Z33" s="20"/>
      <c r="AA33" s="20">
        <v>76</v>
      </c>
      <c r="AB33" s="21"/>
      <c r="AC33" s="19">
        <v>80</v>
      </c>
      <c r="AD33" s="20"/>
      <c r="AE33" s="20">
        <v>84</v>
      </c>
      <c r="AF33" s="20"/>
      <c r="AG33" s="20">
        <v>83</v>
      </c>
      <c r="AH33" s="20"/>
      <c r="AI33" s="20">
        <v>76</v>
      </c>
      <c r="AJ33" s="3"/>
      <c r="AK33" s="44">
        <f t="shared" si="4"/>
        <v>77.5</v>
      </c>
      <c r="AL33" s="45">
        <f t="shared" si="5"/>
        <v>78</v>
      </c>
      <c r="AM33" s="46">
        <f t="shared" si="6"/>
        <v>79.5</v>
      </c>
      <c r="AN33" s="47">
        <f t="shared" si="7"/>
        <v>80.75</v>
      </c>
      <c r="AO33" s="48">
        <f t="shared" si="8"/>
        <v>78.9375</v>
      </c>
      <c r="AP33" s="37"/>
      <c r="AR33" s="54" t="str">
        <f t="shared" si="9"/>
        <v/>
      </c>
      <c r="AS33" s="20"/>
      <c r="AT33" s="56">
        <f t="shared" si="10"/>
        <v>0</v>
      </c>
      <c r="AU33" s="57" t="str">
        <f t="shared" si="11"/>
        <v/>
      </c>
      <c r="AV33" s="54" t="str">
        <f t="shared" si="12"/>
        <v/>
      </c>
      <c r="AW33" s="20"/>
      <c r="AX33" s="56">
        <f t="shared" si="13"/>
        <v>0</v>
      </c>
      <c r="AY33" s="60" t="str">
        <f t="shared" si="14"/>
        <v/>
      </c>
      <c r="AZ33" s="54" t="str">
        <f t="shared" si="15"/>
        <v/>
      </c>
      <c r="BA33" s="21"/>
      <c r="BB33" s="62">
        <f t="shared" si="16"/>
        <v>78.9375</v>
      </c>
      <c r="BC33" s="64" t="str">
        <f t="shared" si="17"/>
        <v/>
      </c>
      <c r="BE33" s="20">
        <f t="shared" si="18"/>
        <v>79.25</v>
      </c>
      <c r="BF33" s="20">
        <f t="shared" si="19"/>
        <v>80.5</v>
      </c>
      <c r="BG33" s="89">
        <f t="shared" si="20"/>
        <v>80.5</v>
      </c>
      <c r="BH33" s="20">
        <f t="shared" si="21"/>
        <v>75.5</v>
      </c>
      <c r="BI33" s="20">
        <f t="shared" si="22"/>
        <v>78.9375</v>
      </c>
    </row>
    <row r="34" spans="1:61" x14ac:dyDescent="0.2">
      <c r="A34" s="29">
        <v>32</v>
      </c>
      <c r="B34" s="88" t="s">
        <v>143</v>
      </c>
      <c r="C34" s="70" t="s">
        <v>93</v>
      </c>
      <c r="D34" s="70" t="s">
        <v>94</v>
      </c>
      <c r="E34" s="19">
        <v>79</v>
      </c>
      <c r="F34" s="20"/>
      <c r="G34" s="20">
        <v>80</v>
      </c>
      <c r="H34" s="20"/>
      <c r="I34" s="20">
        <v>75</v>
      </c>
      <c r="J34" s="20"/>
      <c r="K34" s="20">
        <v>76</v>
      </c>
      <c r="L34" s="21"/>
      <c r="M34" s="19">
        <v>75</v>
      </c>
      <c r="N34" s="20"/>
      <c r="O34" s="20">
        <v>76</v>
      </c>
      <c r="P34" s="20"/>
      <c r="Q34" s="20">
        <v>77</v>
      </c>
      <c r="R34" s="20"/>
      <c r="S34" s="20">
        <v>75</v>
      </c>
      <c r="T34" s="21"/>
      <c r="U34" s="19">
        <v>80</v>
      </c>
      <c r="V34" s="20"/>
      <c r="W34" s="20">
        <v>73</v>
      </c>
      <c r="X34" s="20"/>
      <c r="Y34" s="20">
        <v>79</v>
      </c>
      <c r="Z34" s="20"/>
      <c r="AA34" s="20">
        <v>78</v>
      </c>
      <c r="AB34" s="21"/>
      <c r="AC34" s="19">
        <v>80</v>
      </c>
      <c r="AD34" s="20"/>
      <c r="AE34" s="20">
        <v>80</v>
      </c>
      <c r="AF34" s="20"/>
      <c r="AG34" s="20">
        <v>81</v>
      </c>
      <c r="AH34" s="20"/>
      <c r="AI34" s="20">
        <v>83</v>
      </c>
      <c r="AJ34" s="3"/>
      <c r="AK34" s="44">
        <f t="shared" si="4"/>
        <v>77.5</v>
      </c>
      <c r="AL34" s="45">
        <f t="shared" si="5"/>
        <v>75.75</v>
      </c>
      <c r="AM34" s="46">
        <f t="shared" si="6"/>
        <v>77.5</v>
      </c>
      <c r="AN34" s="47">
        <f t="shared" si="7"/>
        <v>81</v>
      </c>
      <c r="AO34" s="48">
        <f t="shared" si="8"/>
        <v>77.9375</v>
      </c>
      <c r="AP34" s="37"/>
      <c r="AR34" s="54" t="str">
        <f t="shared" si="9"/>
        <v/>
      </c>
      <c r="AS34" s="20"/>
      <c r="AT34" s="56">
        <f t="shared" si="10"/>
        <v>0</v>
      </c>
      <c r="AU34" s="57" t="str">
        <f t="shared" si="11"/>
        <v/>
      </c>
      <c r="AV34" s="54" t="str">
        <f t="shared" si="12"/>
        <v/>
      </c>
      <c r="AW34" s="20"/>
      <c r="AX34" s="56">
        <f t="shared" si="13"/>
        <v>0</v>
      </c>
      <c r="AY34" s="60" t="str">
        <f t="shared" si="14"/>
        <v/>
      </c>
      <c r="AZ34" s="54" t="str">
        <f t="shared" si="15"/>
        <v/>
      </c>
      <c r="BA34" s="21"/>
      <c r="BB34" s="62">
        <f t="shared" si="16"/>
        <v>77.9375</v>
      </c>
      <c r="BC34" s="64" t="str">
        <f t="shared" si="17"/>
        <v/>
      </c>
      <c r="BE34" s="20">
        <f t="shared" si="18"/>
        <v>78.5</v>
      </c>
      <c r="BF34" s="20">
        <f t="shared" si="19"/>
        <v>77.25</v>
      </c>
      <c r="BG34" s="89">
        <f t="shared" si="20"/>
        <v>78</v>
      </c>
      <c r="BH34" s="20">
        <f t="shared" si="21"/>
        <v>78</v>
      </c>
      <c r="BI34" s="20">
        <f t="shared" si="22"/>
        <v>77.9375</v>
      </c>
    </row>
    <row r="35" spans="1:61" x14ac:dyDescent="0.2">
      <c r="A35" s="29">
        <v>33</v>
      </c>
      <c r="B35" s="88" t="s">
        <v>144</v>
      </c>
      <c r="C35" s="71" t="s">
        <v>95</v>
      </c>
      <c r="D35" s="71" t="s">
        <v>96</v>
      </c>
      <c r="E35" s="19">
        <v>90</v>
      </c>
      <c r="F35" s="20"/>
      <c r="G35" s="20">
        <v>88</v>
      </c>
      <c r="H35" s="20"/>
      <c r="I35" s="20">
        <v>87</v>
      </c>
      <c r="J35" s="20"/>
      <c r="K35" s="20">
        <v>78</v>
      </c>
      <c r="L35" s="21"/>
      <c r="M35" s="19">
        <v>90</v>
      </c>
      <c r="N35" s="20"/>
      <c r="O35" s="20">
        <v>86</v>
      </c>
      <c r="P35" s="20"/>
      <c r="Q35" s="20">
        <v>80</v>
      </c>
      <c r="R35" s="20"/>
      <c r="S35" s="20">
        <v>76</v>
      </c>
      <c r="T35" s="21"/>
      <c r="U35" s="19">
        <v>80</v>
      </c>
      <c r="V35" s="20"/>
      <c r="W35" s="20">
        <v>84</v>
      </c>
      <c r="X35" s="20"/>
      <c r="Y35" s="20">
        <v>82</v>
      </c>
      <c r="Z35" s="20"/>
      <c r="AA35" s="20">
        <v>76</v>
      </c>
      <c r="AB35" s="21"/>
      <c r="AC35" s="19">
        <v>80</v>
      </c>
      <c r="AD35" s="20"/>
      <c r="AE35" s="20">
        <v>80</v>
      </c>
      <c r="AF35" s="20"/>
      <c r="AG35" s="20">
        <v>80</v>
      </c>
      <c r="AH35" s="20"/>
      <c r="AI35" s="20">
        <v>76</v>
      </c>
      <c r="AJ35" s="3"/>
      <c r="AK35" s="44">
        <f t="shared" si="4"/>
        <v>85.75</v>
      </c>
      <c r="AL35" s="45">
        <f t="shared" si="5"/>
        <v>83</v>
      </c>
      <c r="AM35" s="46">
        <f t="shared" si="6"/>
        <v>80.5</v>
      </c>
      <c r="AN35" s="47">
        <f t="shared" si="7"/>
        <v>79</v>
      </c>
      <c r="AO35" s="48">
        <f t="shared" si="8"/>
        <v>82.0625</v>
      </c>
      <c r="AP35" s="37"/>
      <c r="AR35" s="54" t="str">
        <f t="shared" si="9"/>
        <v/>
      </c>
      <c r="AS35" s="20"/>
      <c r="AT35" s="56">
        <f t="shared" si="10"/>
        <v>0</v>
      </c>
      <c r="AU35" s="57" t="str">
        <f t="shared" si="11"/>
        <v/>
      </c>
      <c r="AV35" s="54" t="str">
        <f t="shared" si="12"/>
        <v/>
      </c>
      <c r="AW35" s="20"/>
      <c r="AX35" s="56">
        <f t="shared" si="13"/>
        <v>0</v>
      </c>
      <c r="AY35" s="60" t="str">
        <f t="shared" si="14"/>
        <v/>
      </c>
      <c r="AZ35" s="54" t="str">
        <f t="shared" si="15"/>
        <v/>
      </c>
      <c r="BA35" s="21"/>
      <c r="BB35" s="62">
        <f t="shared" si="16"/>
        <v>82.0625</v>
      </c>
      <c r="BC35" s="64" t="str">
        <f t="shared" si="17"/>
        <v/>
      </c>
      <c r="BE35" s="20">
        <f t="shared" si="18"/>
        <v>85</v>
      </c>
      <c r="BF35" s="20">
        <f t="shared" si="19"/>
        <v>84.5</v>
      </c>
      <c r="BG35" s="89">
        <f t="shared" si="20"/>
        <v>82.25</v>
      </c>
      <c r="BH35" s="20">
        <f t="shared" si="21"/>
        <v>76.5</v>
      </c>
      <c r="BI35" s="20">
        <f t="shared" si="22"/>
        <v>82.0625</v>
      </c>
    </row>
    <row r="36" spans="1:61" x14ac:dyDescent="0.2">
      <c r="A36" s="29">
        <v>34</v>
      </c>
      <c r="B36" s="88" t="s">
        <v>145</v>
      </c>
      <c r="C36" s="70" t="s">
        <v>97</v>
      </c>
      <c r="D36" s="70" t="s">
        <v>98</v>
      </c>
      <c r="E36" s="19">
        <v>0</v>
      </c>
      <c r="F36" s="19">
        <v>60</v>
      </c>
      <c r="G36" s="20"/>
      <c r="H36" s="20">
        <v>65</v>
      </c>
      <c r="I36" s="20"/>
      <c r="J36" s="20">
        <v>63</v>
      </c>
      <c r="K36" s="20"/>
      <c r="L36" s="20">
        <v>68</v>
      </c>
      <c r="M36" s="19">
        <v>0</v>
      </c>
      <c r="N36" s="19">
        <v>60</v>
      </c>
      <c r="O36" s="20"/>
      <c r="P36" s="20">
        <v>65</v>
      </c>
      <c r="Q36" s="20"/>
      <c r="R36" s="20">
        <v>63</v>
      </c>
      <c r="S36" s="20"/>
      <c r="T36" s="20">
        <v>68</v>
      </c>
      <c r="U36" s="19">
        <v>0</v>
      </c>
      <c r="V36" s="19">
        <v>60</v>
      </c>
      <c r="W36" s="20"/>
      <c r="X36" s="20">
        <v>65</v>
      </c>
      <c r="Y36" s="20"/>
      <c r="Z36" s="20">
        <v>63</v>
      </c>
      <c r="AA36" s="20"/>
      <c r="AB36" s="20">
        <v>68</v>
      </c>
      <c r="AC36" s="19">
        <v>0</v>
      </c>
      <c r="AD36" s="19">
        <v>60</v>
      </c>
      <c r="AE36" s="20"/>
      <c r="AF36" s="20">
        <v>65</v>
      </c>
      <c r="AG36" s="20"/>
      <c r="AH36" s="20">
        <v>63</v>
      </c>
      <c r="AI36" s="20"/>
      <c r="AJ36" s="20">
        <v>68</v>
      </c>
      <c r="AK36" s="44">
        <f t="shared" si="4"/>
        <v>64</v>
      </c>
      <c r="AL36" s="45">
        <f t="shared" si="5"/>
        <v>64</v>
      </c>
      <c r="AM36" s="46">
        <f t="shared" si="6"/>
        <v>64</v>
      </c>
      <c r="AN36" s="47">
        <f t="shared" si="7"/>
        <v>64</v>
      </c>
      <c r="AO36" s="48">
        <f t="shared" si="8"/>
        <v>64</v>
      </c>
      <c r="AP36" s="37"/>
      <c r="AR36" s="54">
        <f t="shared" si="9"/>
        <v>32</v>
      </c>
      <c r="AS36" s="20"/>
      <c r="AT36" s="56">
        <f t="shared" si="10"/>
        <v>0</v>
      </c>
      <c r="AU36" s="57" t="str">
        <f t="shared" si="11"/>
        <v/>
      </c>
      <c r="AV36" s="54" t="str">
        <f t="shared" si="12"/>
        <v/>
      </c>
      <c r="AW36" s="20"/>
      <c r="AX36" s="56">
        <f t="shared" si="13"/>
        <v>0</v>
      </c>
      <c r="AY36" s="60" t="str">
        <f t="shared" si="14"/>
        <v/>
      </c>
      <c r="AZ36" s="54" t="str">
        <f t="shared" si="15"/>
        <v/>
      </c>
      <c r="BA36" s="21"/>
      <c r="BB36" s="62" t="str">
        <f t="shared" si="16"/>
        <v/>
      </c>
      <c r="BC36" s="64">
        <f t="shared" si="17"/>
        <v>64</v>
      </c>
      <c r="BE36" s="20">
        <f t="shared" si="18"/>
        <v>0</v>
      </c>
      <c r="BF36" s="20">
        <f t="shared" si="19"/>
        <v>0</v>
      </c>
      <c r="BG36" s="89">
        <f t="shared" si="20"/>
        <v>0</v>
      </c>
      <c r="BH36" s="20">
        <f t="shared" si="21"/>
        <v>0</v>
      </c>
      <c r="BI36" s="20">
        <f t="shared" si="22"/>
        <v>0</v>
      </c>
    </row>
    <row r="37" spans="1:61" x14ac:dyDescent="0.2">
      <c r="A37" s="29">
        <v>35</v>
      </c>
      <c r="B37" s="88" t="s">
        <v>146</v>
      </c>
      <c r="C37" s="69" t="s">
        <v>99</v>
      </c>
      <c r="D37" s="69" t="s">
        <v>100</v>
      </c>
      <c r="E37" s="19">
        <v>70</v>
      </c>
      <c r="F37" s="20"/>
      <c r="G37" s="20">
        <v>79</v>
      </c>
      <c r="H37" s="20"/>
      <c r="I37" s="20">
        <v>80</v>
      </c>
      <c r="J37" s="20"/>
      <c r="K37" s="20">
        <v>85</v>
      </c>
      <c r="L37" s="21"/>
      <c r="M37" s="19">
        <v>70</v>
      </c>
      <c r="N37" s="20"/>
      <c r="O37" s="20">
        <v>80</v>
      </c>
      <c r="P37" s="20"/>
      <c r="Q37" s="20">
        <v>85</v>
      </c>
      <c r="R37" s="20"/>
      <c r="S37" s="20">
        <v>80</v>
      </c>
      <c r="T37" s="21"/>
      <c r="U37" s="19">
        <v>73</v>
      </c>
      <c r="V37" s="20"/>
      <c r="W37" s="20">
        <v>83</v>
      </c>
      <c r="X37" s="20"/>
      <c r="Y37" s="20">
        <v>85</v>
      </c>
      <c r="Z37" s="20"/>
      <c r="AA37" s="20">
        <v>83</v>
      </c>
      <c r="AB37" s="21"/>
      <c r="AC37" s="19">
        <v>70</v>
      </c>
      <c r="AD37" s="20"/>
      <c r="AE37" s="20">
        <v>80</v>
      </c>
      <c r="AF37" s="20"/>
      <c r="AG37" s="20">
        <v>79</v>
      </c>
      <c r="AH37" s="20"/>
      <c r="AI37" s="20">
        <v>84</v>
      </c>
      <c r="AJ37" s="3"/>
      <c r="AK37" s="44">
        <f t="shared" si="4"/>
        <v>78.5</v>
      </c>
      <c r="AL37" s="45">
        <f t="shared" si="5"/>
        <v>78.75</v>
      </c>
      <c r="AM37" s="46">
        <f t="shared" si="6"/>
        <v>81</v>
      </c>
      <c r="AN37" s="47">
        <f t="shared" si="7"/>
        <v>78.25</v>
      </c>
      <c r="AO37" s="48">
        <f t="shared" si="8"/>
        <v>79.125</v>
      </c>
      <c r="AP37" s="37"/>
      <c r="AR37" s="54" t="str">
        <f t="shared" si="9"/>
        <v/>
      </c>
      <c r="AS37" s="20"/>
      <c r="AT37" s="56">
        <f t="shared" si="10"/>
        <v>0</v>
      </c>
      <c r="AU37" s="57" t="str">
        <f t="shared" si="11"/>
        <v/>
      </c>
      <c r="AV37" s="54" t="str">
        <f t="shared" si="12"/>
        <v/>
      </c>
      <c r="AW37" s="20"/>
      <c r="AX37" s="56">
        <f t="shared" si="13"/>
        <v>0</v>
      </c>
      <c r="AY37" s="60" t="str">
        <f t="shared" si="14"/>
        <v/>
      </c>
      <c r="AZ37" s="54" t="str">
        <f t="shared" si="15"/>
        <v/>
      </c>
      <c r="BA37" s="21"/>
      <c r="BB37" s="62">
        <f t="shared" si="16"/>
        <v>79.125</v>
      </c>
      <c r="BC37" s="64" t="str">
        <f t="shared" si="17"/>
        <v/>
      </c>
      <c r="BE37" s="20">
        <f t="shared" si="18"/>
        <v>70.75</v>
      </c>
      <c r="BF37" s="20">
        <f t="shared" si="19"/>
        <v>80.5</v>
      </c>
      <c r="BG37" s="89">
        <f t="shared" si="20"/>
        <v>82.25</v>
      </c>
      <c r="BH37" s="20">
        <f t="shared" si="21"/>
        <v>83</v>
      </c>
      <c r="BI37" s="20">
        <f t="shared" si="22"/>
        <v>79.125</v>
      </c>
    </row>
    <row r="38" spans="1:61" x14ac:dyDescent="0.2">
      <c r="A38" s="29">
        <v>36</v>
      </c>
      <c r="B38" s="88" t="s">
        <v>147</v>
      </c>
      <c r="C38" s="70" t="s">
        <v>101</v>
      </c>
      <c r="D38" s="70" t="s">
        <v>102</v>
      </c>
      <c r="E38" s="19">
        <v>79</v>
      </c>
      <c r="F38" s="20"/>
      <c r="G38" s="20">
        <v>80</v>
      </c>
      <c r="H38" s="20"/>
      <c r="I38" s="20">
        <v>76</v>
      </c>
      <c r="J38" s="20"/>
      <c r="K38" s="20">
        <v>75</v>
      </c>
      <c r="L38" s="21"/>
      <c r="M38" s="19">
        <v>79</v>
      </c>
      <c r="N38" s="20"/>
      <c r="O38" s="20">
        <v>78</v>
      </c>
      <c r="P38" s="20"/>
      <c r="Q38" s="20">
        <v>80</v>
      </c>
      <c r="R38" s="20"/>
      <c r="S38" s="20">
        <v>75</v>
      </c>
      <c r="T38" s="21"/>
      <c r="U38" s="19">
        <v>79</v>
      </c>
      <c r="V38" s="20"/>
      <c r="W38" s="20">
        <v>80</v>
      </c>
      <c r="X38" s="20"/>
      <c r="Y38" s="20">
        <v>83</v>
      </c>
      <c r="Z38" s="20"/>
      <c r="AA38" s="20">
        <v>76</v>
      </c>
      <c r="AB38" s="21"/>
      <c r="AC38" s="19">
        <v>80</v>
      </c>
      <c r="AD38" s="20"/>
      <c r="AE38" s="20">
        <v>84</v>
      </c>
      <c r="AF38" s="20"/>
      <c r="AG38" s="20">
        <v>83</v>
      </c>
      <c r="AH38" s="20"/>
      <c r="AI38" s="20">
        <v>76</v>
      </c>
      <c r="AJ38" s="3"/>
      <c r="AK38" s="44">
        <f t="shared" si="4"/>
        <v>77.5</v>
      </c>
      <c r="AL38" s="45">
        <f t="shared" si="5"/>
        <v>78</v>
      </c>
      <c r="AM38" s="46">
        <f t="shared" si="6"/>
        <v>79.5</v>
      </c>
      <c r="AN38" s="47">
        <f t="shared" si="7"/>
        <v>80.75</v>
      </c>
      <c r="AO38" s="48">
        <f t="shared" si="8"/>
        <v>78.9375</v>
      </c>
      <c r="AP38" s="37"/>
      <c r="AR38" s="54" t="str">
        <f t="shared" si="9"/>
        <v/>
      </c>
      <c r="AS38" s="20"/>
      <c r="AT38" s="56">
        <f t="shared" si="10"/>
        <v>0</v>
      </c>
      <c r="AU38" s="57" t="str">
        <f t="shared" si="11"/>
        <v/>
      </c>
      <c r="AV38" s="54" t="str">
        <f t="shared" si="12"/>
        <v/>
      </c>
      <c r="AW38" s="20"/>
      <c r="AX38" s="56">
        <f t="shared" si="13"/>
        <v>0</v>
      </c>
      <c r="AY38" s="60" t="str">
        <f t="shared" si="14"/>
        <v/>
      </c>
      <c r="AZ38" s="54" t="str">
        <f t="shared" si="15"/>
        <v/>
      </c>
      <c r="BA38" s="21"/>
      <c r="BB38" s="62">
        <f t="shared" si="16"/>
        <v>78.9375</v>
      </c>
      <c r="BC38" s="64" t="str">
        <f t="shared" si="17"/>
        <v/>
      </c>
      <c r="BE38" s="20">
        <f t="shared" si="18"/>
        <v>79.25</v>
      </c>
      <c r="BF38" s="20">
        <f t="shared" si="19"/>
        <v>80.5</v>
      </c>
      <c r="BG38" s="89">
        <f t="shared" si="20"/>
        <v>80.5</v>
      </c>
      <c r="BH38" s="20">
        <f t="shared" si="21"/>
        <v>75.5</v>
      </c>
      <c r="BI38" s="20">
        <f t="shared" si="22"/>
        <v>78.9375</v>
      </c>
    </row>
    <row r="39" spans="1:61" x14ac:dyDescent="0.2">
      <c r="A39" s="29">
        <v>37</v>
      </c>
      <c r="B39" s="88" t="s">
        <v>148</v>
      </c>
      <c r="C39" s="69" t="s">
        <v>103</v>
      </c>
      <c r="D39" s="69" t="s">
        <v>104</v>
      </c>
      <c r="E39" s="19">
        <v>79</v>
      </c>
      <c r="F39" s="20"/>
      <c r="G39" s="20">
        <v>80</v>
      </c>
      <c r="H39" s="20"/>
      <c r="I39" s="20">
        <v>75</v>
      </c>
      <c r="J39" s="20"/>
      <c r="K39" s="20">
        <v>76</v>
      </c>
      <c r="L39" s="21"/>
      <c r="M39" s="19">
        <v>75</v>
      </c>
      <c r="N39" s="20"/>
      <c r="O39" s="20">
        <v>76</v>
      </c>
      <c r="P39" s="20"/>
      <c r="Q39" s="20">
        <v>77</v>
      </c>
      <c r="R39" s="20"/>
      <c r="S39" s="20">
        <v>75</v>
      </c>
      <c r="T39" s="21"/>
      <c r="U39" s="19">
        <v>80</v>
      </c>
      <c r="V39" s="20"/>
      <c r="W39" s="20">
        <v>73</v>
      </c>
      <c r="X39" s="20"/>
      <c r="Y39" s="20">
        <v>79</v>
      </c>
      <c r="Z39" s="20"/>
      <c r="AA39" s="20">
        <v>78</v>
      </c>
      <c r="AB39" s="21"/>
      <c r="AC39" s="19">
        <v>80</v>
      </c>
      <c r="AD39" s="20"/>
      <c r="AE39" s="20">
        <v>80</v>
      </c>
      <c r="AF39" s="20"/>
      <c r="AG39" s="20">
        <v>81</v>
      </c>
      <c r="AH39" s="20"/>
      <c r="AI39" s="20">
        <v>83</v>
      </c>
      <c r="AJ39" s="3"/>
      <c r="AK39" s="44">
        <f t="shared" si="4"/>
        <v>77.5</v>
      </c>
      <c r="AL39" s="45">
        <f t="shared" si="5"/>
        <v>75.75</v>
      </c>
      <c r="AM39" s="46">
        <f t="shared" si="6"/>
        <v>77.5</v>
      </c>
      <c r="AN39" s="47">
        <f t="shared" si="7"/>
        <v>81</v>
      </c>
      <c r="AO39" s="48">
        <f t="shared" si="8"/>
        <v>77.9375</v>
      </c>
      <c r="AP39" s="37"/>
      <c r="AR39" s="54" t="str">
        <f t="shared" si="9"/>
        <v/>
      </c>
      <c r="AS39" s="20"/>
      <c r="AT39" s="56">
        <f t="shared" si="10"/>
        <v>0</v>
      </c>
      <c r="AU39" s="57" t="str">
        <f t="shared" si="11"/>
        <v/>
      </c>
      <c r="AV39" s="54" t="str">
        <f t="shared" si="12"/>
        <v/>
      </c>
      <c r="AW39" s="20"/>
      <c r="AX39" s="56">
        <f t="shared" si="13"/>
        <v>0</v>
      </c>
      <c r="AY39" s="60" t="str">
        <f t="shared" si="14"/>
        <v/>
      </c>
      <c r="AZ39" s="54" t="str">
        <f t="shared" si="15"/>
        <v/>
      </c>
      <c r="BA39" s="21"/>
      <c r="BB39" s="62">
        <f t="shared" si="16"/>
        <v>77.9375</v>
      </c>
      <c r="BC39" s="64" t="str">
        <f t="shared" si="17"/>
        <v/>
      </c>
      <c r="BE39" s="20">
        <f t="shared" si="18"/>
        <v>78.5</v>
      </c>
      <c r="BF39" s="20">
        <f t="shared" si="19"/>
        <v>77.25</v>
      </c>
      <c r="BG39" s="89">
        <f t="shared" si="20"/>
        <v>78</v>
      </c>
      <c r="BH39" s="20">
        <f t="shared" si="21"/>
        <v>78</v>
      </c>
      <c r="BI39" s="20">
        <f t="shared" si="22"/>
        <v>77.9375</v>
      </c>
    </row>
    <row r="40" spans="1:61" x14ac:dyDescent="0.2">
      <c r="A40" s="29">
        <v>38</v>
      </c>
      <c r="B40" s="88" t="s">
        <v>149</v>
      </c>
      <c r="C40" s="70" t="s">
        <v>105</v>
      </c>
      <c r="D40" s="70" t="s">
        <v>106</v>
      </c>
      <c r="E40" s="19">
        <v>90</v>
      </c>
      <c r="F40" s="20"/>
      <c r="G40" s="20">
        <v>88</v>
      </c>
      <c r="H40" s="20"/>
      <c r="I40" s="20">
        <v>87</v>
      </c>
      <c r="J40" s="20"/>
      <c r="K40" s="20">
        <v>78</v>
      </c>
      <c r="L40" s="21"/>
      <c r="M40" s="19">
        <v>90</v>
      </c>
      <c r="N40" s="20"/>
      <c r="O40" s="20">
        <v>86</v>
      </c>
      <c r="P40" s="20"/>
      <c r="Q40" s="20">
        <v>80</v>
      </c>
      <c r="R40" s="20"/>
      <c r="S40" s="20">
        <v>76</v>
      </c>
      <c r="T40" s="21"/>
      <c r="U40" s="19">
        <v>80</v>
      </c>
      <c r="V40" s="20"/>
      <c r="W40" s="20">
        <v>84</v>
      </c>
      <c r="X40" s="20"/>
      <c r="Y40" s="20">
        <v>82</v>
      </c>
      <c r="Z40" s="20"/>
      <c r="AA40" s="20">
        <v>76</v>
      </c>
      <c r="AB40" s="21"/>
      <c r="AC40" s="19">
        <v>80</v>
      </c>
      <c r="AD40" s="20"/>
      <c r="AE40" s="20">
        <v>80</v>
      </c>
      <c r="AF40" s="20"/>
      <c r="AG40" s="20">
        <v>80</v>
      </c>
      <c r="AH40" s="20"/>
      <c r="AI40" s="20">
        <v>76</v>
      </c>
      <c r="AJ40" s="3"/>
      <c r="AK40" s="44">
        <f t="shared" si="4"/>
        <v>85.75</v>
      </c>
      <c r="AL40" s="45">
        <f t="shared" si="5"/>
        <v>83</v>
      </c>
      <c r="AM40" s="46">
        <f t="shared" si="6"/>
        <v>80.5</v>
      </c>
      <c r="AN40" s="47">
        <f t="shared" si="7"/>
        <v>79</v>
      </c>
      <c r="AO40" s="48">
        <f t="shared" si="8"/>
        <v>82.0625</v>
      </c>
      <c r="AP40" s="37"/>
      <c r="AR40" s="54" t="str">
        <f t="shared" si="9"/>
        <v/>
      </c>
      <c r="AS40" s="20"/>
      <c r="AT40" s="56">
        <f t="shared" si="10"/>
        <v>0</v>
      </c>
      <c r="AU40" s="57" t="str">
        <f t="shared" si="11"/>
        <v/>
      </c>
      <c r="AV40" s="54" t="str">
        <f t="shared" si="12"/>
        <v/>
      </c>
      <c r="AW40" s="20"/>
      <c r="AX40" s="56">
        <f t="shared" si="13"/>
        <v>0</v>
      </c>
      <c r="AY40" s="60" t="str">
        <f t="shared" si="14"/>
        <v/>
      </c>
      <c r="AZ40" s="54" t="str">
        <f t="shared" si="15"/>
        <v/>
      </c>
      <c r="BA40" s="21"/>
      <c r="BB40" s="62">
        <f t="shared" si="16"/>
        <v>82.0625</v>
      </c>
      <c r="BC40" s="64" t="str">
        <f t="shared" si="17"/>
        <v/>
      </c>
      <c r="BE40" s="20">
        <f t="shared" si="18"/>
        <v>85</v>
      </c>
      <c r="BF40" s="20">
        <f t="shared" si="19"/>
        <v>84.5</v>
      </c>
      <c r="BG40" s="89">
        <f t="shared" si="20"/>
        <v>82.25</v>
      </c>
      <c r="BH40" s="20">
        <f t="shared" si="21"/>
        <v>76.5</v>
      </c>
      <c r="BI40" s="20">
        <f t="shared" si="22"/>
        <v>82.0625</v>
      </c>
    </row>
    <row r="41" spans="1:61" x14ac:dyDescent="0.2">
      <c r="A41" s="29">
        <v>39</v>
      </c>
      <c r="B41" s="88" t="s">
        <v>150</v>
      </c>
      <c r="C41" s="69" t="s">
        <v>107</v>
      </c>
      <c r="D41" s="69" t="s">
        <v>108</v>
      </c>
      <c r="E41" s="19">
        <v>0</v>
      </c>
      <c r="F41" s="19">
        <v>60</v>
      </c>
      <c r="G41" s="20"/>
      <c r="H41" s="20">
        <v>65</v>
      </c>
      <c r="I41" s="20"/>
      <c r="J41" s="20">
        <v>63</v>
      </c>
      <c r="K41" s="20"/>
      <c r="L41" s="20">
        <v>68</v>
      </c>
      <c r="M41" s="19">
        <v>0</v>
      </c>
      <c r="N41" s="20"/>
      <c r="O41" s="20">
        <v>0</v>
      </c>
      <c r="P41" s="20"/>
      <c r="Q41" s="20">
        <v>0</v>
      </c>
      <c r="R41" s="20"/>
      <c r="S41" s="20">
        <v>0</v>
      </c>
      <c r="T41" s="21"/>
      <c r="U41" s="19">
        <v>0</v>
      </c>
      <c r="V41" s="20"/>
      <c r="W41" s="20">
        <v>0</v>
      </c>
      <c r="X41" s="20"/>
      <c r="Y41" s="20">
        <v>0</v>
      </c>
      <c r="Z41" s="20"/>
      <c r="AA41" s="20">
        <v>0</v>
      </c>
      <c r="AB41" s="21"/>
      <c r="AC41" s="19">
        <v>0</v>
      </c>
      <c r="AD41" s="20"/>
      <c r="AE41" s="20">
        <v>0</v>
      </c>
      <c r="AF41" s="20"/>
      <c r="AG41" s="20">
        <v>0</v>
      </c>
      <c r="AH41" s="20"/>
      <c r="AI41" s="20">
        <v>0</v>
      </c>
      <c r="AJ41" s="3"/>
      <c r="AK41" s="44">
        <f t="shared" si="4"/>
        <v>64</v>
      </c>
      <c r="AL41" s="45">
        <f t="shared" si="5"/>
        <v>0</v>
      </c>
      <c r="AM41" s="46">
        <f t="shared" si="6"/>
        <v>0</v>
      </c>
      <c r="AN41" s="47">
        <f t="shared" si="7"/>
        <v>0</v>
      </c>
      <c r="AO41" s="48">
        <f t="shared" si="8"/>
        <v>16</v>
      </c>
      <c r="AP41" s="37"/>
      <c r="AR41" s="54">
        <f t="shared" si="9"/>
        <v>8</v>
      </c>
      <c r="AS41" s="20"/>
      <c r="AT41" s="56">
        <f t="shared" si="10"/>
        <v>0</v>
      </c>
      <c r="AU41" s="57" t="str">
        <f t="shared" si="11"/>
        <v/>
      </c>
      <c r="AV41" s="54" t="str">
        <f t="shared" si="12"/>
        <v/>
      </c>
      <c r="AW41" s="20"/>
      <c r="AX41" s="56">
        <f t="shared" si="13"/>
        <v>0</v>
      </c>
      <c r="AY41" s="60" t="str">
        <f t="shared" si="14"/>
        <v/>
      </c>
      <c r="AZ41" s="54" t="str">
        <f t="shared" si="15"/>
        <v/>
      </c>
      <c r="BA41" s="21"/>
      <c r="BB41" s="62" t="str">
        <f t="shared" si="16"/>
        <v/>
      </c>
      <c r="BC41" s="64">
        <f t="shared" si="17"/>
        <v>16</v>
      </c>
      <c r="BE41" s="20">
        <f t="shared" si="18"/>
        <v>0</v>
      </c>
      <c r="BF41" s="20">
        <f t="shared" si="19"/>
        <v>0</v>
      </c>
      <c r="BG41" s="89">
        <f t="shared" si="20"/>
        <v>0</v>
      </c>
      <c r="BH41" s="20">
        <f t="shared" si="21"/>
        <v>0</v>
      </c>
      <c r="BI41" s="20">
        <f t="shared" si="22"/>
        <v>0</v>
      </c>
    </row>
    <row r="42" spans="1:61" x14ac:dyDescent="0.2">
      <c r="A42" s="29">
        <v>40</v>
      </c>
      <c r="B42" s="88" t="s">
        <v>151</v>
      </c>
      <c r="C42" s="70" t="s">
        <v>109</v>
      </c>
      <c r="D42" s="70" t="s">
        <v>110</v>
      </c>
      <c r="E42" s="19">
        <v>70</v>
      </c>
      <c r="F42" s="20"/>
      <c r="G42" s="20">
        <v>79</v>
      </c>
      <c r="H42" s="20"/>
      <c r="I42" s="20">
        <v>80</v>
      </c>
      <c r="J42" s="20"/>
      <c r="K42" s="20">
        <v>85</v>
      </c>
      <c r="L42" s="21"/>
      <c r="M42" s="19">
        <v>70</v>
      </c>
      <c r="N42" s="20"/>
      <c r="O42" s="20">
        <v>80</v>
      </c>
      <c r="P42" s="20"/>
      <c r="Q42" s="20">
        <v>85</v>
      </c>
      <c r="R42" s="20"/>
      <c r="S42" s="20">
        <v>80</v>
      </c>
      <c r="T42" s="21"/>
      <c r="U42" s="19">
        <v>73</v>
      </c>
      <c r="V42" s="20"/>
      <c r="W42" s="20">
        <v>83</v>
      </c>
      <c r="X42" s="20"/>
      <c r="Y42" s="20">
        <v>85</v>
      </c>
      <c r="Z42" s="20"/>
      <c r="AA42" s="20">
        <v>83</v>
      </c>
      <c r="AB42" s="21"/>
      <c r="AC42" s="19">
        <v>70</v>
      </c>
      <c r="AD42" s="20"/>
      <c r="AE42" s="20">
        <v>80</v>
      </c>
      <c r="AF42" s="20"/>
      <c r="AG42" s="20">
        <v>79</v>
      </c>
      <c r="AH42" s="20"/>
      <c r="AI42" s="20">
        <v>84</v>
      </c>
      <c r="AJ42" s="3"/>
      <c r="AK42" s="44">
        <f t="shared" si="4"/>
        <v>78.5</v>
      </c>
      <c r="AL42" s="45">
        <f t="shared" si="5"/>
        <v>78.75</v>
      </c>
      <c r="AM42" s="46">
        <f t="shared" si="6"/>
        <v>81</v>
      </c>
      <c r="AN42" s="47">
        <f t="shared" si="7"/>
        <v>78.25</v>
      </c>
      <c r="AO42" s="48">
        <f t="shared" si="8"/>
        <v>79.125</v>
      </c>
      <c r="AP42" s="37"/>
      <c r="AR42" s="54" t="str">
        <f t="shared" si="9"/>
        <v/>
      </c>
      <c r="AS42" s="20"/>
      <c r="AT42" s="56">
        <f t="shared" si="10"/>
        <v>0</v>
      </c>
      <c r="AU42" s="57" t="str">
        <f t="shared" si="11"/>
        <v/>
      </c>
      <c r="AV42" s="54" t="str">
        <f t="shared" si="12"/>
        <v/>
      </c>
      <c r="AW42" s="20"/>
      <c r="AX42" s="56">
        <f t="shared" si="13"/>
        <v>0</v>
      </c>
      <c r="AY42" s="60" t="str">
        <f t="shared" si="14"/>
        <v/>
      </c>
      <c r="AZ42" s="54" t="str">
        <f t="shared" si="15"/>
        <v/>
      </c>
      <c r="BA42" s="21"/>
      <c r="BB42" s="62">
        <f t="shared" si="16"/>
        <v>79.125</v>
      </c>
      <c r="BC42" s="64" t="str">
        <f t="shared" si="17"/>
        <v/>
      </c>
      <c r="BE42" s="20">
        <f t="shared" si="18"/>
        <v>70.75</v>
      </c>
      <c r="BF42" s="20">
        <f t="shared" si="19"/>
        <v>80.5</v>
      </c>
      <c r="BG42" s="89">
        <f t="shared" si="20"/>
        <v>82.25</v>
      </c>
      <c r="BH42" s="20">
        <f t="shared" si="21"/>
        <v>83</v>
      </c>
      <c r="BI42" s="20">
        <f t="shared" si="22"/>
        <v>79.125</v>
      </c>
    </row>
    <row r="43" spans="1:61" x14ac:dyDescent="0.2">
      <c r="A43" s="29">
        <v>41</v>
      </c>
      <c r="B43" s="88" t="s">
        <v>152</v>
      </c>
      <c r="C43" s="67"/>
      <c r="D43" s="67"/>
      <c r="E43" s="19"/>
      <c r="F43" s="20"/>
      <c r="G43" s="20"/>
      <c r="H43" s="20"/>
      <c r="I43" s="20"/>
      <c r="J43" s="20"/>
      <c r="K43" s="20"/>
      <c r="L43" s="21"/>
      <c r="M43" s="19"/>
      <c r="N43" s="20"/>
      <c r="O43" s="20"/>
      <c r="P43" s="20"/>
      <c r="Q43" s="20"/>
      <c r="R43" s="20"/>
      <c r="S43" s="20"/>
      <c r="T43" s="3"/>
      <c r="U43" s="19"/>
      <c r="V43" s="20"/>
      <c r="W43" s="20"/>
      <c r="X43" s="20"/>
      <c r="Y43" s="20"/>
      <c r="Z43" s="20"/>
      <c r="AA43" s="20"/>
      <c r="AB43" s="21"/>
      <c r="AC43" s="1"/>
      <c r="AD43" s="20"/>
      <c r="AE43" s="20"/>
      <c r="AF43" s="20"/>
      <c r="AG43" s="20"/>
      <c r="AH43" s="20"/>
      <c r="AI43" s="20"/>
      <c r="AJ43" s="3"/>
      <c r="AK43" s="44">
        <f t="shared" si="4"/>
        <v>0</v>
      </c>
      <c r="AL43" s="45">
        <f t="shared" si="5"/>
        <v>0</v>
      </c>
      <c r="AM43" s="46">
        <f t="shared" si="6"/>
        <v>0</v>
      </c>
      <c r="AN43" s="47">
        <f t="shared" si="7"/>
        <v>0</v>
      </c>
      <c r="AO43" s="48">
        <f t="shared" si="8"/>
        <v>0</v>
      </c>
      <c r="AP43" s="37"/>
      <c r="AR43" s="54">
        <f t="shared" si="9"/>
        <v>0</v>
      </c>
      <c r="AS43" s="20"/>
      <c r="AT43" s="56">
        <f t="shared" si="10"/>
        <v>0</v>
      </c>
      <c r="AU43" s="57" t="str">
        <f t="shared" si="11"/>
        <v/>
      </c>
      <c r="AV43" s="54" t="str">
        <f t="shared" si="12"/>
        <v/>
      </c>
      <c r="AW43" s="20"/>
      <c r="AX43" s="56">
        <f t="shared" si="13"/>
        <v>0</v>
      </c>
      <c r="AY43" s="60" t="str">
        <f t="shared" si="14"/>
        <v/>
      </c>
      <c r="AZ43" s="54" t="str">
        <f t="shared" si="15"/>
        <v/>
      </c>
      <c r="BA43" s="21"/>
      <c r="BB43" s="62" t="str">
        <f t="shared" si="16"/>
        <v/>
      </c>
      <c r="BC43" s="64">
        <f t="shared" si="17"/>
        <v>0</v>
      </c>
      <c r="BE43" s="20">
        <f t="shared" si="18"/>
        <v>0</v>
      </c>
      <c r="BF43" s="20">
        <f t="shared" si="19"/>
        <v>0</v>
      </c>
      <c r="BG43" s="89">
        <f t="shared" si="20"/>
        <v>0</v>
      </c>
      <c r="BH43" s="20">
        <f t="shared" si="21"/>
        <v>0</v>
      </c>
      <c r="BI43" s="20">
        <f t="shared" si="22"/>
        <v>0</v>
      </c>
    </row>
    <row r="44" spans="1:61" x14ac:dyDescent="0.2">
      <c r="A44" s="29">
        <v>42</v>
      </c>
      <c r="B44" s="88" t="s">
        <v>153</v>
      </c>
      <c r="C44" s="68"/>
      <c r="D44" s="68"/>
      <c r="E44" s="19"/>
      <c r="F44" s="20"/>
      <c r="G44" s="20"/>
      <c r="H44" s="20"/>
      <c r="I44" s="20"/>
      <c r="J44" s="20"/>
      <c r="K44" s="20"/>
      <c r="L44" s="21"/>
      <c r="M44" s="19"/>
      <c r="N44" s="20"/>
      <c r="O44" s="20"/>
      <c r="P44" s="20"/>
      <c r="Q44" s="20"/>
      <c r="R44" s="20"/>
      <c r="S44" s="20"/>
      <c r="T44" s="3"/>
      <c r="U44" s="19"/>
      <c r="V44" s="20"/>
      <c r="W44" s="20"/>
      <c r="X44" s="20"/>
      <c r="Y44" s="20"/>
      <c r="Z44" s="20"/>
      <c r="AA44" s="20"/>
      <c r="AB44" s="21"/>
      <c r="AC44" s="1"/>
      <c r="AD44" s="20"/>
      <c r="AE44" s="20"/>
      <c r="AF44" s="20"/>
      <c r="AG44" s="20"/>
      <c r="AH44" s="20"/>
      <c r="AI44" s="20"/>
      <c r="AJ44" s="3"/>
      <c r="AK44" s="44">
        <f t="shared" si="4"/>
        <v>0</v>
      </c>
      <c r="AL44" s="45">
        <f t="shared" si="5"/>
        <v>0</v>
      </c>
      <c r="AM44" s="46">
        <f t="shared" si="6"/>
        <v>0</v>
      </c>
      <c r="AN44" s="47">
        <f t="shared" si="7"/>
        <v>0</v>
      </c>
      <c r="AO44" s="48">
        <f t="shared" si="8"/>
        <v>0</v>
      </c>
      <c r="AP44" s="37"/>
      <c r="AR44" s="54">
        <f t="shared" si="9"/>
        <v>0</v>
      </c>
      <c r="AS44" s="20"/>
      <c r="AT44" s="56">
        <f t="shared" si="10"/>
        <v>0</v>
      </c>
      <c r="AU44" s="57" t="str">
        <f t="shared" si="11"/>
        <v/>
      </c>
      <c r="AV44" s="54" t="str">
        <f t="shared" si="12"/>
        <v/>
      </c>
      <c r="AW44" s="20"/>
      <c r="AX44" s="56">
        <f t="shared" si="13"/>
        <v>0</v>
      </c>
      <c r="AY44" s="60" t="str">
        <f t="shared" si="14"/>
        <v/>
      </c>
      <c r="AZ44" s="54" t="str">
        <f t="shared" si="15"/>
        <v/>
      </c>
      <c r="BA44" s="21"/>
      <c r="BB44" s="62" t="str">
        <f t="shared" si="16"/>
        <v/>
      </c>
      <c r="BC44" s="64">
        <f t="shared" si="17"/>
        <v>0</v>
      </c>
      <c r="BE44" s="20">
        <f t="shared" si="18"/>
        <v>0</v>
      </c>
      <c r="BF44" s="20">
        <f t="shared" si="19"/>
        <v>0</v>
      </c>
      <c r="BG44" s="89">
        <f t="shared" si="20"/>
        <v>0</v>
      </c>
      <c r="BH44" s="20">
        <f t="shared" si="21"/>
        <v>0</v>
      </c>
      <c r="BI44" s="20">
        <f t="shared" si="22"/>
        <v>0</v>
      </c>
    </row>
    <row r="45" spans="1:61" x14ac:dyDescent="0.2">
      <c r="A45" s="29">
        <v>43</v>
      </c>
      <c r="B45" s="88" t="s">
        <v>154</v>
      </c>
      <c r="C45" s="22"/>
      <c r="D45" s="24"/>
      <c r="E45" s="19"/>
      <c r="F45" s="20"/>
      <c r="G45" s="20"/>
      <c r="H45" s="20"/>
      <c r="I45" s="20"/>
      <c r="J45" s="20"/>
      <c r="K45" s="20"/>
      <c r="L45" s="21"/>
      <c r="M45" s="19"/>
      <c r="N45" s="20"/>
      <c r="O45" s="20"/>
      <c r="P45" s="20"/>
      <c r="Q45" s="20"/>
      <c r="R45" s="20"/>
      <c r="S45" s="20"/>
      <c r="T45" s="3"/>
      <c r="U45" s="19"/>
      <c r="V45" s="20"/>
      <c r="W45" s="20"/>
      <c r="X45" s="20"/>
      <c r="Y45" s="20"/>
      <c r="Z45" s="20"/>
      <c r="AA45" s="20"/>
      <c r="AB45" s="21"/>
      <c r="AC45" s="1"/>
      <c r="AD45" s="20"/>
      <c r="AE45" s="20"/>
      <c r="AF45" s="20"/>
      <c r="AG45" s="20"/>
      <c r="AH45" s="20"/>
      <c r="AI45" s="20"/>
      <c r="AJ45" s="3"/>
      <c r="AK45" s="44">
        <f t="shared" si="4"/>
        <v>0</v>
      </c>
      <c r="AL45" s="45">
        <f t="shared" si="5"/>
        <v>0</v>
      </c>
      <c r="AM45" s="46">
        <f t="shared" si="6"/>
        <v>0</v>
      </c>
      <c r="AN45" s="47">
        <f t="shared" si="7"/>
        <v>0</v>
      </c>
      <c r="AO45" s="48">
        <f t="shared" si="8"/>
        <v>0</v>
      </c>
      <c r="AP45" s="37"/>
      <c r="AR45" s="54">
        <f t="shared" si="9"/>
        <v>0</v>
      </c>
      <c r="AS45" s="20"/>
      <c r="AT45" s="56">
        <f t="shared" si="10"/>
        <v>0</v>
      </c>
      <c r="AU45" s="57" t="str">
        <f t="shared" si="11"/>
        <v/>
      </c>
      <c r="AV45" s="54" t="str">
        <f t="shared" si="12"/>
        <v/>
      </c>
      <c r="AW45" s="20"/>
      <c r="AX45" s="56">
        <f t="shared" si="13"/>
        <v>0</v>
      </c>
      <c r="AY45" s="60" t="str">
        <f t="shared" si="14"/>
        <v/>
      </c>
      <c r="AZ45" s="54" t="str">
        <f t="shared" si="15"/>
        <v/>
      </c>
      <c r="BA45" s="21"/>
      <c r="BB45" s="62" t="str">
        <f t="shared" si="16"/>
        <v/>
      </c>
      <c r="BC45" s="64">
        <f t="shared" si="17"/>
        <v>0</v>
      </c>
      <c r="BE45" s="20">
        <f t="shared" si="18"/>
        <v>0</v>
      </c>
      <c r="BF45" s="20">
        <f t="shared" si="19"/>
        <v>0</v>
      </c>
      <c r="BG45" s="89">
        <f t="shared" si="20"/>
        <v>0</v>
      </c>
      <c r="BH45" s="20">
        <f t="shared" si="21"/>
        <v>0</v>
      </c>
      <c r="BI45" s="20">
        <f t="shared" si="22"/>
        <v>0</v>
      </c>
    </row>
    <row r="46" spans="1:61" x14ac:dyDescent="0.2">
      <c r="A46" s="29">
        <v>44</v>
      </c>
      <c r="B46" s="88" t="s">
        <v>155</v>
      </c>
      <c r="C46" s="22"/>
      <c r="D46" s="24"/>
      <c r="E46" s="19"/>
      <c r="F46" s="20"/>
      <c r="G46" s="20"/>
      <c r="H46" s="20"/>
      <c r="I46" s="20"/>
      <c r="J46" s="20"/>
      <c r="K46" s="20"/>
      <c r="L46" s="21"/>
      <c r="M46" s="19"/>
      <c r="N46" s="20"/>
      <c r="O46" s="20"/>
      <c r="P46" s="20"/>
      <c r="Q46" s="20"/>
      <c r="R46" s="20"/>
      <c r="S46" s="20"/>
      <c r="T46" s="3"/>
      <c r="U46" s="19"/>
      <c r="V46" s="20"/>
      <c r="W46" s="20"/>
      <c r="X46" s="20"/>
      <c r="Y46" s="20"/>
      <c r="Z46" s="20"/>
      <c r="AA46" s="20"/>
      <c r="AB46" s="21"/>
      <c r="AC46" s="1"/>
      <c r="AD46" s="20"/>
      <c r="AE46" s="20"/>
      <c r="AF46" s="20"/>
      <c r="AG46" s="20"/>
      <c r="AH46" s="20"/>
      <c r="AI46" s="20"/>
      <c r="AJ46" s="3"/>
      <c r="AK46" s="44">
        <f t="shared" si="4"/>
        <v>0</v>
      </c>
      <c r="AL46" s="45">
        <f t="shared" si="5"/>
        <v>0</v>
      </c>
      <c r="AM46" s="46">
        <f t="shared" si="6"/>
        <v>0</v>
      </c>
      <c r="AN46" s="47">
        <f t="shared" si="7"/>
        <v>0</v>
      </c>
      <c r="AO46" s="48">
        <f t="shared" si="8"/>
        <v>0</v>
      </c>
      <c r="AP46" s="37"/>
      <c r="AR46" s="54">
        <f t="shared" si="9"/>
        <v>0</v>
      </c>
      <c r="AS46" s="20"/>
      <c r="AT46" s="56">
        <f t="shared" si="10"/>
        <v>0</v>
      </c>
      <c r="AU46" s="57" t="str">
        <f t="shared" si="11"/>
        <v/>
      </c>
      <c r="AV46" s="54" t="str">
        <f t="shared" si="12"/>
        <v/>
      </c>
      <c r="AW46" s="20"/>
      <c r="AX46" s="56">
        <f t="shared" si="13"/>
        <v>0</v>
      </c>
      <c r="AY46" s="60" t="str">
        <f t="shared" si="14"/>
        <v/>
      </c>
      <c r="AZ46" s="54" t="str">
        <f t="shared" si="15"/>
        <v/>
      </c>
      <c r="BA46" s="21"/>
      <c r="BB46" s="62" t="str">
        <f t="shared" si="16"/>
        <v/>
      </c>
      <c r="BC46" s="64">
        <f t="shared" si="17"/>
        <v>0</v>
      </c>
      <c r="BE46" s="20">
        <f t="shared" si="18"/>
        <v>0</v>
      </c>
      <c r="BF46" s="20">
        <f t="shared" si="19"/>
        <v>0</v>
      </c>
      <c r="BG46" s="89">
        <f t="shared" si="20"/>
        <v>0</v>
      </c>
      <c r="BH46" s="20">
        <f t="shared" si="21"/>
        <v>0</v>
      </c>
      <c r="BI46" s="20">
        <f t="shared" si="22"/>
        <v>0</v>
      </c>
    </row>
    <row r="47" spans="1:61" ht="16" thickBot="1" x14ac:dyDescent="0.25">
      <c r="A47" s="30">
        <v>45</v>
      </c>
      <c r="B47" s="88" t="s">
        <v>156</v>
      </c>
      <c r="C47" s="23"/>
      <c r="D47" s="25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4"/>
      <c r="U47" s="31"/>
      <c r="V47" s="32"/>
      <c r="W47" s="32"/>
      <c r="X47" s="32"/>
      <c r="Y47" s="32"/>
      <c r="Z47" s="32"/>
      <c r="AA47" s="32"/>
      <c r="AB47" s="33"/>
      <c r="AC47" s="5"/>
      <c r="AD47" s="32"/>
      <c r="AE47" s="32"/>
      <c r="AF47" s="32"/>
      <c r="AG47" s="32"/>
      <c r="AH47" s="32"/>
      <c r="AI47" s="32"/>
      <c r="AJ47" s="4"/>
      <c r="AK47" s="49">
        <f t="shared" si="4"/>
        <v>0</v>
      </c>
      <c r="AL47" s="50">
        <f t="shared" si="5"/>
        <v>0</v>
      </c>
      <c r="AM47" s="51">
        <f t="shared" si="6"/>
        <v>0</v>
      </c>
      <c r="AN47" s="52">
        <f t="shared" si="7"/>
        <v>0</v>
      </c>
      <c r="AO47" s="53">
        <f t="shared" si="8"/>
        <v>0</v>
      </c>
      <c r="AP47" s="38"/>
      <c r="AR47" s="55">
        <f t="shared" si="9"/>
        <v>0</v>
      </c>
      <c r="AS47" s="32"/>
      <c r="AT47" s="58">
        <f t="shared" si="10"/>
        <v>0</v>
      </c>
      <c r="AU47" s="59" t="str">
        <f t="shared" si="11"/>
        <v/>
      </c>
      <c r="AV47" s="55" t="str">
        <f t="shared" si="12"/>
        <v/>
      </c>
      <c r="AW47" s="32"/>
      <c r="AX47" s="58">
        <f t="shared" si="13"/>
        <v>0</v>
      </c>
      <c r="AY47" s="61" t="str">
        <f t="shared" si="14"/>
        <v/>
      </c>
      <c r="AZ47" s="55" t="str">
        <f t="shared" si="15"/>
        <v/>
      </c>
      <c r="BA47" s="33"/>
      <c r="BB47" s="65" t="str">
        <f t="shared" si="16"/>
        <v/>
      </c>
      <c r="BC47" s="66">
        <f t="shared" si="17"/>
        <v>0</v>
      </c>
      <c r="BE47" s="20">
        <f t="shared" si="18"/>
        <v>0</v>
      </c>
      <c r="BF47" s="20">
        <f t="shared" si="19"/>
        <v>0</v>
      </c>
      <c r="BG47" s="89">
        <f t="shared" si="20"/>
        <v>0</v>
      </c>
      <c r="BH47" s="20">
        <f t="shared" si="21"/>
        <v>0</v>
      </c>
      <c r="BI47" s="20">
        <f t="shared" si="22"/>
        <v>0</v>
      </c>
    </row>
  </sheetData>
  <mergeCells count="26">
    <mergeCell ref="A1:A2"/>
    <mergeCell ref="C1:C2"/>
    <mergeCell ref="D1:D2"/>
    <mergeCell ref="E1:L1"/>
    <mergeCell ref="AR1:AR2"/>
    <mergeCell ref="B1:B2"/>
    <mergeCell ref="AO1:AO2"/>
    <mergeCell ref="AP1:AP2"/>
    <mergeCell ref="M1:T1"/>
    <mergeCell ref="AC1:AJ1"/>
    <mergeCell ref="AK1:AK2"/>
    <mergeCell ref="AL1:AL2"/>
    <mergeCell ref="AN1:AN2"/>
    <mergeCell ref="U1:AB1"/>
    <mergeCell ref="AM1:AM2"/>
    <mergeCell ref="AZ1:AZ2"/>
    <mergeCell ref="BA1:BA2"/>
    <mergeCell ref="AS1:AS2"/>
    <mergeCell ref="AT1:AT2"/>
    <mergeCell ref="AU1:AU2"/>
    <mergeCell ref="AV1:AV2"/>
    <mergeCell ref="BB1:BB2"/>
    <mergeCell ref="BC1:BC2"/>
    <mergeCell ref="AX1:AX2"/>
    <mergeCell ref="AY1:AY2"/>
    <mergeCell ref="AW1:AW2"/>
  </mergeCells>
  <conditionalFormatting sqref="E34:AJ35 E38:F38 M38:N38 AC38:AD38 AJ38:AJ42 E39:AI40 E43:AJ47 E4:F15 M4:N11 AC4:AD11 F12:G13 M14:N15 M12:O13 AC14:AD15 AC12:AE13 E25:F26 E23:G24 M25:N26 M23:O24 AC25:AD26 AC23:AE24 E37:AJ37 E36:G36 E42:AI42 M41:AI41 E41:G41 M36:O36 U36:W36 AC36:AE36 E28:F33 E27:G27 M28:N33 M27:O27 AC28:AD33 AC27:AE27 E17:F22 E16:G16 M17:N22 M16:O16 AC17:AD22 AC16:AE16">
    <cfRule type="cellIs" dxfId="353" priority="42" operator="lessThan">
      <formula>70</formula>
    </cfRule>
  </conditionalFormatting>
  <conditionalFormatting sqref="G4:L33">
    <cfRule type="cellIs" dxfId="338" priority="41" operator="lessThan">
      <formula>70</formula>
    </cfRule>
  </conditionalFormatting>
  <conditionalFormatting sqref="G38:L38">
    <cfRule type="cellIs" dxfId="456" priority="36" operator="lessThan">
      <formula>70</formula>
    </cfRule>
  </conditionalFormatting>
  <conditionalFormatting sqref="O4:AB11 O25:AB26 O14:AB15 O28:AB33 U27 O17:AB22 U16">
    <cfRule type="cellIs" dxfId="455" priority="40" operator="lessThan">
      <formula>70</formula>
    </cfRule>
  </conditionalFormatting>
  <conditionalFormatting sqref="O38:AB38">
    <cfRule type="cellIs" dxfId="454" priority="35" operator="lessThan">
      <formula>70</formula>
    </cfRule>
  </conditionalFormatting>
  <conditionalFormatting sqref="AE4:AI11 AE25:AI26 AE14:AI15 AE28:AI33 AE17:AI22">
    <cfRule type="cellIs" dxfId="453" priority="39" operator="lessThan">
      <formula>70</formula>
    </cfRule>
  </conditionalFormatting>
  <conditionalFormatting sqref="AE38:AI38">
    <cfRule type="cellIs" dxfId="452" priority="34" operator="lessThan">
      <formula>70</formula>
    </cfRule>
  </conditionalFormatting>
  <conditionalFormatting sqref="AJ3:AJ11 AJ14:AJ15 AJ25:AJ26 AJ28:AJ33 AJ17:AJ22">
    <cfRule type="cellIs" dxfId="451" priority="46" operator="lessThan">
      <formula>70</formula>
    </cfRule>
  </conditionalFormatting>
  <conditionalFormatting sqref="AK3:AP47">
    <cfRule type="cellIs" dxfId="450" priority="69" operator="lessThan">
      <formula>70</formula>
    </cfRule>
  </conditionalFormatting>
  <conditionalFormatting sqref="AO1">
    <cfRule type="cellIs" dxfId="449" priority="37" operator="lessThan">
      <formula>70</formula>
    </cfRule>
  </conditionalFormatting>
  <conditionalFormatting sqref="AR3:AR47">
    <cfRule type="cellIs" dxfId="448" priority="67" operator="lessThan">
      <formula>70</formula>
    </cfRule>
  </conditionalFormatting>
  <conditionalFormatting sqref="AR3:AY47">
    <cfRule type="cellIs" dxfId="447" priority="68" operator="lessThan">
      <formula>70</formula>
    </cfRule>
  </conditionalFormatting>
  <conditionalFormatting sqref="AZ3:AZ47">
    <cfRule type="cellIs" dxfId="446" priority="50" operator="lessThan">
      <formula>70</formula>
    </cfRule>
  </conditionalFormatting>
  <conditionalFormatting sqref="E3:F3 M3:N3 AC3:AD3">
    <cfRule type="cellIs" dxfId="365" priority="33" operator="lessThan">
      <formula>70</formula>
    </cfRule>
  </conditionalFormatting>
  <conditionalFormatting sqref="G3:L3">
    <cfRule type="cellIs" dxfId="364" priority="32" operator="lessThan">
      <formula>70</formula>
    </cfRule>
  </conditionalFormatting>
  <conditionalFormatting sqref="O3:AB3">
    <cfRule type="cellIs" dxfId="363" priority="31" operator="lessThan">
      <formula>70</formula>
    </cfRule>
  </conditionalFormatting>
  <conditionalFormatting sqref="AE3:AI3">
    <cfRule type="cellIs" dxfId="362" priority="30" operator="lessThan">
      <formula>70</formula>
    </cfRule>
  </conditionalFormatting>
  <conditionalFormatting sqref="U23:U24">
    <cfRule type="cellIs" dxfId="360" priority="28" operator="lessThan">
      <formula>70</formula>
    </cfRule>
  </conditionalFormatting>
  <conditionalFormatting sqref="U12:U13">
    <cfRule type="cellIs" dxfId="356" priority="24" operator="lessThan">
      <formula>70</formula>
    </cfRule>
  </conditionalFormatting>
  <conditionalFormatting sqref="O12:T13">
    <cfRule type="cellIs" dxfId="352" priority="21" operator="lessThan">
      <formula>70</formula>
    </cfRule>
  </conditionalFormatting>
  <conditionalFormatting sqref="V12:W13">
    <cfRule type="cellIs" dxfId="351" priority="20" operator="lessThan">
      <formula>70</formula>
    </cfRule>
  </conditionalFormatting>
  <conditionalFormatting sqref="W12:AB13">
    <cfRule type="cellIs" dxfId="350" priority="19" operator="lessThan">
      <formula>70</formula>
    </cfRule>
  </conditionalFormatting>
  <conditionalFormatting sqref="AE12:AJ13">
    <cfRule type="cellIs" dxfId="349" priority="18" operator="lessThan">
      <formula>70</formula>
    </cfRule>
  </conditionalFormatting>
  <conditionalFormatting sqref="O23:T24">
    <cfRule type="cellIs" dxfId="348" priority="17" operator="lessThan">
      <formula>70</formula>
    </cfRule>
  </conditionalFormatting>
  <conditionalFormatting sqref="V23:W24">
    <cfRule type="cellIs" dxfId="347" priority="16" operator="lessThan">
      <formula>70</formula>
    </cfRule>
  </conditionalFormatting>
  <conditionalFormatting sqref="W23:AB24">
    <cfRule type="cellIs" dxfId="346" priority="15" operator="lessThan">
      <formula>70</formula>
    </cfRule>
  </conditionalFormatting>
  <conditionalFormatting sqref="AE23:AJ24">
    <cfRule type="cellIs" dxfId="345" priority="14" operator="lessThan">
      <formula>70</formula>
    </cfRule>
  </conditionalFormatting>
  <conditionalFormatting sqref="G36:L36">
    <cfRule type="cellIs" dxfId="344" priority="13" operator="lessThan">
      <formula>70</formula>
    </cfRule>
  </conditionalFormatting>
  <conditionalFormatting sqref="G41:L41">
    <cfRule type="cellIs" dxfId="343" priority="12" operator="lessThan">
      <formula>70</formula>
    </cfRule>
  </conditionalFormatting>
  <conditionalFormatting sqref="O36:T36">
    <cfRule type="cellIs" dxfId="342" priority="11" operator="lessThan">
      <formula>70</formula>
    </cfRule>
  </conditionalFormatting>
  <conditionalFormatting sqref="W36:AB36">
    <cfRule type="cellIs" dxfId="341" priority="10" operator="lessThan">
      <formula>70</formula>
    </cfRule>
  </conditionalFormatting>
  <conditionalFormatting sqref="AE36:AJ36">
    <cfRule type="cellIs" dxfId="340" priority="9" operator="lessThan">
      <formula>70</formula>
    </cfRule>
  </conditionalFormatting>
  <conditionalFormatting sqref="O27:T27">
    <cfRule type="cellIs" dxfId="337" priority="8" operator="lessThan">
      <formula>70</formula>
    </cfRule>
  </conditionalFormatting>
  <conditionalFormatting sqref="V27:W27">
    <cfRule type="cellIs" dxfId="336" priority="7" operator="lessThan">
      <formula>70</formula>
    </cfRule>
  </conditionalFormatting>
  <conditionalFormatting sqref="W27:AB27">
    <cfRule type="cellIs" dxfId="335" priority="6" operator="lessThan">
      <formula>70</formula>
    </cfRule>
  </conditionalFormatting>
  <conditionalFormatting sqref="AE27:AJ27">
    <cfRule type="cellIs" dxfId="334" priority="5" operator="lessThan">
      <formula>70</formula>
    </cfRule>
  </conditionalFormatting>
  <conditionalFormatting sqref="O16:T16">
    <cfRule type="cellIs" dxfId="333" priority="4" operator="lessThan">
      <formula>70</formula>
    </cfRule>
  </conditionalFormatting>
  <conditionalFormatting sqref="V16:W16">
    <cfRule type="cellIs" dxfId="332" priority="3" operator="lessThan">
      <formula>70</formula>
    </cfRule>
  </conditionalFormatting>
  <conditionalFormatting sqref="W16:AB16">
    <cfRule type="cellIs" dxfId="331" priority="2" operator="lessThan">
      <formula>70</formula>
    </cfRule>
  </conditionalFormatting>
  <conditionalFormatting sqref="AE16:AJ16">
    <cfRule type="cellIs" dxfId="330" priority="1" operator="lessThan">
      <formula>70</formula>
    </cfRule>
  </conditionalFormatting>
  <dataValidations count="1">
    <dataValidation type="custom" allowBlank="1" showInputMessage="1" showErrorMessage="1" sqref="AD12:AJ13 AD3:AI11 AD23:AJ24 E3:AC42 AD36:AJ36 AD27:AJ27 AD37:AI42 AD25:AI26 AD28:AI35 AD14:AI15 AD17:AI22 AD16:AJ16" xr:uid="{CA8F2509-6BAB-4EF5-B0DB-11849EC6EE31}">
      <formula1>ISNUMBER(E3:E52)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1:BI47"/>
  <sheetViews>
    <sheetView zoomScaleNormal="100" workbookViewId="0">
      <selection activeCell="L39" sqref="L39"/>
    </sheetView>
  </sheetViews>
  <sheetFormatPr baseColWidth="10" defaultColWidth="11.5" defaultRowHeight="15" x14ac:dyDescent="0.2"/>
  <cols>
    <col min="1" max="1" width="4" style="12" customWidth="1"/>
    <col min="2" max="2" width="17.1640625" style="12" customWidth="1"/>
    <col min="3" max="3" width="21.33203125" style="13" customWidth="1"/>
    <col min="4" max="4" width="19.83203125" style="13" customWidth="1"/>
    <col min="5" max="36" width="4.6640625" style="13" customWidth="1"/>
    <col min="37" max="43" width="5.83203125" style="13" customWidth="1"/>
    <col min="44" max="44" width="7.6640625" style="13" customWidth="1"/>
    <col min="45" max="46" width="5.83203125" style="13" customWidth="1"/>
    <col min="47" max="47" width="6.5" style="13" customWidth="1"/>
    <col min="48" max="51" width="5.83203125" style="13" customWidth="1"/>
    <col min="52" max="53" width="5.33203125" style="13" customWidth="1"/>
    <col min="54" max="55" width="6.1640625" style="13" customWidth="1"/>
    <col min="56" max="56" width="11.5" style="13"/>
    <col min="57" max="58" width="6.33203125" style="13" customWidth="1"/>
    <col min="59" max="59" width="6.33203125" customWidth="1"/>
    <col min="60" max="61" width="6.33203125" style="13" customWidth="1"/>
    <col min="62" max="16384" width="11.5" style="13"/>
  </cols>
  <sheetData>
    <row r="1" spans="1:61" x14ac:dyDescent="0.2">
      <c r="A1" s="105" t="s">
        <v>5</v>
      </c>
      <c r="B1" s="117" t="s">
        <v>111</v>
      </c>
      <c r="C1" s="107" t="s">
        <v>4</v>
      </c>
      <c r="D1" s="109" t="s">
        <v>10</v>
      </c>
      <c r="E1" s="111" t="s">
        <v>18</v>
      </c>
      <c r="F1" s="112"/>
      <c r="G1" s="112"/>
      <c r="H1" s="112"/>
      <c r="I1" s="112"/>
      <c r="J1" s="112"/>
      <c r="K1" s="112"/>
      <c r="L1" s="113"/>
      <c r="M1" s="114" t="s">
        <v>19</v>
      </c>
      <c r="N1" s="115"/>
      <c r="O1" s="115"/>
      <c r="P1" s="115"/>
      <c r="Q1" s="115"/>
      <c r="R1" s="115"/>
      <c r="S1" s="115"/>
      <c r="T1" s="116"/>
      <c r="U1" s="121" t="s">
        <v>20</v>
      </c>
      <c r="V1" s="122"/>
      <c r="W1" s="122"/>
      <c r="X1" s="122"/>
      <c r="Y1" s="122"/>
      <c r="Z1" s="122"/>
      <c r="AA1" s="122"/>
      <c r="AB1" s="123"/>
      <c r="AC1" s="124" t="s">
        <v>21</v>
      </c>
      <c r="AD1" s="125"/>
      <c r="AE1" s="125"/>
      <c r="AF1" s="125"/>
      <c r="AG1" s="125"/>
      <c r="AH1" s="125"/>
      <c r="AI1" s="125"/>
      <c r="AJ1" s="126"/>
      <c r="AK1" s="127" t="s">
        <v>22</v>
      </c>
      <c r="AL1" s="129" t="s">
        <v>23</v>
      </c>
      <c r="AM1" s="131" t="s">
        <v>24</v>
      </c>
      <c r="AN1" s="119" t="s">
        <v>25</v>
      </c>
      <c r="AO1" s="133"/>
      <c r="AP1" s="135"/>
      <c r="AR1" s="99" t="s">
        <v>11</v>
      </c>
      <c r="AS1" s="101" t="s">
        <v>12</v>
      </c>
      <c r="AT1" s="95" t="s">
        <v>13</v>
      </c>
      <c r="AU1" s="97" t="s">
        <v>26</v>
      </c>
      <c r="AV1" s="99" t="s">
        <v>14</v>
      </c>
      <c r="AW1" s="101" t="s">
        <v>29</v>
      </c>
      <c r="AX1" s="95" t="s">
        <v>30</v>
      </c>
      <c r="AY1" s="103" t="s">
        <v>31</v>
      </c>
      <c r="AZ1" s="90" t="s">
        <v>27</v>
      </c>
      <c r="BA1" s="92" t="s">
        <v>28</v>
      </c>
      <c r="BB1" s="91" t="s">
        <v>16</v>
      </c>
      <c r="BC1" s="94" t="s">
        <v>17</v>
      </c>
    </row>
    <row r="2" spans="1:61" ht="16" thickBot="1" x14ac:dyDescent="0.25">
      <c r="A2" s="106"/>
      <c r="B2" s="118"/>
      <c r="C2" s="108"/>
      <c r="D2" s="110"/>
      <c r="E2" s="14" t="s">
        <v>0</v>
      </c>
      <c r="F2" s="15" t="s">
        <v>6</v>
      </c>
      <c r="G2" s="15" t="s">
        <v>1</v>
      </c>
      <c r="H2" s="15" t="s">
        <v>7</v>
      </c>
      <c r="I2" s="15" t="s">
        <v>2</v>
      </c>
      <c r="J2" s="15" t="s">
        <v>8</v>
      </c>
      <c r="K2" s="15" t="s">
        <v>3</v>
      </c>
      <c r="L2" s="16" t="s">
        <v>9</v>
      </c>
      <c r="M2" s="7" t="s">
        <v>0</v>
      </c>
      <c r="N2" s="7" t="s">
        <v>6</v>
      </c>
      <c r="O2" s="7" t="s">
        <v>1</v>
      </c>
      <c r="P2" s="7" t="s">
        <v>7</v>
      </c>
      <c r="Q2" s="7" t="s">
        <v>2</v>
      </c>
      <c r="R2" s="7" t="s">
        <v>8</v>
      </c>
      <c r="S2" s="7" t="s">
        <v>3</v>
      </c>
      <c r="T2" s="8" t="s">
        <v>9</v>
      </c>
      <c r="U2" s="9" t="s">
        <v>0</v>
      </c>
      <c r="V2" s="10" t="s">
        <v>6</v>
      </c>
      <c r="W2" s="10" t="s">
        <v>1</v>
      </c>
      <c r="X2" s="10" t="s">
        <v>8</v>
      </c>
      <c r="Y2" s="10" t="s">
        <v>2</v>
      </c>
      <c r="Z2" s="10" t="s">
        <v>9</v>
      </c>
      <c r="AA2" s="10" t="s">
        <v>3</v>
      </c>
      <c r="AB2" s="11" t="s">
        <v>9</v>
      </c>
      <c r="AC2" s="6" t="s">
        <v>0</v>
      </c>
      <c r="AD2" s="17" t="s">
        <v>6</v>
      </c>
      <c r="AE2" s="17" t="s">
        <v>1</v>
      </c>
      <c r="AF2" s="17" t="s">
        <v>8</v>
      </c>
      <c r="AG2" s="17" t="s">
        <v>2</v>
      </c>
      <c r="AH2" s="17" t="s">
        <v>9</v>
      </c>
      <c r="AI2" s="17" t="s">
        <v>3</v>
      </c>
      <c r="AJ2" s="18" t="s">
        <v>9</v>
      </c>
      <c r="AK2" s="128"/>
      <c r="AL2" s="130"/>
      <c r="AM2" s="132"/>
      <c r="AN2" s="120"/>
      <c r="AO2" s="134"/>
      <c r="AP2" s="136"/>
      <c r="AR2" s="100"/>
      <c r="AS2" s="102"/>
      <c r="AT2" s="96"/>
      <c r="AU2" s="98"/>
      <c r="AV2" s="100"/>
      <c r="AW2" s="102"/>
      <c r="AX2" s="96"/>
      <c r="AY2" s="104"/>
      <c r="AZ2" s="91"/>
      <c r="BA2" s="93"/>
      <c r="BB2" s="91"/>
      <c r="BC2" s="94"/>
      <c r="BE2" s="20" t="s">
        <v>0</v>
      </c>
      <c r="BF2" s="20" t="s">
        <v>1</v>
      </c>
      <c r="BG2" s="89" t="s">
        <v>2</v>
      </c>
      <c r="BH2" s="20" t="s">
        <v>3</v>
      </c>
      <c r="BI2" s="20" t="s">
        <v>15</v>
      </c>
    </row>
    <row r="3" spans="1:61" x14ac:dyDescent="0.2">
      <c r="A3" s="26">
        <v>1</v>
      </c>
      <c r="B3" s="88" t="s">
        <v>112</v>
      </c>
      <c r="C3" s="69" t="s">
        <v>33</v>
      </c>
      <c r="D3" s="69" t="s">
        <v>34</v>
      </c>
      <c r="E3" s="27"/>
      <c r="F3" s="19">
        <v>60</v>
      </c>
      <c r="G3" s="19">
        <v>60</v>
      </c>
      <c r="H3" s="20"/>
      <c r="I3" s="20">
        <v>65</v>
      </c>
      <c r="J3" s="20"/>
      <c r="K3" s="20">
        <v>63</v>
      </c>
      <c r="L3" s="20"/>
      <c r="M3" s="20">
        <v>68</v>
      </c>
      <c r="N3" s="19">
        <v>60</v>
      </c>
      <c r="O3" s="19">
        <v>60</v>
      </c>
      <c r="P3" s="20"/>
      <c r="Q3" s="20">
        <v>65</v>
      </c>
      <c r="R3" s="20"/>
      <c r="S3" s="20">
        <v>63</v>
      </c>
      <c r="T3" s="20"/>
      <c r="U3" s="20">
        <v>68</v>
      </c>
      <c r="V3" s="19">
        <v>60</v>
      </c>
      <c r="W3" s="19">
        <v>60</v>
      </c>
      <c r="X3" s="20"/>
      <c r="Y3" s="20">
        <v>65</v>
      </c>
      <c r="Z3" s="20"/>
      <c r="AA3" s="20">
        <v>63</v>
      </c>
      <c r="AB3" s="20"/>
      <c r="AC3" s="20">
        <v>68</v>
      </c>
      <c r="AD3" s="19">
        <v>60</v>
      </c>
      <c r="AE3" s="19">
        <v>60</v>
      </c>
      <c r="AF3" s="20"/>
      <c r="AG3" s="20">
        <v>65</v>
      </c>
      <c r="AH3" s="20"/>
      <c r="AI3" s="20">
        <v>63</v>
      </c>
      <c r="AJ3" s="20"/>
      <c r="AK3" s="20">
        <v>68</v>
      </c>
      <c r="AL3" s="40">
        <f>SUMIF(M3:M3, "&gt;=70") / 4 +SUMIF(O3:O3, "&gt;=70") / 4 +SUMIF(Q3:Q3, "&gt;=70") / 4 +SUMIF(S3:S3, "&gt;=70") / 4 + SUMIF(N3:N3, "&gt;1") / 4 + SUMIF(P3:P3, "&gt;1") / 4 + SUMIF(R3:R3, "&gt;1") / 4 + SUMIF(T3:T3, "&gt;1") / 4</f>
        <v>15</v>
      </c>
      <c r="AM3" s="41">
        <f>SUMIF(U3:U3, "&gt;=70") / 4 +SUMIF(W3:W3, "&gt;=70") / 4 +SUMIF(Y3:Y3, "&gt;=70") / 4 +SUMIF(AA3:AA3, "&gt;=70") / 4 + SUMIF(V3:V3, "&gt;1") / 4 + SUMIF(X3:X3, "&gt;1") / 4 + SUMIF(Z3:Z3, "&gt;1") / 4 + SUMIF(AB3:AB3, "&gt;1") / 4</f>
        <v>15</v>
      </c>
      <c r="AN3" s="42">
        <f>SUMIF(AC3:AC3, "&gt;=70") / 4 +SUMIF(AE3:AE3, "&gt;=70") / 4 +SUMIF(AG3:AG3, "&gt;=70") / 4 +SUMIF(AI3:AI3, "&gt;=70") / 4 + SUMIF(AD3:AD3, "&gt;1") / 4 + SUMIF(AF3:AF3, "&gt;1") / 4 + SUMIF(AH3:AH3, "&gt;1") / 4 + SUMIF(AJ3:AJ3, "&gt;1") / 4</f>
        <v>15</v>
      </c>
      <c r="AO3" s="43">
        <f>AVERAGE(AK3:AN3)</f>
        <v>28.25</v>
      </c>
      <c r="AP3" s="34"/>
      <c r="AR3" s="54">
        <f>IF(AO3&lt;70, AO3*0.5, "")</f>
        <v>14.125</v>
      </c>
      <c r="AS3" s="35"/>
      <c r="AT3" s="56">
        <f>AS3*50%</f>
        <v>0</v>
      </c>
      <c r="AU3" s="57" t="str">
        <f>IF(AS3&lt;&gt;"", IF(AR3="","",AR3+AT3), "")</f>
        <v/>
      </c>
      <c r="AV3" s="54" t="str">
        <f>IF(AU3 &lt; 70, AR3*30%, "")</f>
        <v/>
      </c>
      <c r="AW3" s="36"/>
      <c r="AX3" s="56">
        <f>AW3*70%</f>
        <v>0</v>
      </c>
      <c r="AY3" s="60" t="str">
        <f>IF(AW3&lt;&gt;"", IF(AV3="", "", AV3+AX3), "")</f>
        <v/>
      </c>
      <c r="AZ3" s="54" t="str">
        <f>IF(AND(AU3&lt;70, AY3&lt;70), AO3, "")</f>
        <v/>
      </c>
      <c r="BA3" s="21"/>
      <c r="BB3" s="62" t="str">
        <f>IF(AW3&lt;&gt;"", IF(AY3&gt;=70, AY3, IF(AZ3+BA3&gt;=70, AZ3+BA3, "")),
   IF(AS3&lt;&gt;"", IF(AU3&gt;=70, AU3, ""),
   IF(AO3&gt;=70, AO3, "")))</f>
        <v/>
      </c>
      <c r="BC3" s="63">
        <f>IF(AW3&lt;&gt;"", IF(AY3&lt;70, IF(AZ3+BA3&lt;70, AZ3+BA3, ""), ""), IF(AS3&lt;&gt;"", IF(AU3&lt;70, AU3, ""), IF(AO3&lt;70, AO3, "")))</f>
        <v>28.25</v>
      </c>
      <c r="BE3" s="20">
        <f t="shared" ref="BE3:BE4" si="0">SUM(E3+M3+U3+AC3)/4</f>
        <v>51</v>
      </c>
      <c r="BF3" s="20">
        <f t="shared" ref="BF3:BF4" si="1">SUM(G3+O3+W3+AE3)/4</f>
        <v>60</v>
      </c>
      <c r="BG3" s="89">
        <f t="shared" ref="BG3:BG4" si="2">SUM(I3+Q3+Y3+AG3)/4</f>
        <v>65</v>
      </c>
      <c r="BH3" s="20">
        <f t="shared" ref="BH3:BH4" si="3">SUM(K3+S3+AA3+AI3)/4</f>
        <v>63</v>
      </c>
      <c r="BI3" s="20">
        <f>AVERAGE(BE3:BH3)</f>
        <v>59.75</v>
      </c>
    </row>
    <row r="4" spans="1:61" x14ac:dyDescent="0.2">
      <c r="A4" s="29">
        <v>2</v>
      </c>
      <c r="B4" s="88" t="s">
        <v>113</v>
      </c>
      <c r="C4" s="70" t="s">
        <v>35</v>
      </c>
      <c r="D4" s="70" t="s">
        <v>34</v>
      </c>
      <c r="E4" s="19">
        <v>89</v>
      </c>
      <c r="F4" s="20"/>
      <c r="G4" s="20">
        <v>92</v>
      </c>
      <c r="H4" s="20"/>
      <c r="I4" s="20">
        <v>90</v>
      </c>
      <c r="J4" s="20"/>
      <c r="K4" s="20">
        <v>80</v>
      </c>
      <c r="L4" s="21"/>
      <c r="M4" s="19">
        <v>90</v>
      </c>
      <c r="N4" s="20"/>
      <c r="O4" s="20">
        <v>94</v>
      </c>
      <c r="P4" s="20"/>
      <c r="Q4" s="20">
        <v>90</v>
      </c>
      <c r="R4" s="20"/>
      <c r="S4" s="20">
        <v>80</v>
      </c>
      <c r="T4" s="21"/>
      <c r="U4" s="19">
        <v>92</v>
      </c>
      <c r="V4" s="20"/>
      <c r="W4" s="20">
        <v>90</v>
      </c>
      <c r="X4" s="20"/>
      <c r="Y4" s="20">
        <v>90</v>
      </c>
      <c r="Z4" s="20"/>
      <c r="AA4" s="20">
        <v>80</v>
      </c>
      <c r="AB4" s="21"/>
      <c r="AC4" s="1">
        <v>92</v>
      </c>
      <c r="AD4" s="20"/>
      <c r="AE4" s="20">
        <v>94</v>
      </c>
      <c r="AF4" s="20"/>
      <c r="AG4" s="20">
        <v>80</v>
      </c>
      <c r="AH4" s="20"/>
      <c r="AI4" s="20">
        <v>80</v>
      </c>
      <c r="AJ4" s="3"/>
      <c r="AK4" s="44">
        <f t="shared" ref="AK4:AK47" si="4">SUMIF(E4:E4, "&gt;=70") / 4 +SUMIF(G4:G4, "&gt;=70") / 4 +SUMIF(I4:I4, "&gt;=70") / 4 +SUMIF(K4:K4, "&gt;=70") / 4 + SUMIF(F4:F4, "&gt;1") / 4 + SUMIF(H4:H4, "&gt;1") / 4 + SUMIF(J4:J4, "&gt;1") / 4 + SUMIF(L4:L4, "&gt;1") / 4</f>
        <v>87.75</v>
      </c>
      <c r="AL4" s="45">
        <f t="shared" ref="AL4:AL47" si="5">SUMIF(M4:M4, "&gt;=70") / 4 +SUMIF(O4:O4, "&gt;=70") / 4 +SUMIF(Q4:Q4, "&gt;=70") / 4 +SUMIF(S4:S4, "&gt;=70") / 4 + SUMIF(N4:N4, "&gt;1") / 4 + SUMIF(P4:P4, "&gt;1") / 4 + SUMIF(R4:R4, "&gt;1") / 4 + SUMIF(T4:T4, "&gt;1") / 4</f>
        <v>88.5</v>
      </c>
      <c r="AM4" s="46">
        <f t="shared" ref="AM4:AM47" si="6">SUMIF(U4:U4, "&gt;=70") / 4 +SUMIF(W4:W4, "&gt;=70") / 4 +SUMIF(Y4:Y4, "&gt;=70") / 4 +SUMIF(AA4:AA4, "&gt;=70") / 4 + SUMIF(V4:V4, "&gt;1") / 4 + SUMIF(X4:X4, "&gt;1") / 4 + SUMIF(Z4:Z4, "&gt;1") / 4 + SUMIF(AB4:AB4, "&gt;1") / 4</f>
        <v>88</v>
      </c>
      <c r="AN4" s="47">
        <f t="shared" ref="AN4:AN47" si="7">SUMIF(AC4:AC4, "&gt;=65") / 4 +SUMIF(AE4:AE4, "&gt;=65") / 4 +SUMIF(AG4:AG4, "&gt;=65") / 4 +SUMIF(AI4:AI4, "&gt;=65") / 4 + SUMIF(AD4:AD4, "&gt;1") / 4 + SUMIF(AF4:AF4, "&gt;1") / 4 + SUMIF(AH4:AH4, "&gt;1") / 4 + SUMIF(AJ4:AJ4, "&gt;1") / 4</f>
        <v>86.5</v>
      </c>
      <c r="AO4" s="48">
        <f t="shared" ref="AO4:AO47" si="8">AVERAGE(AK4:AN4)</f>
        <v>87.6875</v>
      </c>
      <c r="AP4" s="37"/>
      <c r="AR4" s="54" t="str">
        <f t="shared" ref="AR4:AR47" si="9">IF(AO4&lt;70, AO4*0.5, "")</f>
        <v/>
      </c>
      <c r="AS4" s="35"/>
      <c r="AT4" s="56">
        <f t="shared" ref="AT4:AT47" si="10">AS4*50%</f>
        <v>0</v>
      </c>
      <c r="AU4" s="57" t="str">
        <f t="shared" ref="AU4:AU47" si="11">IF(AS4&lt;&gt;"", IF(AR4="","",AR4+AT4), "")</f>
        <v/>
      </c>
      <c r="AV4" s="54" t="str">
        <f t="shared" ref="AV4:AV47" si="12">IF(AU4 &lt; 70, AR4*30%, "")</f>
        <v/>
      </c>
      <c r="AW4" s="36"/>
      <c r="AX4" s="56">
        <f t="shared" ref="AX4:AX47" si="13">AW4*70%</f>
        <v>0</v>
      </c>
      <c r="AY4" s="60" t="str">
        <f t="shared" ref="AY4:AY47" si="14">IF(AW4&lt;&gt;"", IF(AV4="", "", AV4+AX4), "")</f>
        <v/>
      </c>
      <c r="AZ4" s="54" t="str">
        <f t="shared" ref="AZ4:AZ47" si="15">IF(AND(AU4&lt;70, AY4&lt;70), AO4, "")</f>
        <v/>
      </c>
      <c r="BA4" s="21"/>
      <c r="BB4" s="62">
        <f t="shared" ref="BB4:BB47" si="16">IF(AW4&lt;&gt;"", IF(AY4&gt;=70, AY4, IF(AZ4+BA4&gt;=70, AZ4+BA4, "")),
   IF(AS4&lt;&gt;"", IF(AU4&gt;=70, AU4, ""),
   IF(AO4&gt;=70, AO4, "")))</f>
        <v>87.6875</v>
      </c>
      <c r="BC4" s="64" t="str">
        <f t="shared" ref="BC4:BC47" si="17">IF(AW4&lt;&gt;"", IF(AY4&lt;70, IF(AZ4+BA4&lt;70, AZ4+BA4, ""), ""), IF(AS4&lt;&gt;"", IF(AU4&lt;70, AU4, ""), IF(AO4&lt;70, AO4, "")))</f>
        <v/>
      </c>
      <c r="BE4" s="20">
        <f t="shared" si="0"/>
        <v>90.75</v>
      </c>
      <c r="BF4" s="20">
        <f t="shared" si="1"/>
        <v>92.5</v>
      </c>
      <c r="BG4" s="89">
        <f t="shared" si="2"/>
        <v>87.5</v>
      </c>
      <c r="BH4" s="20">
        <f t="shared" si="3"/>
        <v>80</v>
      </c>
      <c r="BI4" s="20">
        <f>AVERAGE(BE4:BH4)</f>
        <v>87.6875</v>
      </c>
    </row>
    <row r="5" spans="1:61" x14ac:dyDescent="0.2">
      <c r="A5" s="29">
        <v>3</v>
      </c>
      <c r="B5" s="88" t="s">
        <v>114</v>
      </c>
      <c r="C5" s="69" t="s">
        <v>36</v>
      </c>
      <c r="D5" s="69" t="s">
        <v>37</v>
      </c>
      <c r="E5" s="19">
        <v>86</v>
      </c>
      <c r="F5" s="20"/>
      <c r="G5" s="20">
        <v>94</v>
      </c>
      <c r="H5" s="20"/>
      <c r="I5" s="20">
        <v>91</v>
      </c>
      <c r="J5" s="20"/>
      <c r="K5" s="20">
        <v>93</v>
      </c>
      <c r="L5" s="21"/>
      <c r="M5" s="19">
        <v>90</v>
      </c>
      <c r="N5" s="20"/>
      <c r="O5" s="20">
        <v>92</v>
      </c>
      <c r="P5" s="20"/>
      <c r="Q5" s="20">
        <v>88</v>
      </c>
      <c r="R5" s="20"/>
      <c r="S5" s="20">
        <v>90</v>
      </c>
      <c r="T5" s="21"/>
      <c r="U5" s="19">
        <v>90</v>
      </c>
      <c r="V5" s="20"/>
      <c r="W5" s="20">
        <v>94</v>
      </c>
      <c r="X5" s="20"/>
      <c r="Y5" s="20">
        <v>92</v>
      </c>
      <c r="Z5" s="20"/>
      <c r="AA5" s="20">
        <v>92</v>
      </c>
      <c r="AB5" s="21"/>
      <c r="AC5" s="1">
        <v>90</v>
      </c>
      <c r="AD5" s="20"/>
      <c r="AE5" s="20">
        <v>92</v>
      </c>
      <c r="AF5" s="20"/>
      <c r="AG5" s="20">
        <v>94</v>
      </c>
      <c r="AH5" s="20"/>
      <c r="AI5" s="20">
        <v>94</v>
      </c>
      <c r="AJ5" s="3"/>
      <c r="AK5" s="44">
        <f t="shared" si="4"/>
        <v>91</v>
      </c>
      <c r="AL5" s="45">
        <f t="shared" si="5"/>
        <v>90</v>
      </c>
      <c r="AM5" s="46">
        <f t="shared" si="6"/>
        <v>92</v>
      </c>
      <c r="AN5" s="47">
        <f t="shared" si="7"/>
        <v>92.5</v>
      </c>
      <c r="AO5" s="48">
        <f t="shared" si="8"/>
        <v>91.375</v>
      </c>
      <c r="AP5" s="37"/>
      <c r="AR5" s="54" t="str">
        <f t="shared" si="9"/>
        <v/>
      </c>
      <c r="AS5" s="35"/>
      <c r="AT5" s="56">
        <f t="shared" si="10"/>
        <v>0</v>
      </c>
      <c r="AU5" s="57" t="str">
        <f t="shared" si="11"/>
        <v/>
      </c>
      <c r="AV5" s="54" t="str">
        <f t="shared" si="12"/>
        <v/>
      </c>
      <c r="AW5" s="36"/>
      <c r="AX5" s="56">
        <f t="shared" si="13"/>
        <v>0</v>
      </c>
      <c r="AY5" s="60" t="str">
        <f t="shared" si="14"/>
        <v/>
      </c>
      <c r="AZ5" s="54" t="str">
        <f t="shared" si="15"/>
        <v/>
      </c>
      <c r="BA5" s="21"/>
      <c r="BB5" s="62">
        <f t="shared" si="16"/>
        <v>91.375</v>
      </c>
      <c r="BC5" s="64" t="str">
        <f t="shared" si="17"/>
        <v/>
      </c>
      <c r="BE5" s="20">
        <f>SUM(E5+M5+U5+AC5)/4</f>
        <v>89</v>
      </c>
      <c r="BF5" s="20">
        <f>SUM(G5+O5+W5+AE5)/4</f>
        <v>93</v>
      </c>
      <c r="BG5" s="89">
        <f>SUM(I5+Q5+Y5+AG5)/4</f>
        <v>91.25</v>
      </c>
      <c r="BH5" s="20">
        <f>SUM(K5+S5+AA5+AI5)/4</f>
        <v>92.25</v>
      </c>
      <c r="BI5" s="20">
        <f>AVERAGE(BE5:BH5)</f>
        <v>91.375</v>
      </c>
    </row>
    <row r="6" spans="1:61" x14ac:dyDescent="0.2">
      <c r="A6" s="29">
        <v>4</v>
      </c>
      <c r="B6" s="88" t="s">
        <v>115</v>
      </c>
      <c r="C6" s="70" t="s">
        <v>38</v>
      </c>
      <c r="D6" s="70" t="s">
        <v>39</v>
      </c>
      <c r="E6" s="19">
        <v>92</v>
      </c>
      <c r="F6" s="20"/>
      <c r="G6" s="20">
        <v>90</v>
      </c>
      <c r="H6" s="20"/>
      <c r="I6" s="20">
        <v>91</v>
      </c>
      <c r="J6" s="20"/>
      <c r="K6" s="20">
        <v>91</v>
      </c>
      <c r="L6" s="21"/>
      <c r="M6" s="19">
        <v>89</v>
      </c>
      <c r="N6" s="20"/>
      <c r="O6" s="20">
        <v>91</v>
      </c>
      <c r="P6" s="20"/>
      <c r="Q6" s="20">
        <v>89</v>
      </c>
      <c r="R6" s="20"/>
      <c r="S6" s="20">
        <v>91</v>
      </c>
      <c r="T6" s="21"/>
      <c r="U6" s="19">
        <v>89</v>
      </c>
      <c r="V6" s="20"/>
      <c r="W6" s="20">
        <v>91</v>
      </c>
      <c r="X6" s="20"/>
      <c r="Y6" s="20">
        <v>92</v>
      </c>
      <c r="Z6" s="20"/>
      <c r="AA6" s="20">
        <v>90</v>
      </c>
      <c r="AB6" s="21"/>
      <c r="AC6" s="1">
        <v>96</v>
      </c>
      <c r="AD6" s="20"/>
      <c r="AE6" s="20">
        <v>96</v>
      </c>
      <c r="AF6" s="20"/>
      <c r="AG6" s="20">
        <v>93</v>
      </c>
      <c r="AH6" s="20"/>
      <c r="AI6" s="20">
        <v>96</v>
      </c>
      <c r="AJ6" s="3"/>
      <c r="AK6" s="44">
        <f t="shared" si="4"/>
        <v>91</v>
      </c>
      <c r="AL6" s="45">
        <f t="shared" si="5"/>
        <v>90</v>
      </c>
      <c r="AM6" s="46">
        <f t="shared" si="6"/>
        <v>90.5</v>
      </c>
      <c r="AN6" s="47">
        <f t="shared" si="7"/>
        <v>95.25</v>
      </c>
      <c r="AO6" s="48">
        <f t="shared" si="8"/>
        <v>91.6875</v>
      </c>
      <c r="AP6" s="37"/>
      <c r="AR6" s="54" t="str">
        <f t="shared" si="9"/>
        <v/>
      </c>
      <c r="AS6" s="35"/>
      <c r="AT6" s="56">
        <f t="shared" si="10"/>
        <v>0</v>
      </c>
      <c r="AU6" s="57" t="str">
        <f t="shared" si="11"/>
        <v/>
      </c>
      <c r="AV6" s="54" t="str">
        <f t="shared" si="12"/>
        <v/>
      </c>
      <c r="AW6" s="35"/>
      <c r="AX6" s="56">
        <f t="shared" si="13"/>
        <v>0</v>
      </c>
      <c r="AY6" s="60" t="str">
        <f t="shared" si="14"/>
        <v/>
      </c>
      <c r="AZ6" s="54" t="str">
        <f t="shared" si="15"/>
        <v/>
      </c>
      <c r="BA6" s="21"/>
      <c r="BB6" s="62">
        <f t="shared" si="16"/>
        <v>91.6875</v>
      </c>
      <c r="BC6" s="64" t="str">
        <f t="shared" si="17"/>
        <v/>
      </c>
      <c r="BE6" s="20">
        <f t="shared" ref="BE6:BE47" si="18">SUM(E6+M6+U6+AC6)/4</f>
        <v>91.5</v>
      </c>
      <c r="BF6" s="20">
        <f t="shared" ref="BF6:BF47" si="19">SUM(G6+O6+W6+AE6)/4</f>
        <v>92</v>
      </c>
      <c r="BG6" s="89">
        <f t="shared" ref="BG6:BG47" si="20">SUM(I6+Q6+Y6+AG6)/4</f>
        <v>91.25</v>
      </c>
      <c r="BH6" s="20">
        <f t="shared" ref="BH6:BH47" si="21">SUM(K6+S6+AA6+AI6)/4</f>
        <v>92</v>
      </c>
      <c r="BI6" s="20">
        <f t="shared" ref="BI6:BI47" si="22">AVERAGE(BE6:BH6)</f>
        <v>91.6875</v>
      </c>
    </row>
    <row r="7" spans="1:61" x14ac:dyDescent="0.2">
      <c r="A7" s="29">
        <v>5</v>
      </c>
      <c r="B7" s="88" t="s">
        <v>116</v>
      </c>
      <c r="C7" s="71" t="s">
        <v>32</v>
      </c>
      <c r="D7" s="72" t="s">
        <v>40</v>
      </c>
      <c r="E7" s="19">
        <v>95</v>
      </c>
      <c r="F7" s="20"/>
      <c r="G7" s="20">
        <v>96</v>
      </c>
      <c r="H7" s="20"/>
      <c r="I7" s="20">
        <v>94</v>
      </c>
      <c r="J7" s="20"/>
      <c r="K7" s="20">
        <v>95</v>
      </c>
      <c r="L7" s="21"/>
      <c r="M7" s="19">
        <v>93</v>
      </c>
      <c r="N7" s="20"/>
      <c r="O7" s="20">
        <v>96</v>
      </c>
      <c r="P7" s="20"/>
      <c r="Q7" s="20">
        <v>90</v>
      </c>
      <c r="R7" s="20"/>
      <c r="S7" s="20">
        <v>93</v>
      </c>
      <c r="T7" s="21"/>
      <c r="U7" s="19">
        <v>94</v>
      </c>
      <c r="V7" s="20"/>
      <c r="W7" s="20">
        <v>90</v>
      </c>
      <c r="X7" s="20"/>
      <c r="Y7" s="20">
        <v>91</v>
      </c>
      <c r="Z7" s="20"/>
      <c r="AA7" s="20">
        <v>92</v>
      </c>
      <c r="AB7" s="21"/>
      <c r="AC7" s="1">
        <v>89</v>
      </c>
      <c r="AD7" s="20"/>
      <c r="AE7" s="20">
        <v>92</v>
      </c>
      <c r="AF7" s="20"/>
      <c r="AG7" s="20">
        <v>90</v>
      </c>
      <c r="AH7" s="20"/>
      <c r="AI7" s="20">
        <v>90</v>
      </c>
      <c r="AJ7" s="3"/>
      <c r="AK7" s="44">
        <f t="shared" si="4"/>
        <v>95</v>
      </c>
      <c r="AL7" s="45">
        <f t="shared" si="5"/>
        <v>93</v>
      </c>
      <c r="AM7" s="46">
        <f t="shared" si="6"/>
        <v>91.75</v>
      </c>
      <c r="AN7" s="47">
        <f t="shared" si="7"/>
        <v>90.25</v>
      </c>
      <c r="AO7" s="48">
        <f t="shared" si="8"/>
        <v>92.5</v>
      </c>
      <c r="AP7" s="37"/>
      <c r="AR7" s="54" t="str">
        <f t="shared" si="9"/>
        <v/>
      </c>
      <c r="AS7" s="35"/>
      <c r="AT7" s="56">
        <f t="shared" si="10"/>
        <v>0</v>
      </c>
      <c r="AU7" s="57" t="str">
        <f t="shared" si="11"/>
        <v/>
      </c>
      <c r="AV7" s="54" t="str">
        <f t="shared" si="12"/>
        <v/>
      </c>
      <c r="AW7" s="35"/>
      <c r="AX7" s="56">
        <f t="shared" si="13"/>
        <v>0</v>
      </c>
      <c r="AY7" s="60" t="str">
        <f t="shared" si="14"/>
        <v/>
      </c>
      <c r="AZ7" s="54" t="str">
        <f t="shared" si="15"/>
        <v/>
      </c>
      <c r="BA7" s="21"/>
      <c r="BB7" s="62">
        <f t="shared" si="16"/>
        <v>92.5</v>
      </c>
      <c r="BC7" s="64" t="str">
        <f t="shared" si="17"/>
        <v/>
      </c>
      <c r="BE7" s="20">
        <f t="shared" si="18"/>
        <v>92.75</v>
      </c>
      <c r="BF7" s="20">
        <f t="shared" si="19"/>
        <v>93.5</v>
      </c>
      <c r="BG7" s="89">
        <f t="shared" si="20"/>
        <v>91.25</v>
      </c>
      <c r="BH7" s="20">
        <f t="shared" si="21"/>
        <v>92.5</v>
      </c>
      <c r="BI7" s="20">
        <f t="shared" si="22"/>
        <v>92.5</v>
      </c>
    </row>
    <row r="8" spans="1:61" x14ac:dyDescent="0.2">
      <c r="A8" s="29">
        <v>6</v>
      </c>
      <c r="B8" s="88" t="s">
        <v>117</v>
      </c>
      <c r="C8" s="70" t="s">
        <v>41</v>
      </c>
      <c r="D8" s="70" t="s">
        <v>42</v>
      </c>
      <c r="E8" s="19">
        <v>86</v>
      </c>
      <c r="F8" s="20"/>
      <c r="G8" s="20">
        <v>90</v>
      </c>
      <c r="H8" s="20"/>
      <c r="I8" s="20">
        <v>89</v>
      </c>
      <c r="J8" s="20"/>
      <c r="K8" s="20">
        <v>94</v>
      </c>
      <c r="L8" s="21"/>
      <c r="M8" s="19">
        <v>94</v>
      </c>
      <c r="N8" s="20"/>
      <c r="O8" s="20">
        <v>86</v>
      </c>
      <c r="P8" s="20"/>
      <c r="Q8" s="20">
        <v>90</v>
      </c>
      <c r="R8" s="20"/>
      <c r="S8" s="20">
        <v>90</v>
      </c>
      <c r="T8" s="21"/>
      <c r="U8" s="19">
        <v>90</v>
      </c>
      <c r="V8" s="20"/>
      <c r="W8" s="20">
        <v>92</v>
      </c>
      <c r="X8" s="20"/>
      <c r="Y8" s="20">
        <v>92</v>
      </c>
      <c r="Z8" s="20"/>
      <c r="AA8" s="20">
        <v>90</v>
      </c>
      <c r="AB8" s="21"/>
      <c r="AC8" s="1">
        <v>88</v>
      </c>
      <c r="AD8" s="20"/>
      <c r="AE8" s="20">
        <v>92</v>
      </c>
      <c r="AF8" s="20"/>
      <c r="AG8" s="20">
        <v>92</v>
      </c>
      <c r="AH8" s="20"/>
      <c r="AI8" s="20">
        <v>94</v>
      </c>
      <c r="AJ8" s="3"/>
      <c r="AK8" s="44">
        <f t="shared" si="4"/>
        <v>89.75</v>
      </c>
      <c r="AL8" s="45">
        <f t="shared" si="5"/>
        <v>90</v>
      </c>
      <c r="AM8" s="46">
        <f t="shared" si="6"/>
        <v>91</v>
      </c>
      <c r="AN8" s="47">
        <f t="shared" si="7"/>
        <v>91.5</v>
      </c>
      <c r="AO8" s="48">
        <f t="shared" si="8"/>
        <v>90.5625</v>
      </c>
      <c r="AP8" s="37"/>
      <c r="AR8" s="54" t="str">
        <f t="shared" si="9"/>
        <v/>
      </c>
      <c r="AS8" s="35"/>
      <c r="AT8" s="56">
        <f t="shared" si="10"/>
        <v>0</v>
      </c>
      <c r="AU8" s="57" t="str">
        <f t="shared" si="11"/>
        <v/>
      </c>
      <c r="AV8" s="54" t="str">
        <f t="shared" si="12"/>
        <v/>
      </c>
      <c r="AW8" s="35"/>
      <c r="AX8" s="56">
        <f t="shared" si="13"/>
        <v>0</v>
      </c>
      <c r="AY8" s="60" t="str">
        <f t="shared" si="14"/>
        <v/>
      </c>
      <c r="AZ8" s="54" t="str">
        <f t="shared" si="15"/>
        <v/>
      </c>
      <c r="BA8" s="21"/>
      <c r="BB8" s="62">
        <f t="shared" si="16"/>
        <v>90.5625</v>
      </c>
      <c r="BC8" s="64" t="str">
        <f t="shared" si="17"/>
        <v/>
      </c>
      <c r="BE8" s="20">
        <f t="shared" si="18"/>
        <v>89.5</v>
      </c>
      <c r="BF8" s="20">
        <f t="shared" si="19"/>
        <v>90</v>
      </c>
      <c r="BG8" s="89">
        <f t="shared" si="20"/>
        <v>90.75</v>
      </c>
      <c r="BH8" s="20">
        <f t="shared" si="21"/>
        <v>92</v>
      </c>
      <c r="BI8" s="20">
        <f t="shared" si="22"/>
        <v>90.5625</v>
      </c>
    </row>
    <row r="9" spans="1:61" x14ac:dyDescent="0.2">
      <c r="A9" s="29">
        <v>7</v>
      </c>
      <c r="B9" s="88" t="s">
        <v>118</v>
      </c>
      <c r="C9" s="69" t="s">
        <v>43</v>
      </c>
      <c r="D9" s="69" t="s">
        <v>44</v>
      </c>
      <c r="E9" s="19">
        <v>95</v>
      </c>
      <c r="F9" s="20"/>
      <c r="G9" s="20">
        <v>94</v>
      </c>
      <c r="H9" s="20"/>
      <c r="I9" s="20">
        <v>96</v>
      </c>
      <c r="J9" s="20"/>
      <c r="K9" s="20">
        <v>95</v>
      </c>
      <c r="L9" s="21"/>
      <c r="M9" s="19">
        <v>96</v>
      </c>
      <c r="N9" s="20"/>
      <c r="O9" s="20">
        <v>93</v>
      </c>
      <c r="P9" s="20"/>
      <c r="Q9" s="20">
        <v>90</v>
      </c>
      <c r="R9" s="20"/>
      <c r="S9" s="20">
        <v>93</v>
      </c>
      <c r="T9" s="21"/>
      <c r="U9" s="19">
        <v>94</v>
      </c>
      <c r="V9" s="20"/>
      <c r="W9" s="20">
        <v>98</v>
      </c>
      <c r="X9" s="20"/>
      <c r="Y9" s="20">
        <v>90</v>
      </c>
      <c r="Z9" s="20"/>
      <c r="AA9" s="20">
        <v>94</v>
      </c>
      <c r="AB9" s="21"/>
      <c r="AC9" s="1">
        <v>89</v>
      </c>
      <c r="AD9" s="20"/>
      <c r="AE9" s="20">
        <v>93</v>
      </c>
      <c r="AF9" s="20"/>
      <c r="AG9" s="20">
        <v>91</v>
      </c>
      <c r="AH9" s="20"/>
      <c r="AI9" s="20">
        <v>91</v>
      </c>
      <c r="AJ9" s="3"/>
      <c r="AK9" s="44">
        <f t="shared" si="4"/>
        <v>95</v>
      </c>
      <c r="AL9" s="45">
        <f t="shared" si="5"/>
        <v>93</v>
      </c>
      <c r="AM9" s="46">
        <f t="shared" si="6"/>
        <v>94</v>
      </c>
      <c r="AN9" s="47">
        <f t="shared" si="7"/>
        <v>91</v>
      </c>
      <c r="AO9" s="48">
        <f t="shared" si="8"/>
        <v>93.25</v>
      </c>
      <c r="AP9" s="37"/>
      <c r="AR9" s="54" t="str">
        <f t="shared" si="9"/>
        <v/>
      </c>
      <c r="AS9" s="35"/>
      <c r="AT9" s="56">
        <f t="shared" si="10"/>
        <v>0</v>
      </c>
      <c r="AU9" s="57" t="str">
        <f t="shared" si="11"/>
        <v/>
      </c>
      <c r="AV9" s="54" t="str">
        <f t="shared" si="12"/>
        <v/>
      </c>
      <c r="AW9" s="35"/>
      <c r="AX9" s="56">
        <f t="shared" si="13"/>
        <v>0</v>
      </c>
      <c r="AY9" s="60" t="str">
        <f t="shared" si="14"/>
        <v/>
      </c>
      <c r="AZ9" s="54" t="str">
        <f t="shared" si="15"/>
        <v/>
      </c>
      <c r="BA9" s="21"/>
      <c r="BB9" s="62">
        <f t="shared" si="16"/>
        <v>93.25</v>
      </c>
      <c r="BC9" s="64" t="str">
        <f t="shared" si="17"/>
        <v/>
      </c>
      <c r="BE9" s="20">
        <f t="shared" si="18"/>
        <v>93.5</v>
      </c>
      <c r="BF9" s="20">
        <f t="shared" si="19"/>
        <v>94.5</v>
      </c>
      <c r="BG9" s="89">
        <f t="shared" si="20"/>
        <v>91.75</v>
      </c>
      <c r="BH9" s="20">
        <f t="shared" si="21"/>
        <v>93.25</v>
      </c>
      <c r="BI9" s="20">
        <f t="shared" si="22"/>
        <v>93.25</v>
      </c>
    </row>
    <row r="10" spans="1:61" x14ac:dyDescent="0.2">
      <c r="A10" s="29">
        <v>8</v>
      </c>
      <c r="B10" s="88" t="s">
        <v>119</v>
      </c>
      <c r="C10" s="70" t="s">
        <v>45</v>
      </c>
      <c r="D10" s="70" t="s">
        <v>46</v>
      </c>
      <c r="E10" s="19">
        <v>80</v>
      </c>
      <c r="F10" s="20"/>
      <c r="G10" s="20">
        <v>81</v>
      </c>
      <c r="H10" s="20"/>
      <c r="I10" s="20">
        <v>83</v>
      </c>
      <c r="J10" s="20"/>
      <c r="K10" s="20">
        <v>80</v>
      </c>
      <c r="L10" s="21"/>
      <c r="M10" s="19">
        <v>84</v>
      </c>
      <c r="N10" s="20"/>
      <c r="O10" s="20">
        <v>88</v>
      </c>
      <c r="P10" s="20"/>
      <c r="Q10" s="20">
        <v>80</v>
      </c>
      <c r="R10" s="20"/>
      <c r="S10" s="20">
        <v>84</v>
      </c>
      <c r="T10" s="21"/>
      <c r="U10" s="19">
        <v>86</v>
      </c>
      <c r="V10" s="20"/>
      <c r="W10" s="20">
        <v>80</v>
      </c>
      <c r="X10" s="20"/>
      <c r="Y10" s="20">
        <v>86</v>
      </c>
      <c r="Z10" s="20"/>
      <c r="AA10" s="20">
        <v>83</v>
      </c>
      <c r="AB10" s="21"/>
      <c r="AC10" s="1">
        <v>86</v>
      </c>
      <c r="AD10" s="20"/>
      <c r="AE10" s="20">
        <v>94</v>
      </c>
      <c r="AF10" s="20"/>
      <c r="AG10" s="20">
        <v>90</v>
      </c>
      <c r="AH10" s="20"/>
      <c r="AI10" s="20">
        <v>91</v>
      </c>
      <c r="AJ10" s="3"/>
      <c r="AK10" s="44">
        <f t="shared" si="4"/>
        <v>81</v>
      </c>
      <c r="AL10" s="45">
        <f t="shared" si="5"/>
        <v>84</v>
      </c>
      <c r="AM10" s="46">
        <f t="shared" si="6"/>
        <v>83.75</v>
      </c>
      <c r="AN10" s="47">
        <f t="shared" si="7"/>
        <v>90.25</v>
      </c>
      <c r="AO10" s="48">
        <f t="shared" si="8"/>
        <v>84.75</v>
      </c>
      <c r="AP10" s="37"/>
      <c r="AR10" s="54" t="str">
        <f t="shared" si="9"/>
        <v/>
      </c>
      <c r="AS10" s="35"/>
      <c r="AT10" s="56">
        <f t="shared" si="10"/>
        <v>0</v>
      </c>
      <c r="AU10" s="57" t="str">
        <f t="shared" si="11"/>
        <v/>
      </c>
      <c r="AV10" s="54" t="str">
        <f t="shared" si="12"/>
        <v/>
      </c>
      <c r="AW10" s="35"/>
      <c r="AX10" s="56">
        <f t="shared" si="13"/>
        <v>0</v>
      </c>
      <c r="AY10" s="60" t="str">
        <f t="shared" si="14"/>
        <v/>
      </c>
      <c r="AZ10" s="54" t="str">
        <f t="shared" si="15"/>
        <v/>
      </c>
      <c r="BA10" s="21"/>
      <c r="BB10" s="62">
        <f t="shared" si="16"/>
        <v>84.75</v>
      </c>
      <c r="BC10" s="64" t="str">
        <f t="shared" si="17"/>
        <v/>
      </c>
      <c r="BE10" s="20">
        <f t="shared" si="18"/>
        <v>84</v>
      </c>
      <c r="BF10" s="20">
        <f t="shared" si="19"/>
        <v>85.75</v>
      </c>
      <c r="BG10" s="89">
        <f t="shared" si="20"/>
        <v>84.75</v>
      </c>
      <c r="BH10" s="20">
        <f t="shared" si="21"/>
        <v>84.5</v>
      </c>
      <c r="BI10" s="20">
        <f t="shared" si="22"/>
        <v>84.75</v>
      </c>
    </row>
    <row r="11" spans="1:61" x14ac:dyDescent="0.2">
      <c r="A11" s="29">
        <v>9</v>
      </c>
      <c r="B11" s="88" t="s">
        <v>120</v>
      </c>
      <c r="C11" s="69" t="s">
        <v>47</v>
      </c>
      <c r="D11" s="69" t="s">
        <v>48</v>
      </c>
      <c r="E11" s="19">
        <v>80</v>
      </c>
      <c r="F11" s="20"/>
      <c r="G11" s="20">
        <v>84</v>
      </c>
      <c r="H11" s="20"/>
      <c r="I11" s="20">
        <v>80</v>
      </c>
      <c r="J11" s="20"/>
      <c r="K11" s="20">
        <v>80</v>
      </c>
      <c r="L11" s="21"/>
      <c r="M11" s="19">
        <v>79</v>
      </c>
      <c r="N11" s="20"/>
      <c r="O11" s="20">
        <v>81</v>
      </c>
      <c r="P11" s="20"/>
      <c r="Q11" s="20">
        <v>80</v>
      </c>
      <c r="R11" s="20"/>
      <c r="S11" s="20">
        <v>80</v>
      </c>
      <c r="T11" s="21"/>
      <c r="U11" s="19">
        <v>86</v>
      </c>
      <c r="V11" s="20"/>
      <c r="W11" s="20">
        <v>84</v>
      </c>
      <c r="X11" s="20"/>
      <c r="Y11" s="20">
        <v>86</v>
      </c>
      <c r="Z11" s="20"/>
      <c r="AA11" s="20">
        <v>86</v>
      </c>
      <c r="AB11" s="21"/>
      <c r="AC11" s="1">
        <v>90</v>
      </c>
      <c r="AD11" s="20"/>
      <c r="AE11" s="20">
        <v>89</v>
      </c>
      <c r="AF11" s="20"/>
      <c r="AG11" s="20">
        <v>89</v>
      </c>
      <c r="AH11" s="20"/>
      <c r="AI11" s="20">
        <v>92</v>
      </c>
      <c r="AJ11" s="3"/>
      <c r="AK11" s="44">
        <f t="shared" si="4"/>
        <v>81</v>
      </c>
      <c r="AL11" s="45">
        <f t="shared" si="5"/>
        <v>80</v>
      </c>
      <c r="AM11" s="46">
        <f t="shared" si="6"/>
        <v>85.5</v>
      </c>
      <c r="AN11" s="47">
        <f t="shared" si="7"/>
        <v>90</v>
      </c>
      <c r="AO11" s="48">
        <f t="shared" si="8"/>
        <v>84.125</v>
      </c>
      <c r="AP11" s="37"/>
      <c r="AR11" s="54" t="str">
        <f t="shared" si="9"/>
        <v/>
      </c>
      <c r="AS11" s="35"/>
      <c r="AT11" s="56">
        <f t="shared" si="10"/>
        <v>0</v>
      </c>
      <c r="AU11" s="57" t="str">
        <f t="shared" si="11"/>
        <v/>
      </c>
      <c r="AV11" s="54" t="str">
        <f t="shared" si="12"/>
        <v/>
      </c>
      <c r="AW11" s="35"/>
      <c r="AX11" s="56">
        <f t="shared" si="13"/>
        <v>0</v>
      </c>
      <c r="AY11" s="60" t="str">
        <f t="shared" si="14"/>
        <v/>
      </c>
      <c r="AZ11" s="54" t="str">
        <f t="shared" si="15"/>
        <v/>
      </c>
      <c r="BA11" s="21"/>
      <c r="BB11" s="62">
        <f t="shared" si="16"/>
        <v>84.125</v>
      </c>
      <c r="BC11" s="64" t="str">
        <f t="shared" si="17"/>
        <v/>
      </c>
      <c r="BE11" s="20">
        <f t="shared" si="18"/>
        <v>83.75</v>
      </c>
      <c r="BF11" s="20">
        <f t="shared" si="19"/>
        <v>84.5</v>
      </c>
      <c r="BG11" s="89">
        <f t="shared" si="20"/>
        <v>83.75</v>
      </c>
      <c r="BH11" s="20">
        <f t="shared" si="21"/>
        <v>84.5</v>
      </c>
      <c r="BI11" s="20">
        <f t="shared" si="22"/>
        <v>84.125</v>
      </c>
    </row>
    <row r="12" spans="1:61" x14ac:dyDescent="0.2">
      <c r="A12" s="29">
        <v>10</v>
      </c>
      <c r="B12" s="88" t="s">
        <v>121</v>
      </c>
      <c r="C12" s="70" t="s">
        <v>49</v>
      </c>
      <c r="D12" s="70" t="s">
        <v>50</v>
      </c>
      <c r="E12" s="19"/>
      <c r="F12" s="19">
        <v>60</v>
      </c>
      <c r="G12" s="19">
        <v>60</v>
      </c>
      <c r="H12" s="20"/>
      <c r="I12" s="20">
        <v>65</v>
      </c>
      <c r="J12" s="20"/>
      <c r="K12" s="20">
        <v>63</v>
      </c>
      <c r="L12" s="20"/>
      <c r="M12" s="20">
        <v>68</v>
      </c>
      <c r="N12" s="19">
        <v>60</v>
      </c>
      <c r="O12" s="19">
        <v>60</v>
      </c>
      <c r="P12" s="20"/>
      <c r="Q12" s="20">
        <v>65</v>
      </c>
      <c r="R12" s="20"/>
      <c r="S12" s="20">
        <v>63</v>
      </c>
      <c r="T12" s="20"/>
      <c r="U12" s="20">
        <v>68</v>
      </c>
      <c r="V12" s="19">
        <v>60</v>
      </c>
      <c r="W12" s="19">
        <v>60</v>
      </c>
      <c r="X12" s="20"/>
      <c r="Y12" s="20">
        <v>65</v>
      </c>
      <c r="Z12" s="20"/>
      <c r="AA12" s="20">
        <v>63</v>
      </c>
      <c r="AB12" s="20"/>
      <c r="AC12" s="20">
        <v>68</v>
      </c>
      <c r="AD12" s="19">
        <v>60</v>
      </c>
      <c r="AE12" s="19">
        <v>60</v>
      </c>
      <c r="AF12" s="20"/>
      <c r="AG12" s="20">
        <v>65</v>
      </c>
      <c r="AH12" s="20"/>
      <c r="AI12" s="20">
        <v>63</v>
      </c>
      <c r="AJ12" s="20"/>
      <c r="AK12" s="20">
        <v>68</v>
      </c>
      <c r="AL12" s="45">
        <f t="shared" si="5"/>
        <v>15</v>
      </c>
      <c r="AM12" s="46">
        <f t="shared" si="6"/>
        <v>15</v>
      </c>
      <c r="AN12" s="47">
        <f t="shared" si="7"/>
        <v>48.25</v>
      </c>
      <c r="AO12" s="48">
        <f t="shared" si="8"/>
        <v>36.5625</v>
      </c>
      <c r="AP12" s="37"/>
      <c r="AR12" s="54">
        <f t="shared" si="9"/>
        <v>18.28125</v>
      </c>
      <c r="AS12" s="20"/>
      <c r="AT12" s="56">
        <f t="shared" si="10"/>
        <v>0</v>
      </c>
      <c r="AU12" s="57" t="str">
        <f t="shared" si="11"/>
        <v/>
      </c>
      <c r="AV12" s="54" t="str">
        <f t="shared" si="12"/>
        <v/>
      </c>
      <c r="AW12" s="20"/>
      <c r="AX12" s="56">
        <f t="shared" si="13"/>
        <v>0</v>
      </c>
      <c r="AY12" s="60" t="str">
        <f t="shared" si="14"/>
        <v/>
      </c>
      <c r="AZ12" s="54" t="str">
        <f t="shared" si="15"/>
        <v/>
      </c>
      <c r="BA12" s="21"/>
      <c r="BB12" s="62" t="str">
        <f t="shared" si="16"/>
        <v/>
      </c>
      <c r="BC12" s="64">
        <f t="shared" si="17"/>
        <v>36.5625</v>
      </c>
      <c r="BE12" s="20">
        <f t="shared" si="18"/>
        <v>51</v>
      </c>
      <c r="BF12" s="20">
        <f t="shared" si="19"/>
        <v>60</v>
      </c>
      <c r="BG12" s="89">
        <f t="shared" si="20"/>
        <v>65</v>
      </c>
      <c r="BH12" s="20">
        <f t="shared" si="21"/>
        <v>63</v>
      </c>
      <c r="BI12" s="20">
        <f t="shared" si="22"/>
        <v>59.75</v>
      </c>
    </row>
    <row r="13" spans="1:61" x14ac:dyDescent="0.2">
      <c r="A13" s="29">
        <v>11</v>
      </c>
      <c r="B13" s="88" t="s">
        <v>122</v>
      </c>
      <c r="C13" s="69" t="s">
        <v>51</v>
      </c>
      <c r="D13" s="69" t="s">
        <v>52</v>
      </c>
      <c r="E13" s="19"/>
      <c r="F13" s="19">
        <v>60</v>
      </c>
      <c r="G13" s="19">
        <v>60</v>
      </c>
      <c r="H13" s="20"/>
      <c r="I13" s="20">
        <v>65</v>
      </c>
      <c r="J13" s="20"/>
      <c r="K13" s="20">
        <v>63</v>
      </c>
      <c r="L13" s="20"/>
      <c r="M13" s="20">
        <v>68</v>
      </c>
      <c r="N13" s="19">
        <v>60</v>
      </c>
      <c r="O13" s="19">
        <v>60</v>
      </c>
      <c r="P13" s="20"/>
      <c r="Q13" s="20">
        <v>65</v>
      </c>
      <c r="R13" s="20"/>
      <c r="S13" s="20">
        <v>63</v>
      </c>
      <c r="T13" s="20"/>
      <c r="U13" s="20">
        <v>68</v>
      </c>
      <c r="V13" s="19">
        <v>60</v>
      </c>
      <c r="W13" s="19">
        <v>60</v>
      </c>
      <c r="X13" s="20"/>
      <c r="Y13" s="20">
        <v>65</v>
      </c>
      <c r="Z13" s="20"/>
      <c r="AA13" s="20">
        <v>63</v>
      </c>
      <c r="AB13" s="20"/>
      <c r="AC13" s="20">
        <v>68</v>
      </c>
      <c r="AD13" s="19">
        <v>60</v>
      </c>
      <c r="AE13" s="19">
        <v>60</v>
      </c>
      <c r="AF13" s="20"/>
      <c r="AG13" s="20">
        <v>65</v>
      </c>
      <c r="AH13" s="20"/>
      <c r="AI13" s="20">
        <v>63</v>
      </c>
      <c r="AJ13" s="20"/>
      <c r="AK13" s="20">
        <v>68</v>
      </c>
      <c r="AL13" s="45">
        <f t="shared" si="5"/>
        <v>15</v>
      </c>
      <c r="AM13" s="46">
        <f t="shared" si="6"/>
        <v>15</v>
      </c>
      <c r="AN13" s="47">
        <f t="shared" si="7"/>
        <v>48.25</v>
      </c>
      <c r="AO13" s="48">
        <f t="shared" si="8"/>
        <v>36.5625</v>
      </c>
      <c r="AP13" s="37"/>
      <c r="AR13" s="54">
        <f t="shared" si="9"/>
        <v>18.28125</v>
      </c>
      <c r="AS13" s="20"/>
      <c r="AT13" s="56">
        <f t="shared" si="10"/>
        <v>0</v>
      </c>
      <c r="AU13" s="57" t="str">
        <f t="shared" si="11"/>
        <v/>
      </c>
      <c r="AV13" s="54" t="str">
        <f t="shared" si="12"/>
        <v/>
      </c>
      <c r="AW13" s="20"/>
      <c r="AX13" s="56">
        <f t="shared" si="13"/>
        <v>0</v>
      </c>
      <c r="AY13" s="60" t="str">
        <f t="shared" si="14"/>
        <v/>
      </c>
      <c r="AZ13" s="54" t="str">
        <f t="shared" si="15"/>
        <v/>
      </c>
      <c r="BA13" s="21"/>
      <c r="BB13" s="62" t="str">
        <f t="shared" si="16"/>
        <v/>
      </c>
      <c r="BC13" s="64">
        <f t="shared" si="17"/>
        <v>36.5625</v>
      </c>
      <c r="BE13" s="20">
        <f t="shared" si="18"/>
        <v>51</v>
      </c>
      <c r="BF13" s="20">
        <f t="shared" si="19"/>
        <v>60</v>
      </c>
      <c r="BG13" s="89">
        <f t="shared" si="20"/>
        <v>65</v>
      </c>
      <c r="BH13" s="20">
        <f t="shared" si="21"/>
        <v>63</v>
      </c>
      <c r="BI13" s="20">
        <f t="shared" si="22"/>
        <v>59.75</v>
      </c>
    </row>
    <row r="14" spans="1:61" x14ac:dyDescent="0.2">
      <c r="A14" s="29">
        <v>12</v>
      </c>
      <c r="B14" s="88" t="s">
        <v>123</v>
      </c>
      <c r="C14" s="70" t="s">
        <v>53</v>
      </c>
      <c r="D14" s="70" t="s">
        <v>54</v>
      </c>
      <c r="E14" s="19">
        <v>96</v>
      </c>
      <c r="F14" s="20"/>
      <c r="G14" s="20">
        <v>94</v>
      </c>
      <c r="H14" s="20"/>
      <c r="I14" s="20">
        <v>95</v>
      </c>
      <c r="J14" s="20"/>
      <c r="K14" s="20">
        <v>95</v>
      </c>
      <c r="L14" s="21"/>
      <c r="M14" s="19">
        <v>96</v>
      </c>
      <c r="N14" s="20"/>
      <c r="O14" s="20">
        <v>90</v>
      </c>
      <c r="P14" s="20"/>
      <c r="Q14" s="20">
        <v>93</v>
      </c>
      <c r="R14" s="20"/>
      <c r="S14" s="20">
        <v>93</v>
      </c>
      <c r="T14" s="21"/>
      <c r="U14" s="19">
        <v>92</v>
      </c>
      <c r="V14" s="20"/>
      <c r="W14" s="20">
        <v>94</v>
      </c>
      <c r="X14" s="20"/>
      <c r="Y14" s="20">
        <v>90</v>
      </c>
      <c r="Z14" s="20"/>
      <c r="AA14" s="20">
        <v>92</v>
      </c>
      <c r="AB14" s="21"/>
      <c r="AC14" s="1">
        <v>93</v>
      </c>
      <c r="AD14" s="20"/>
      <c r="AE14" s="20">
        <v>96</v>
      </c>
      <c r="AF14" s="20"/>
      <c r="AG14" s="20">
        <v>90</v>
      </c>
      <c r="AH14" s="20"/>
      <c r="AI14" s="20">
        <v>93</v>
      </c>
      <c r="AJ14" s="3"/>
      <c r="AK14" s="44">
        <f t="shared" si="4"/>
        <v>95</v>
      </c>
      <c r="AL14" s="45">
        <f t="shared" si="5"/>
        <v>93</v>
      </c>
      <c r="AM14" s="46">
        <f t="shared" si="6"/>
        <v>92</v>
      </c>
      <c r="AN14" s="47">
        <f t="shared" si="7"/>
        <v>93</v>
      </c>
      <c r="AO14" s="48">
        <f t="shared" si="8"/>
        <v>93.25</v>
      </c>
      <c r="AP14" s="37"/>
      <c r="AR14" s="54" t="str">
        <f t="shared" si="9"/>
        <v/>
      </c>
      <c r="AS14" s="20"/>
      <c r="AT14" s="56">
        <f t="shared" si="10"/>
        <v>0</v>
      </c>
      <c r="AU14" s="57" t="str">
        <f t="shared" si="11"/>
        <v/>
      </c>
      <c r="AV14" s="54" t="str">
        <f t="shared" si="12"/>
        <v/>
      </c>
      <c r="AW14" s="20"/>
      <c r="AX14" s="56">
        <f t="shared" si="13"/>
        <v>0</v>
      </c>
      <c r="AY14" s="60" t="str">
        <f t="shared" si="14"/>
        <v/>
      </c>
      <c r="AZ14" s="54" t="str">
        <f t="shared" si="15"/>
        <v/>
      </c>
      <c r="BA14" s="21"/>
      <c r="BB14" s="62">
        <f t="shared" si="16"/>
        <v>93.25</v>
      </c>
      <c r="BC14" s="64" t="str">
        <f t="shared" si="17"/>
        <v/>
      </c>
      <c r="BE14" s="20">
        <f t="shared" si="18"/>
        <v>94.25</v>
      </c>
      <c r="BF14" s="20">
        <f t="shared" si="19"/>
        <v>93.5</v>
      </c>
      <c r="BG14" s="89">
        <f t="shared" si="20"/>
        <v>92</v>
      </c>
      <c r="BH14" s="20">
        <f t="shared" si="21"/>
        <v>93.25</v>
      </c>
      <c r="BI14" s="20">
        <f t="shared" si="22"/>
        <v>93.25</v>
      </c>
    </row>
    <row r="15" spans="1:61" x14ac:dyDescent="0.2">
      <c r="A15" s="29">
        <v>13</v>
      </c>
      <c r="B15" s="88" t="s">
        <v>124</v>
      </c>
      <c r="C15" s="69" t="s">
        <v>55</v>
      </c>
      <c r="D15" s="69" t="s">
        <v>56</v>
      </c>
      <c r="E15" s="19">
        <v>84</v>
      </c>
      <c r="F15" s="20"/>
      <c r="G15" s="20">
        <v>80</v>
      </c>
      <c r="H15" s="20"/>
      <c r="I15" s="20">
        <v>80</v>
      </c>
      <c r="J15" s="20"/>
      <c r="K15" s="20">
        <v>84</v>
      </c>
      <c r="L15" s="21"/>
      <c r="M15" s="19">
        <v>86</v>
      </c>
      <c r="N15" s="20"/>
      <c r="O15" s="20">
        <v>83</v>
      </c>
      <c r="P15" s="20"/>
      <c r="Q15" s="20">
        <v>80</v>
      </c>
      <c r="R15" s="20"/>
      <c r="S15" s="20">
        <v>83</v>
      </c>
      <c r="T15" s="21"/>
      <c r="U15" s="19">
        <v>85</v>
      </c>
      <c r="V15" s="20"/>
      <c r="W15" s="20">
        <v>86</v>
      </c>
      <c r="X15" s="20"/>
      <c r="Y15" s="20">
        <v>89</v>
      </c>
      <c r="Z15" s="20"/>
      <c r="AA15" s="20">
        <v>86</v>
      </c>
      <c r="AB15" s="21"/>
      <c r="AC15" s="1">
        <v>90</v>
      </c>
      <c r="AD15" s="20"/>
      <c r="AE15" s="20">
        <v>89</v>
      </c>
      <c r="AF15" s="20"/>
      <c r="AG15" s="20">
        <v>91</v>
      </c>
      <c r="AH15" s="20"/>
      <c r="AI15" s="20">
        <v>90</v>
      </c>
      <c r="AJ15" s="3"/>
      <c r="AK15" s="44">
        <f t="shared" si="4"/>
        <v>82</v>
      </c>
      <c r="AL15" s="45">
        <f t="shared" si="5"/>
        <v>83</v>
      </c>
      <c r="AM15" s="46">
        <f t="shared" si="6"/>
        <v>86.5</v>
      </c>
      <c r="AN15" s="47">
        <f t="shared" si="7"/>
        <v>90</v>
      </c>
      <c r="AO15" s="48">
        <f t="shared" si="8"/>
        <v>85.375</v>
      </c>
      <c r="AP15" s="37"/>
      <c r="AR15" s="54" t="str">
        <f t="shared" si="9"/>
        <v/>
      </c>
      <c r="AS15" s="20"/>
      <c r="AT15" s="56">
        <f t="shared" si="10"/>
        <v>0</v>
      </c>
      <c r="AU15" s="57" t="str">
        <f t="shared" si="11"/>
        <v/>
      </c>
      <c r="AV15" s="54" t="str">
        <f t="shared" si="12"/>
        <v/>
      </c>
      <c r="AW15" s="20"/>
      <c r="AX15" s="56">
        <f t="shared" si="13"/>
        <v>0</v>
      </c>
      <c r="AY15" s="60" t="str">
        <f t="shared" si="14"/>
        <v/>
      </c>
      <c r="AZ15" s="54" t="str">
        <f t="shared" si="15"/>
        <v/>
      </c>
      <c r="BA15" s="21"/>
      <c r="BB15" s="62">
        <f t="shared" si="16"/>
        <v>85.375</v>
      </c>
      <c r="BC15" s="64" t="str">
        <f t="shared" si="17"/>
        <v/>
      </c>
      <c r="BE15" s="20">
        <f t="shared" si="18"/>
        <v>86.25</v>
      </c>
      <c r="BF15" s="20">
        <f t="shared" si="19"/>
        <v>84.5</v>
      </c>
      <c r="BG15" s="89">
        <f t="shared" si="20"/>
        <v>85</v>
      </c>
      <c r="BH15" s="20">
        <f t="shared" si="21"/>
        <v>85.75</v>
      </c>
      <c r="BI15" s="20">
        <f t="shared" si="22"/>
        <v>85.375</v>
      </c>
    </row>
    <row r="16" spans="1:61" x14ac:dyDescent="0.2">
      <c r="A16" s="29">
        <v>14</v>
      </c>
      <c r="B16" s="88" t="s">
        <v>125</v>
      </c>
      <c r="C16" s="70" t="s">
        <v>57</v>
      </c>
      <c r="D16" s="70" t="s">
        <v>58</v>
      </c>
      <c r="E16" s="19"/>
      <c r="F16" s="19">
        <v>60</v>
      </c>
      <c r="G16" s="19">
        <v>60</v>
      </c>
      <c r="H16" s="20"/>
      <c r="I16" s="20">
        <v>65</v>
      </c>
      <c r="J16" s="20"/>
      <c r="K16" s="20">
        <v>63</v>
      </c>
      <c r="L16" s="20"/>
      <c r="M16" s="20">
        <v>68</v>
      </c>
      <c r="N16" s="19">
        <v>60</v>
      </c>
      <c r="O16" s="19">
        <v>60</v>
      </c>
      <c r="P16" s="20"/>
      <c r="Q16" s="20">
        <v>65</v>
      </c>
      <c r="R16" s="20"/>
      <c r="S16" s="20">
        <v>63</v>
      </c>
      <c r="T16" s="20"/>
      <c r="U16" s="20">
        <v>68</v>
      </c>
      <c r="V16" s="19">
        <v>60</v>
      </c>
      <c r="W16" s="19">
        <v>60</v>
      </c>
      <c r="X16" s="20"/>
      <c r="Y16" s="20">
        <v>65</v>
      </c>
      <c r="Z16" s="20"/>
      <c r="AA16" s="20">
        <v>63</v>
      </c>
      <c r="AB16" s="20"/>
      <c r="AC16" s="20">
        <v>68</v>
      </c>
      <c r="AD16" s="19">
        <v>60</v>
      </c>
      <c r="AE16" s="19">
        <v>60</v>
      </c>
      <c r="AF16" s="20"/>
      <c r="AG16" s="20">
        <v>65</v>
      </c>
      <c r="AH16" s="20"/>
      <c r="AI16" s="20">
        <v>63</v>
      </c>
      <c r="AJ16" s="20"/>
      <c r="AK16" s="20">
        <v>68</v>
      </c>
      <c r="AL16" s="45">
        <f t="shared" si="5"/>
        <v>15</v>
      </c>
      <c r="AM16" s="46">
        <f t="shared" si="6"/>
        <v>15</v>
      </c>
      <c r="AN16" s="47">
        <f t="shared" si="7"/>
        <v>48.25</v>
      </c>
      <c r="AO16" s="48">
        <f t="shared" si="8"/>
        <v>36.5625</v>
      </c>
      <c r="AP16" s="37"/>
      <c r="AR16" s="54">
        <f t="shared" si="9"/>
        <v>18.28125</v>
      </c>
      <c r="AS16" s="20"/>
      <c r="AT16" s="56">
        <f t="shared" si="10"/>
        <v>0</v>
      </c>
      <c r="AU16" s="57" t="str">
        <f t="shared" si="11"/>
        <v/>
      </c>
      <c r="AV16" s="54" t="str">
        <f t="shared" si="12"/>
        <v/>
      </c>
      <c r="AW16" s="20"/>
      <c r="AX16" s="56">
        <f t="shared" si="13"/>
        <v>0</v>
      </c>
      <c r="AY16" s="60" t="str">
        <f t="shared" si="14"/>
        <v/>
      </c>
      <c r="AZ16" s="54" t="str">
        <f t="shared" si="15"/>
        <v/>
      </c>
      <c r="BA16" s="21"/>
      <c r="BB16" s="62" t="str">
        <f t="shared" si="16"/>
        <v/>
      </c>
      <c r="BC16" s="64">
        <f t="shared" si="17"/>
        <v>36.5625</v>
      </c>
      <c r="BE16" s="20">
        <f t="shared" si="18"/>
        <v>51</v>
      </c>
      <c r="BF16" s="20">
        <f t="shared" si="19"/>
        <v>60</v>
      </c>
      <c r="BG16" s="89">
        <f t="shared" si="20"/>
        <v>65</v>
      </c>
      <c r="BH16" s="20">
        <f t="shared" si="21"/>
        <v>63</v>
      </c>
      <c r="BI16" s="20">
        <f t="shared" si="22"/>
        <v>59.75</v>
      </c>
    </row>
    <row r="17" spans="1:61" x14ac:dyDescent="0.2">
      <c r="A17" s="29">
        <v>15</v>
      </c>
      <c r="B17" s="88" t="s">
        <v>126</v>
      </c>
      <c r="C17" s="69" t="s">
        <v>59</v>
      </c>
      <c r="D17" s="69" t="s">
        <v>60</v>
      </c>
      <c r="E17" s="19">
        <v>78</v>
      </c>
      <c r="F17" s="20"/>
      <c r="G17" s="20">
        <v>80</v>
      </c>
      <c r="H17" s="20"/>
      <c r="I17" s="20">
        <v>82</v>
      </c>
      <c r="J17" s="20"/>
      <c r="K17" s="20">
        <v>82</v>
      </c>
      <c r="L17" s="21"/>
      <c r="M17" s="19">
        <v>80</v>
      </c>
      <c r="N17" s="20"/>
      <c r="O17" s="20">
        <v>84</v>
      </c>
      <c r="P17" s="20"/>
      <c r="Q17" s="20">
        <v>86</v>
      </c>
      <c r="R17" s="20"/>
      <c r="S17" s="20">
        <v>86</v>
      </c>
      <c r="T17" s="21"/>
      <c r="U17" s="19">
        <v>80</v>
      </c>
      <c r="V17" s="20"/>
      <c r="W17" s="20">
        <v>82</v>
      </c>
      <c r="X17" s="20"/>
      <c r="Y17" s="20">
        <v>84</v>
      </c>
      <c r="Z17" s="20"/>
      <c r="AA17" s="20">
        <v>84</v>
      </c>
      <c r="AB17" s="21"/>
      <c r="AC17" s="1">
        <v>86</v>
      </c>
      <c r="AD17" s="20"/>
      <c r="AE17" s="20">
        <v>94</v>
      </c>
      <c r="AF17" s="20"/>
      <c r="AG17" s="20">
        <v>96</v>
      </c>
      <c r="AH17" s="20"/>
      <c r="AI17" s="20">
        <v>91</v>
      </c>
      <c r="AJ17" s="3"/>
      <c r="AK17" s="44">
        <f t="shared" si="4"/>
        <v>80.5</v>
      </c>
      <c r="AL17" s="45">
        <f t="shared" si="5"/>
        <v>84</v>
      </c>
      <c r="AM17" s="46">
        <f t="shared" si="6"/>
        <v>82.5</v>
      </c>
      <c r="AN17" s="47">
        <f t="shared" si="7"/>
        <v>91.75</v>
      </c>
      <c r="AO17" s="48">
        <f t="shared" si="8"/>
        <v>84.6875</v>
      </c>
      <c r="AP17" s="37"/>
      <c r="AR17" s="54" t="str">
        <f t="shared" si="9"/>
        <v/>
      </c>
      <c r="AS17" s="20"/>
      <c r="AT17" s="56">
        <f t="shared" si="10"/>
        <v>0</v>
      </c>
      <c r="AU17" s="57" t="str">
        <f t="shared" si="11"/>
        <v/>
      </c>
      <c r="AV17" s="54" t="str">
        <f t="shared" si="12"/>
        <v/>
      </c>
      <c r="AW17" s="20"/>
      <c r="AX17" s="56">
        <f t="shared" si="13"/>
        <v>0</v>
      </c>
      <c r="AY17" s="60" t="str">
        <f t="shared" si="14"/>
        <v/>
      </c>
      <c r="AZ17" s="54" t="str">
        <f t="shared" si="15"/>
        <v/>
      </c>
      <c r="BA17" s="21"/>
      <c r="BB17" s="62">
        <f t="shared" si="16"/>
        <v>84.6875</v>
      </c>
      <c r="BC17" s="64" t="str">
        <f t="shared" si="17"/>
        <v/>
      </c>
      <c r="BE17" s="20">
        <f t="shared" si="18"/>
        <v>81</v>
      </c>
      <c r="BF17" s="20">
        <f t="shared" si="19"/>
        <v>85</v>
      </c>
      <c r="BG17" s="89">
        <f t="shared" si="20"/>
        <v>87</v>
      </c>
      <c r="BH17" s="20">
        <f t="shared" si="21"/>
        <v>85.75</v>
      </c>
      <c r="BI17" s="20">
        <f t="shared" si="22"/>
        <v>84.6875</v>
      </c>
    </row>
    <row r="18" spans="1:61" x14ac:dyDescent="0.2">
      <c r="A18" s="29">
        <v>16</v>
      </c>
      <c r="B18" s="88" t="s">
        <v>127</v>
      </c>
      <c r="C18" s="70" t="s">
        <v>61</v>
      </c>
      <c r="D18" s="70" t="s">
        <v>62</v>
      </c>
      <c r="E18" s="19">
        <v>96</v>
      </c>
      <c r="F18" s="20"/>
      <c r="G18" s="20">
        <v>94</v>
      </c>
      <c r="H18" s="20"/>
      <c r="I18" s="20">
        <v>95</v>
      </c>
      <c r="J18" s="20"/>
      <c r="K18" s="20">
        <v>95</v>
      </c>
      <c r="L18" s="21"/>
      <c r="M18" s="19">
        <v>96</v>
      </c>
      <c r="N18" s="20"/>
      <c r="O18" s="20">
        <v>94</v>
      </c>
      <c r="P18" s="20"/>
      <c r="Q18" s="20">
        <v>92</v>
      </c>
      <c r="R18" s="20"/>
      <c r="S18" s="20">
        <v>94</v>
      </c>
      <c r="T18" s="21"/>
      <c r="U18" s="19">
        <v>94</v>
      </c>
      <c r="V18" s="20"/>
      <c r="W18" s="20">
        <v>96</v>
      </c>
      <c r="X18" s="20"/>
      <c r="Y18" s="20">
        <v>96</v>
      </c>
      <c r="Z18" s="20"/>
      <c r="AA18" s="20">
        <v>94</v>
      </c>
      <c r="AB18" s="21"/>
      <c r="AC18" s="1">
        <v>94</v>
      </c>
      <c r="AD18" s="20"/>
      <c r="AE18" s="20">
        <v>98</v>
      </c>
      <c r="AF18" s="20"/>
      <c r="AG18" s="20">
        <v>90</v>
      </c>
      <c r="AH18" s="20"/>
      <c r="AI18" s="20">
        <v>94</v>
      </c>
      <c r="AJ18" s="3"/>
      <c r="AK18" s="44">
        <f t="shared" si="4"/>
        <v>95</v>
      </c>
      <c r="AL18" s="45">
        <f t="shared" si="5"/>
        <v>94</v>
      </c>
      <c r="AM18" s="46">
        <f t="shared" si="6"/>
        <v>95</v>
      </c>
      <c r="AN18" s="47">
        <f t="shared" si="7"/>
        <v>94</v>
      </c>
      <c r="AO18" s="48">
        <f t="shared" si="8"/>
        <v>94.5</v>
      </c>
      <c r="AP18" s="37"/>
      <c r="AR18" s="54" t="str">
        <f t="shared" si="9"/>
        <v/>
      </c>
      <c r="AS18" s="20"/>
      <c r="AT18" s="56">
        <f t="shared" si="10"/>
        <v>0</v>
      </c>
      <c r="AU18" s="57" t="str">
        <f t="shared" si="11"/>
        <v/>
      </c>
      <c r="AV18" s="54" t="str">
        <f t="shared" si="12"/>
        <v/>
      </c>
      <c r="AW18" s="20"/>
      <c r="AX18" s="56">
        <f t="shared" si="13"/>
        <v>0</v>
      </c>
      <c r="AY18" s="60" t="str">
        <f t="shared" si="14"/>
        <v/>
      </c>
      <c r="AZ18" s="54" t="str">
        <f t="shared" si="15"/>
        <v/>
      </c>
      <c r="BA18" s="21"/>
      <c r="BB18" s="62">
        <f t="shared" si="16"/>
        <v>94.5</v>
      </c>
      <c r="BC18" s="64" t="str">
        <f t="shared" si="17"/>
        <v/>
      </c>
      <c r="BE18" s="20">
        <f t="shared" si="18"/>
        <v>95</v>
      </c>
      <c r="BF18" s="20">
        <f t="shared" si="19"/>
        <v>95.5</v>
      </c>
      <c r="BG18" s="89">
        <f t="shared" si="20"/>
        <v>93.25</v>
      </c>
      <c r="BH18" s="20">
        <f t="shared" si="21"/>
        <v>94.25</v>
      </c>
      <c r="BI18" s="20">
        <f t="shared" si="22"/>
        <v>94.5</v>
      </c>
    </row>
    <row r="19" spans="1:61" x14ac:dyDescent="0.2">
      <c r="A19" s="29">
        <v>17</v>
      </c>
      <c r="B19" s="88" t="s">
        <v>128</v>
      </c>
      <c r="C19" s="69" t="s">
        <v>63</v>
      </c>
      <c r="D19" s="69" t="s">
        <v>64</v>
      </c>
      <c r="E19" s="19">
        <v>97</v>
      </c>
      <c r="F19" s="20"/>
      <c r="G19" s="20">
        <v>96</v>
      </c>
      <c r="H19" s="20"/>
      <c r="I19" s="20">
        <v>95</v>
      </c>
      <c r="J19" s="20"/>
      <c r="K19" s="20">
        <v>96</v>
      </c>
      <c r="L19" s="21"/>
      <c r="M19" s="19">
        <v>96</v>
      </c>
      <c r="N19" s="20"/>
      <c r="O19" s="20">
        <v>90</v>
      </c>
      <c r="P19" s="20"/>
      <c r="Q19" s="20">
        <v>93</v>
      </c>
      <c r="R19" s="20"/>
      <c r="S19" s="20">
        <v>90</v>
      </c>
      <c r="T19" s="21"/>
      <c r="U19" s="19">
        <v>90</v>
      </c>
      <c r="V19" s="20"/>
      <c r="W19" s="20">
        <v>94</v>
      </c>
      <c r="X19" s="20"/>
      <c r="Y19" s="20">
        <v>90</v>
      </c>
      <c r="Z19" s="20"/>
      <c r="AA19" s="20">
        <v>94</v>
      </c>
      <c r="AB19" s="21"/>
      <c r="AC19" s="1">
        <v>93</v>
      </c>
      <c r="AD19" s="20"/>
      <c r="AE19" s="20">
        <v>96</v>
      </c>
      <c r="AF19" s="20"/>
      <c r="AG19" s="20">
        <v>96</v>
      </c>
      <c r="AH19" s="20"/>
      <c r="AI19" s="20">
        <v>93</v>
      </c>
      <c r="AJ19" s="3"/>
      <c r="AK19" s="44">
        <f t="shared" si="4"/>
        <v>96</v>
      </c>
      <c r="AL19" s="45">
        <f t="shared" si="5"/>
        <v>92.25</v>
      </c>
      <c r="AM19" s="46">
        <f t="shared" si="6"/>
        <v>92</v>
      </c>
      <c r="AN19" s="47">
        <f t="shared" si="7"/>
        <v>94.5</v>
      </c>
      <c r="AO19" s="48">
        <f t="shared" si="8"/>
        <v>93.6875</v>
      </c>
      <c r="AP19" s="37"/>
      <c r="AR19" s="54" t="str">
        <f t="shared" si="9"/>
        <v/>
      </c>
      <c r="AS19" s="20"/>
      <c r="AT19" s="56">
        <f t="shared" si="10"/>
        <v>0</v>
      </c>
      <c r="AU19" s="57" t="str">
        <f t="shared" si="11"/>
        <v/>
      </c>
      <c r="AV19" s="54" t="str">
        <f t="shared" si="12"/>
        <v/>
      </c>
      <c r="AW19" s="20"/>
      <c r="AX19" s="56">
        <f t="shared" si="13"/>
        <v>0</v>
      </c>
      <c r="AY19" s="60" t="str">
        <f t="shared" si="14"/>
        <v/>
      </c>
      <c r="AZ19" s="54" t="str">
        <f t="shared" si="15"/>
        <v/>
      </c>
      <c r="BA19" s="21"/>
      <c r="BB19" s="62">
        <f t="shared" si="16"/>
        <v>93.6875</v>
      </c>
      <c r="BC19" s="64" t="str">
        <f t="shared" si="17"/>
        <v/>
      </c>
      <c r="BE19" s="20">
        <f t="shared" si="18"/>
        <v>94</v>
      </c>
      <c r="BF19" s="20">
        <f t="shared" si="19"/>
        <v>94</v>
      </c>
      <c r="BG19" s="89">
        <f t="shared" si="20"/>
        <v>93.5</v>
      </c>
      <c r="BH19" s="20">
        <f t="shared" si="21"/>
        <v>93.25</v>
      </c>
      <c r="BI19" s="20">
        <f t="shared" si="22"/>
        <v>93.6875</v>
      </c>
    </row>
    <row r="20" spans="1:61" x14ac:dyDescent="0.2">
      <c r="A20" s="29">
        <v>18</v>
      </c>
      <c r="B20" s="88" t="s">
        <v>129</v>
      </c>
      <c r="C20" s="70" t="s">
        <v>65</v>
      </c>
      <c r="D20" s="70" t="s">
        <v>66</v>
      </c>
      <c r="E20" s="19">
        <v>94</v>
      </c>
      <c r="F20" s="20"/>
      <c r="G20" s="20">
        <v>98</v>
      </c>
      <c r="H20" s="20"/>
      <c r="I20" s="20">
        <v>90</v>
      </c>
      <c r="J20" s="20"/>
      <c r="K20" s="20">
        <v>94</v>
      </c>
      <c r="L20" s="21"/>
      <c r="M20" s="19">
        <v>93</v>
      </c>
      <c r="N20" s="20"/>
      <c r="O20" s="20">
        <v>96</v>
      </c>
      <c r="P20" s="20"/>
      <c r="Q20" s="20">
        <v>90</v>
      </c>
      <c r="R20" s="20"/>
      <c r="S20" s="20">
        <v>93</v>
      </c>
      <c r="T20" s="21"/>
      <c r="U20" s="19">
        <v>96</v>
      </c>
      <c r="V20" s="20"/>
      <c r="W20" s="20">
        <v>94</v>
      </c>
      <c r="X20" s="20"/>
      <c r="Y20" s="20">
        <v>90</v>
      </c>
      <c r="Z20" s="20"/>
      <c r="AA20" s="20">
        <v>93</v>
      </c>
      <c r="AB20" s="21"/>
      <c r="AC20" s="1">
        <v>94</v>
      </c>
      <c r="AD20" s="20"/>
      <c r="AE20" s="20">
        <v>90</v>
      </c>
      <c r="AF20" s="20"/>
      <c r="AG20" s="20">
        <v>90</v>
      </c>
      <c r="AH20" s="20"/>
      <c r="AI20" s="20">
        <v>91</v>
      </c>
      <c r="AJ20" s="3"/>
      <c r="AK20" s="44">
        <f t="shared" si="4"/>
        <v>94</v>
      </c>
      <c r="AL20" s="45">
        <f t="shared" si="5"/>
        <v>93</v>
      </c>
      <c r="AM20" s="46">
        <f t="shared" si="6"/>
        <v>93.25</v>
      </c>
      <c r="AN20" s="47">
        <f t="shared" si="7"/>
        <v>91.25</v>
      </c>
      <c r="AO20" s="48">
        <f t="shared" si="8"/>
        <v>92.875</v>
      </c>
      <c r="AP20" s="37"/>
      <c r="AR20" s="54" t="str">
        <f t="shared" si="9"/>
        <v/>
      </c>
      <c r="AS20" s="20"/>
      <c r="AT20" s="56">
        <f t="shared" si="10"/>
        <v>0</v>
      </c>
      <c r="AU20" s="57" t="str">
        <f t="shared" si="11"/>
        <v/>
      </c>
      <c r="AV20" s="54" t="str">
        <f t="shared" si="12"/>
        <v/>
      </c>
      <c r="AW20" s="20"/>
      <c r="AX20" s="56">
        <f t="shared" si="13"/>
        <v>0</v>
      </c>
      <c r="AY20" s="60" t="str">
        <f t="shared" si="14"/>
        <v/>
      </c>
      <c r="AZ20" s="54" t="str">
        <f t="shared" si="15"/>
        <v/>
      </c>
      <c r="BA20" s="21"/>
      <c r="BB20" s="62">
        <f t="shared" si="16"/>
        <v>92.875</v>
      </c>
      <c r="BC20" s="64" t="str">
        <f t="shared" si="17"/>
        <v/>
      </c>
      <c r="BE20" s="20">
        <f t="shared" si="18"/>
        <v>94.25</v>
      </c>
      <c r="BF20" s="20">
        <f t="shared" si="19"/>
        <v>94.5</v>
      </c>
      <c r="BG20" s="89">
        <f t="shared" si="20"/>
        <v>90</v>
      </c>
      <c r="BH20" s="20">
        <f t="shared" si="21"/>
        <v>92.75</v>
      </c>
      <c r="BI20" s="20">
        <f t="shared" si="22"/>
        <v>92.875</v>
      </c>
    </row>
    <row r="21" spans="1:61" x14ac:dyDescent="0.2">
      <c r="A21" s="29">
        <v>19</v>
      </c>
      <c r="B21" s="88" t="s">
        <v>130</v>
      </c>
      <c r="C21" s="69" t="s">
        <v>67</v>
      </c>
      <c r="D21" s="69" t="s">
        <v>68</v>
      </c>
      <c r="E21" s="19">
        <v>95</v>
      </c>
      <c r="F21" s="20"/>
      <c r="G21" s="20">
        <v>96</v>
      </c>
      <c r="H21" s="20"/>
      <c r="I21" s="20">
        <v>94</v>
      </c>
      <c r="J21" s="20"/>
      <c r="K21" s="20">
        <v>95</v>
      </c>
      <c r="L21" s="21"/>
      <c r="M21" s="19">
        <v>90</v>
      </c>
      <c r="N21" s="20"/>
      <c r="O21" s="20">
        <v>92</v>
      </c>
      <c r="P21" s="20"/>
      <c r="Q21" s="20">
        <v>94</v>
      </c>
      <c r="R21" s="20"/>
      <c r="S21" s="20">
        <v>92</v>
      </c>
      <c r="T21" s="21"/>
      <c r="U21" s="19">
        <v>94</v>
      </c>
      <c r="V21" s="20"/>
      <c r="W21" s="20">
        <v>98</v>
      </c>
      <c r="X21" s="20"/>
      <c r="Y21" s="20">
        <v>90</v>
      </c>
      <c r="Z21" s="20"/>
      <c r="AA21" s="20">
        <v>94</v>
      </c>
      <c r="AB21" s="21"/>
      <c r="AC21" s="1">
        <v>90</v>
      </c>
      <c r="AD21" s="20"/>
      <c r="AE21" s="20">
        <v>92</v>
      </c>
      <c r="AF21" s="20"/>
      <c r="AG21" s="20">
        <v>92</v>
      </c>
      <c r="AH21" s="20"/>
      <c r="AI21" s="20">
        <v>97</v>
      </c>
      <c r="AJ21" s="3"/>
      <c r="AK21" s="44">
        <f t="shared" si="4"/>
        <v>95</v>
      </c>
      <c r="AL21" s="45">
        <f t="shared" si="5"/>
        <v>92</v>
      </c>
      <c r="AM21" s="46">
        <f t="shared" si="6"/>
        <v>94</v>
      </c>
      <c r="AN21" s="47">
        <f t="shared" si="7"/>
        <v>92.75</v>
      </c>
      <c r="AO21" s="48">
        <f t="shared" si="8"/>
        <v>93.4375</v>
      </c>
      <c r="AP21" s="37"/>
      <c r="AR21" s="54" t="str">
        <f t="shared" si="9"/>
        <v/>
      </c>
      <c r="AS21" s="20"/>
      <c r="AT21" s="56">
        <f t="shared" si="10"/>
        <v>0</v>
      </c>
      <c r="AU21" s="57" t="str">
        <f t="shared" si="11"/>
        <v/>
      </c>
      <c r="AV21" s="54" t="str">
        <f t="shared" si="12"/>
        <v/>
      </c>
      <c r="AW21" s="20"/>
      <c r="AX21" s="56">
        <f t="shared" si="13"/>
        <v>0</v>
      </c>
      <c r="AY21" s="60" t="str">
        <f t="shared" si="14"/>
        <v/>
      </c>
      <c r="AZ21" s="54" t="str">
        <f t="shared" si="15"/>
        <v/>
      </c>
      <c r="BA21" s="21"/>
      <c r="BB21" s="62">
        <f t="shared" si="16"/>
        <v>93.4375</v>
      </c>
      <c r="BC21" s="64" t="str">
        <f t="shared" si="17"/>
        <v/>
      </c>
      <c r="BE21" s="20">
        <f t="shared" si="18"/>
        <v>92.25</v>
      </c>
      <c r="BF21" s="20">
        <f t="shared" si="19"/>
        <v>94.5</v>
      </c>
      <c r="BG21" s="89">
        <f t="shared" si="20"/>
        <v>92.5</v>
      </c>
      <c r="BH21" s="20">
        <f t="shared" si="21"/>
        <v>94.5</v>
      </c>
      <c r="BI21" s="20">
        <f t="shared" si="22"/>
        <v>93.4375</v>
      </c>
    </row>
    <row r="22" spans="1:61" x14ac:dyDescent="0.2">
      <c r="A22" s="29">
        <v>20</v>
      </c>
      <c r="B22" s="88" t="s">
        <v>131</v>
      </c>
      <c r="C22" s="70" t="s">
        <v>69</v>
      </c>
      <c r="D22" s="70" t="s">
        <v>70</v>
      </c>
      <c r="E22" s="19">
        <v>90</v>
      </c>
      <c r="F22" s="20"/>
      <c r="G22" s="20">
        <v>92</v>
      </c>
      <c r="H22" s="20"/>
      <c r="I22" s="20">
        <v>94</v>
      </c>
      <c r="J22" s="20"/>
      <c r="K22" s="20">
        <v>94</v>
      </c>
      <c r="L22" s="21"/>
      <c r="M22" s="19">
        <v>93</v>
      </c>
      <c r="N22" s="20"/>
      <c r="O22" s="20">
        <v>90</v>
      </c>
      <c r="P22" s="20"/>
      <c r="Q22" s="20">
        <v>87</v>
      </c>
      <c r="R22" s="20"/>
      <c r="S22" s="20">
        <v>90</v>
      </c>
      <c r="T22" s="21"/>
      <c r="U22" s="19">
        <v>94</v>
      </c>
      <c r="V22" s="20"/>
      <c r="W22" s="20">
        <v>90</v>
      </c>
      <c r="X22" s="20"/>
      <c r="Y22" s="20">
        <v>90</v>
      </c>
      <c r="Z22" s="20"/>
      <c r="AA22" s="20">
        <v>92</v>
      </c>
      <c r="AB22" s="21"/>
      <c r="AC22" s="1">
        <v>89</v>
      </c>
      <c r="AD22" s="20"/>
      <c r="AE22" s="20">
        <v>91</v>
      </c>
      <c r="AF22" s="20"/>
      <c r="AG22" s="20">
        <v>91</v>
      </c>
      <c r="AH22" s="20"/>
      <c r="AI22" s="20">
        <v>92</v>
      </c>
      <c r="AJ22" s="3"/>
      <c r="AK22" s="44">
        <f t="shared" si="4"/>
        <v>92.5</v>
      </c>
      <c r="AL22" s="45">
        <f t="shared" si="5"/>
        <v>90</v>
      </c>
      <c r="AM22" s="46">
        <f t="shared" si="6"/>
        <v>91.5</v>
      </c>
      <c r="AN22" s="47">
        <f t="shared" si="7"/>
        <v>90.75</v>
      </c>
      <c r="AO22" s="48">
        <f t="shared" si="8"/>
        <v>91.1875</v>
      </c>
      <c r="AP22" s="37"/>
      <c r="AR22" s="54" t="str">
        <f t="shared" si="9"/>
        <v/>
      </c>
      <c r="AS22" s="20"/>
      <c r="AT22" s="56">
        <f t="shared" si="10"/>
        <v>0</v>
      </c>
      <c r="AU22" s="57" t="str">
        <f t="shared" si="11"/>
        <v/>
      </c>
      <c r="AV22" s="54" t="str">
        <f t="shared" si="12"/>
        <v/>
      </c>
      <c r="AW22" s="20"/>
      <c r="AX22" s="56">
        <f t="shared" si="13"/>
        <v>0</v>
      </c>
      <c r="AY22" s="60" t="str">
        <f t="shared" si="14"/>
        <v/>
      </c>
      <c r="AZ22" s="54" t="str">
        <f t="shared" si="15"/>
        <v/>
      </c>
      <c r="BA22" s="21"/>
      <c r="BB22" s="62">
        <f t="shared" si="16"/>
        <v>91.1875</v>
      </c>
      <c r="BC22" s="64" t="str">
        <f t="shared" si="17"/>
        <v/>
      </c>
      <c r="BE22" s="20">
        <f t="shared" si="18"/>
        <v>91.5</v>
      </c>
      <c r="BF22" s="20">
        <f t="shared" si="19"/>
        <v>90.75</v>
      </c>
      <c r="BG22" s="89">
        <f t="shared" si="20"/>
        <v>90.5</v>
      </c>
      <c r="BH22" s="20">
        <f t="shared" si="21"/>
        <v>92</v>
      </c>
      <c r="BI22" s="20">
        <f t="shared" si="22"/>
        <v>91.1875</v>
      </c>
    </row>
    <row r="23" spans="1:61" x14ac:dyDescent="0.2">
      <c r="A23" s="29">
        <v>21</v>
      </c>
      <c r="B23" s="88" t="s">
        <v>132</v>
      </c>
      <c r="C23" s="69" t="s">
        <v>71</v>
      </c>
      <c r="D23" s="69" t="s">
        <v>72</v>
      </c>
      <c r="E23" s="19"/>
      <c r="F23" s="19">
        <v>60</v>
      </c>
      <c r="G23" s="19">
        <v>60</v>
      </c>
      <c r="H23" s="20"/>
      <c r="I23" s="20">
        <v>65</v>
      </c>
      <c r="J23" s="20"/>
      <c r="K23" s="20">
        <v>63</v>
      </c>
      <c r="L23" s="20"/>
      <c r="M23" s="20">
        <v>68</v>
      </c>
      <c r="N23" s="19">
        <v>60</v>
      </c>
      <c r="O23" s="19">
        <v>60</v>
      </c>
      <c r="P23" s="20"/>
      <c r="Q23" s="20">
        <v>65</v>
      </c>
      <c r="R23" s="20"/>
      <c r="S23" s="20">
        <v>63</v>
      </c>
      <c r="T23" s="20"/>
      <c r="U23" s="20">
        <v>68</v>
      </c>
      <c r="V23" s="19">
        <v>60</v>
      </c>
      <c r="W23" s="19">
        <v>60</v>
      </c>
      <c r="X23" s="20"/>
      <c r="Y23" s="20">
        <v>65</v>
      </c>
      <c r="Z23" s="20"/>
      <c r="AA23" s="20">
        <v>63</v>
      </c>
      <c r="AB23" s="20"/>
      <c r="AC23" s="20">
        <v>68</v>
      </c>
      <c r="AD23" s="19">
        <v>60</v>
      </c>
      <c r="AE23" s="19">
        <v>60</v>
      </c>
      <c r="AF23" s="20"/>
      <c r="AG23" s="20">
        <v>65</v>
      </c>
      <c r="AH23" s="20"/>
      <c r="AI23" s="20">
        <v>63</v>
      </c>
      <c r="AJ23" s="20"/>
      <c r="AK23" s="20">
        <v>68</v>
      </c>
      <c r="AL23" s="45">
        <f t="shared" si="5"/>
        <v>15</v>
      </c>
      <c r="AM23" s="46">
        <f t="shared" si="6"/>
        <v>15</v>
      </c>
      <c r="AN23" s="47">
        <f t="shared" si="7"/>
        <v>48.25</v>
      </c>
      <c r="AO23" s="48">
        <f t="shared" si="8"/>
        <v>36.5625</v>
      </c>
      <c r="AP23" s="37"/>
      <c r="AR23" s="54">
        <f t="shared" si="9"/>
        <v>18.28125</v>
      </c>
      <c r="AS23" s="20"/>
      <c r="AT23" s="56">
        <f t="shared" si="10"/>
        <v>0</v>
      </c>
      <c r="AU23" s="57" t="str">
        <f t="shared" si="11"/>
        <v/>
      </c>
      <c r="AV23" s="54" t="str">
        <f t="shared" si="12"/>
        <v/>
      </c>
      <c r="AW23" s="20"/>
      <c r="AX23" s="56">
        <f t="shared" si="13"/>
        <v>0</v>
      </c>
      <c r="AY23" s="60" t="str">
        <f t="shared" si="14"/>
        <v/>
      </c>
      <c r="AZ23" s="54" t="str">
        <f t="shared" si="15"/>
        <v/>
      </c>
      <c r="BA23" s="21"/>
      <c r="BB23" s="62" t="str">
        <f t="shared" si="16"/>
        <v/>
      </c>
      <c r="BC23" s="64">
        <f t="shared" si="17"/>
        <v>36.5625</v>
      </c>
      <c r="BE23" s="20">
        <f t="shared" si="18"/>
        <v>51</v>
      </c>
      <c r="BF23" s="20">
        <f t="shared" si="19"/>
        <v>60</v>
      </c>
      <c r="BG23" s="89">
        <f t="shared" si="20"/>
        <v>65</v>
      </c>
      <c r="BH23" s="20">
        <f t="shared" si="21"/>
        <v>63</v>
      </c>
      <c r="BI23" s="20">
        <f t="shared" si="22"/>
        <v>59.75</v>
      </c>
    </row>
    <row r="24" spans="1:61" x14ac:dyDescent="0.2">
      <c r="A24" s="29">
        <v>22</v>
      </c>
      <c r="B24" s="88" t="s">
        <v>133</v>
      </c>
      <c r="C24" s="70" t="s">
        <v>73</v>
      </c>
      <c r="D24" s="70" t="s">
        <v>74</v>
      </c>
      <c r="E24" s="19"/>
      <c r="F24" s="19">
        <v>60</v>
      </c>
      <c r="G24" s="19">
        <v>60</v>
      </c>
      <c r="H24" s="20"/>
      <c r="I24" s="20">
        <v>65</v>
      </c>
      <c r="J24" s="20"/>
      <c r="K24" s="20">
        <v>63</v>
      </c>
      <c r="L24" s="20"/>
      <c r="M24" s="20">
        <v>68</v>
      </c>
      <c r="N24" s="19">
        <v>60</v>
      </c>
      <c r="O24" s="19">
        <v>60</v>
      </c>
      <c r="P24" s="20"/>
      <c r="Q24" s="20">
        <v>65</v>
      </c>
      <c r="R24" s="20"/>
      <c r="S24" s="20">
        <v>63</v>
      </c>
      <c r="T24" s="20"/>
      <c r="U24" s="20">
        <v>68</v>
      </c>
      <c r="V24" s="19">
        <v>60</v>
      </c>
      <c r="W24" s="19">
        <v>60</v>
      </c>
      <c r="X24" s="20"/>
      <c r="Y24" s="20">
        <v>65</v>
      </c>
      <c r="Z24" s="20"/>
      <c r="AA24" s="20">
        <v>63</v>
      </c>
      <c r="AB24" s="20"/>
      <c r="AC24" s="20">
        <v>68</v>
      </c>
      <c r="AD24" s="19">
        <v>60</v>
      </c>
      <c r="AE24" s="19">
        <v>60</v>
      </c>
      <c r="AF24" s="20"/>
      <c r="AG24" s="20">
        <v>65</v>
      </c>
      <c r="AH24" s="20"/>
      <c r="AI24" s="20">
        <v>63</v>
      </c>
      <c r="AJ24" s="20"/>
      <c r="AK24" s="20">
        <v>68</v>
      </c>
      <c r="AL24" s="45">
        <f t="shared" si="5"/>
        <v>15</v>
      </c>
      <c r="AM24" s="46">
        <f t="shared" si="6"/>
        <v>15</v>
      </c>
      <c r="AN24" s="47">
        <f t="shared" si="7"/>
        <v>48.25</v>
      </c>
      <c r="AO24" s="48">
        <f t="shared" si="8"/>
        <v>36.5625</v>
      </c>
      <c r="AP24" s="37"/>
      <c r="AR24" s="54">
        <f t="shared" si="9"/>
        <v>18.28125</v>
      </c>
      <c r="AS24" s="20"/>
      <c r="AT24" s="56">
        <f t="shared" si="10"/>
        <v>0</v>
      </c>
      <c r="AU24" s="57" t="str">
        <f t="shared" si="11"/>
        <v/>
      </c>
      <c r="AV24" s="54" t="str">
        <f t="shared" si="12"/>
        <v/>
      </c>
      <c r="AW24" s="20"/>
      <c r="AX24" s="56">
        <f t="shared" si="13"/>
        <v>0</v>
      </c>
      <c r="AY24" s="60" t="str">
        <f t="shared" si="14"/>
        <v/>
      </c>
      <c r="AZ24" s="54" t="str">
        <f t="shared" si="15"/>
        <v/>
      </c>
      <c r="BA24" s="21"/>
      <c r="BB24" s="62" t="str">
        <f t="shared" si="16"/>
        <v/>
      </c>
      <c r="BC24" s="64">
        <f t="shared" si="17"/>
        <v>36.5625</v>
      </c>
      <c r="BE24" s="20">
        <f t="shared" si="18"/>
        <v>51</v>
      </c>
      <c r="BF24" s="20">
        <f t="shared" si="19"/>
        <v>60</v>
      </c>
      <c r="BG24" s="89">
        <f t="shared" si="20"/>
        <v>65</v>
      </c>
      <c r="BH24" s="20">
        <f t="shared" si="21"/>
        <v>63</v>
      </c>
      <c r="BI24" s="20">
        <f t="shared" si="22"/>
        <v>59.75</v>
      </c>
    </row>
    <row r="25" spans="1:61" x14ac:dyDescent="0.2">
      <c r="A25" s="29">
        <v>23</v>
      </c>
      <c r="B25" s="88" t="s">
        <v>134</v>
      </c>
      <c r="C25" s="69" t="s">
        <v>75</v>
      </c>
      <c r="D25" s="69" t="s">
        <v>76</v>
      </c>
      <c r="E25" s="19">
        <v>92</v>
      </c>
      <c r="F25" s="20"/>
      <c r="G25" s="20">
        <v>88</v>
      </c>
      <c r="H25" s="20"/>
      <c r="I25" s="20">
        <v>90</v>
      </c>
      <c r="J25" s="20"/>
      <c r="K25" s="20">
        <v>91</v>
      </c>
      <c r="L25" s="21"/>
      <c r="M25" s="19">
        <v>89</v>
      </c>
      <c r="N25" s="20"/>
      <c r="O25" s="20">
        <v>92</v>
      </c>
      <c r="P25" s="20"/>
      <c r="Q25" s="20">
        <v>94</v>
      </c>
      <c r="R25" s="20"/>
      <c r="S25" s="20">
        <v>94</v>
      </c>
      <c r="T25" s="21"/>
      <c r="U25" s="19">
        <v>89</v>
      </c>
      <c r="V25" s="20"/>
      <c r="W25" s="20">
        <v>91</v>
      </c>
      <c r="X25" s="20"/>
      <c r="Y25" s="20">
        <v>90</v>
      </c>
      <c r="Z25" s="20"/>
      <c r="AA25" s="20">
        <v>91</v>
      </c>
      <c r="AB25" s="21"/>
      <c r="AC25" s="1">
        <v>88</v>
      </c>
      <c r="AD25" s="20"/>
      <c r="AE25" s="20">
        <v>92</v>
      </c>
      <c r="AF25" s="20"/>
      <c r="AG25" s="20">
        <v>94</v>
      </c>
      <c r="AH25" s="20"/>
      <c r="AI25" s="20">
        <v>92</v>
      </c>
      <c r="AJ25" s="3"/>
      <c r="AK25" s="44">
        <f t="shared" si="4"/>
        <v>90.25</v>
      </c>
      <c r="AL25" s="45">
        <f t="shared" si="5"/>
        <v>92.25</v>
      </c>
      <c r="AM25" s="46">
        <f t="shared" si="6"/>
        <v>90.25</v>
      </c>
      <c r="AN25" s="47">
        <f t="shared" si="7"/>
        <v>91.5</v>
      </c>
      <c r="AO25" s="48">
        <f t="shared" si="8"/>
        <v>91.0625</v>
      </c>
      <c r="AP25" s="37"/>
      <c r="AR25" s="54" t="str">
        <f t="shared" si="9"/>
        <v/>
      </c>
      <c r="AS25" s="20"/>
      <c r="AT25" s="56">
        <f t="shared" si="10"/>
        <v>0</v>
      </c>
      <c r="AU25" s="57" t="str">
        <f t="shared" si="11"/>
        <v/>
      </c>
      <c r="AV25" s="54" t="str">
        <f t="shared" si="12"/>
        <v/>
      </c>
      <c r="AW25" s="20"/>
      <c r="AX25" s="56">
        <f t="shared" si="13"/>
        <v>0</v>
      </c>
      <c r="AY25" s="60" t="str">
        <f t="shared" si="14"/>
        <v/>
      </c>
      <c r="AZ25" s="54" t="str">
        <f t="shared" si="15"/>
        <v/>
      </c>
      <c r="BA25" s="21"/>
      <c r="BB25" s="62">
        <f t="shared" si="16"/>
        <v>91.0625</v>
      </c>
      <c r="BC25" s="64" t="str">
        <f t="shared" si="17"/>
        <v/>
      </c>
      <c r="BE25" s="20">
        <f t="shared" si="18"/>
        <v>89.5</v>
      </c>
      <c r="BF25" s="20">
        <f t="shared" si="19"/>
        <v>90.75</v>
      </c>
      <c r="BG25" s="89">
        <f t="shared" si="20"/>
        <v>92</v>
      </c>
      <c r="BH25" s="20">
        <f t="shared" si="21"/>
        <v>92</v>
      </c>
      <c r="BI25" s="20">
        <f t="shared" si="22"/>
        <v>91.0625</v>
      </c>
    </row>
    <row r="26" spans="1:61" x14ac:dyDescent="0.2">
      <c r="A26" s="29">
        <v>24</v>
      </c>
      <c r="B26" s="88" t="s">
        <v>135</v>
      </c>
      <c r="C26" s="70" t="s">
        <v>77</v>
      </c>
      <c r="D26" s="70" t="s">
        <v>78</v>
      </c>
      <c r="E26" s="19">
        <v>75</v>
      </c>
      <c r="F26" s="20"/>
      <c r="G26" s="20">
        <v>76</v>
      </c>
      <c r="H26" s="20"/>
      <c r="I26" s="20">
        <v>74</v>
      </c>
      <c r="J26" s="20"/>
      <c r="K26" s="20">
        <v>75</v>
      </c>
      <c r="L26" s="21"/>
      <c r="M26" s="19">
        <v>76</v>
      </c>
      <c r="N26" s="20"/>
      <c r="O26" s="20">
        <v>73</v>
      </c>
      <c r="P26" s="20"/>
      <c r="Q26" s="20">
        <v>84</v>
      </c>
      <c r="R26" s="20"/>
      <c r="S26" s="20">
        <v>86</v>
      </c>
      <c r="T26" s="21"/>
      <c r="U26" s="19">
        <v>80</v>
      </c>
      <c r="V26" s="20"/>
      <c r="W26" s="20">
        <v>80</v>
      </c>
      <c r="X26" s="20"/>
      <c r="Y26" s="20">
        <v>81</v>
      </c>
      <c r="Z26" s="20"/>
      <c r="AA26" s="20">
        <v>82</v>
      </c>
      <c r="AB26" s="21"/>
      <c r="AC26" s="1">
        <v>90</v>
      </c>
      <c r="AD26" s="20"/>
      <c r="AE26" s="20">
        <v>80</v>
      </c>
      <c r="AF26" s="20"/>
      <c r="AG26" s="20">
        <v>85</v>
      </c>
      <c r="AH26" s="20"/>
      <c r="AI26" s="20">
        <v>86</v>
      </c>
      <c r="AJ26" s="3"/>
      <c r="AK26" s="44">
        <f t="shared" si="4"/>
        <v>75</v>
      </c>
      <c r="AL26" s="45">
        <f t="shared" si="5"/>
        <v>79.75</v>
      </c>
      <c r="AM26" s="46">
        <f t="shared" si="6"/>
        <v>80.75</v>
      </c>
      <c r="AN26" s="47">
        <f t="shared" si="7"/>
        <v>85.25</v>
      </c>
      <c r="AO26" s="48">
        <f t="shared" si="8"/>
        <v>80.1875</v>
      </c>
      <c r="AP26" s="37"/>
      <c r="AR26" s="54" t="str">
        <f t="shared" si="9"/>
        <v/>
      </c>
      <c r="AS26" s="20"/>
      <c r="AT26" s="56">
        <f t="shared" si="10"/>
        <v>0</v>
      </c>
      <c r="AU26" s="57" t="str">
        <f t="shared" si="11"/>
        <v/>
      </c>
      <c r="AV26" s="54" t="str">
        <f t="shared" si="12"/>
        <v/>
      </c>
      <c r="AW26" s="20"/>
      <c r="AX26" s="56">
        <f t="shared" si="13"/>
        <v>0</v>
      </c>
      <c r="AY26" s="60" t="str">
        <f t="shared" si="14"/>
        <v/>
      </c>
      <c r="AZ26" s="54" t="str">
        <f t="shared" si="15"/>
        <v/>
      </c>
      <c r="BA26" s="21"/>
      <c r="BB26" s="62">
        <f t="shared" si="16"/>
        <v>80.1875</v>
      </c>
      <c r="BC26" s="64" t="str">
        <f t="shared" si="17"/>
        <v/>
      </c>
      <c r="BE26" s="20">
        <f t="shared" si="18"/>
        <v>80.25</v>
      </c>
      <c r="BF26" s="20">
        <f t="shared" si="19"/>
        <v>77.25</v>
      </c>
      <c r="BG26" s="89">
        <f t="shared" si="20"/>
        <v>81</v>
      </c>
      <c r="BH26" s="20">
        <f t="shared" si="21"/>
        <v>82.25</v>
      </c>
      <c r="BI26" s="20">
        <f t="shared" si="22"/>
        <v>80.1875</v>
      </c>
    </row>
    <row r="27" spans="1:61" x14ac:dyDescent="0.2">
      <c r="A27" s="29">
        <v>25</v>
      </c>
      <c r="B27" s="88" t="s">
        <v>136</v>
      </c>
      <c r="C27" s="69" t="s">
        <v>79</v>
      </c>
      <c r="D27" s="69" t="s">
        <v>80</v>
      </c>
      <c r="E27" s="19"/>
      <c r="F27" s="19">
        <v>60</v>
      </c>
      <c r="G27" s="19">
        <v>60</v>
      </c>
      <c r="H27" s="20"/>
      <c r="I27" s="20">
        <v>65</v>
      </c>
      <c r="J27" s="20"/>
      <c r="K27" s="20">
        <v>63</v>
      </c>
      <c r="L27" s="20"/>
      <c r="M27" s="20">
        <v>68</v>
      </c>
      <c r="N27" s="19">
        <v>60</v>
      </c>
      <c r="O27" s="19">
        <v>60</v>
      </c>
      <c r="P27" s="20"/>
      <c r="Q27" s="20">
        <v>65</v>
      </c>
      <c r="R27" s="20"/>
      <c r="S27" s="20">
        <v>63</v>
      </c>
      <c r="T27" s="20"/>
      <c r="U27" s="20">
        <v>68</v>
      </c>
      <c r="V27" s="19">
        <v>60</v>
      </c>
      <c r="W27" s="19">
        <v>60</v>
      </c>
      <c r="X27" s="20"/>
      <c r="Y27" s="20">
        <v>65</v>
      </c>
      <c r="Z27" s="20"/>
      <c r="AA27" s="20">
        <v>63</v>
      </c>
      <c r="AB27" s="20"/>
      <c r="AC27" s="20">
        <v>68</v>
      </c>
      <c r="AD27" s="19">
        <v>60</v>
      </c>
      <c r="AE27" s="19">
        <v>60</v>
      </c>
      <c r="AF27" s="20"/>
      <c r="AG27" s="20">
        <v>65</v>
      </c>
      <c r="AH27" s="20"/>
      <c r="AI27" s="20">
        <v>63</v>
      </c>
      <c r="AJ27" s="20"/>
      <c r="AK27" s="20">
        <v>68</v>
      </c>
      <c r="AL27" s="45">
        <f t="shared" si="5"/>
        <v>15</v>
      </c>
      <c r="AM27" s="46">
        <f t="shared" si="6"/>
        <v>15</v>
      </c>
      <c r="AN27" s="47">
        <f t="shared" si="7"/>
        <v>48.25</v>
      </c>
      <c r="AO27" s="48">
        <f t="shared" si="8"/>
        <v>36.5625</v>
      </c>
      <c r="AP27" s="37"/>
      <c r="AR27" s="54">
        <f t="shared" si="9"/>
        <v>18.28125</v>
      </c>
      <c r="AS27" s="20"/>
      <c r="AT27" s="56">
        <f t="shared" si="10"/>
        <v>0</v>
      </c>
      <c r="AU27" s="57" t="str">
        <f t="shared" si="11"/>
        <v/>
      </c>
      <c r="AV27" s="54" t="str">
        <f t="shared" si="12"/>
        <v/>
      </c>
      <c r="AW27" s="20"/>
      <c r="AX27" s="56">
        <f t="shared" si="13"/>
        <v>0</v>
      </c>
      <c r="AY27" s="60" t="str">
        <f t="shared" si="14"/>
        <v/>
      </c>
      <c r="AZ27" s="54" t="str">
        <f t="shared" si="15"/>
        <v/>
      </c>
      <c r="BA27" s="21"/>
      <c r="BB27" s="62" t="str">
        <f t="shared" si="16"/>
        <v/>
      </c>
      <c r="BC27" s="64">
        <f t="shared" si="17"/>
        <v>36.5625</v>
      </c>
      <c r="BE27" s="20">
        <f t="shared" si="18"/>
        <v>51</v>
      </c>
      <c r="BF27" s="20">
        <f t="shared" si="19"/>
        <v>60</v>
      </c>
      <c r="BG27" s="89">
        <f t="shared" si="20"/>
        <v>65</v>
      </c>
      <c r="BH27" s="20">
        <f t="shared" si="21"/>
        <v>63</v>
      </c>
      <c r="BI27" s="20">
        <f t="shared" si="22"/>
        <v>59.75</v>
      </c>
    </row>
    <row r="28" spans="1:61" x14ac:dyDescent="0.2">
      <c r="A28" s="29">
        <v>26</v>
      </c>
      <c r="B28" s="88" t="s">
        <v>137</v>
      </c>
      <c r="C28" s="70" t="s">
        <v>81</v>
      </c>
      <c r="D28" s="70" t="s">
        <v>82</v>
      </c>
      <c r="E28" s="19">
        <v>94</v>
      </c>
      <c r="F28" s="20"/>
      <c r="G28" s="20">
        <v>96</v>
      </c>
      <c r="H28" s="20"/>
      <c r="I28" s="20">
        <v>94</v>
      </c>
      <c r="J28" s="20"/>
      <c r="K28" s="20">
        <v>96</v>
      </c>
      <c r="L28" s="21"/>
      <c r="M28" s="19">
        <v>95</v>
      </c>
      <c r="N28" s="20"/>
      <c r="O28" s="20">
        <v>96</v>
      </c>
      <c r="P28" s="20"/>
      <c r="Q28" s="20">
        <v>94</v>
      </c>
      <c r="R28" s="20"/>
      <c r="S28" s="20">
        <v>95</v>
      </c>
      <c r="T28" s="21"/>
      <c r="U28" s="19">
        <v>93</v>
      </c>
      <c r="V28" s="20"/>
      <c r="W28" s="20">
        <v>90</v>
      </c>
      <c r="X28" s="20"/>
      <c r="Y28" s="20">
        <v>91</v>
      </c>
      <c r="Z28" s="20"/>
      <c r="AA28" s="20">
        <v>92</v>
      </c>
      <c r="AB28" s="21"/>
      <c r="AC28" s="1">
        <v>92</v>
      </c>
      <c r="AD28" s="20"/>
      <c r="AE28" s="20">
        <v>94</v>
      </c>
      <c r="AF28" s="20"/>
      <c r="AG28" s="20">
        <v>96</v>
      </c>
      <c r="AH28" s="20"/>
      <c r="AI28" s="20">
        <v>90</v>
      </c>
      <c r="AJ28" s="3"/>
      <c r="AK28" s="44">
        <f t="shared" si="4"/>
        <v>95</v>
      </c>
      <c r="AL28" s="45">
        <f t="shared" si="5"/>
        <v>95</v>
      </c>
      <c r="AM28" s="46">
        <f t="shared" si="6"/>
        <v>91.5</v>
      </c>
      <c r="AN28" s="47">
        <f t="shared" si="7"/>
        <v>93</v>
      </c>
      <c r="AO28" s="48">
        <f t="shared" si="8"/>
        <v>93.625</v>
      </c>
      <c r="AP28" s="37"/>
      <c r="AR28" s="54" t="str">
        <f t="shared" si="9"/>
        <v/>
      </c>
      <c r="AS28" s="20"/>
      <c r="AT28" s="56">
        <f t="shared" si="10"/>
        <v>0</v>
      </c>
      <c r="AU28" s="57" t="str">
        <f t="shared" si="11"/>
        <v/>
      </c>
      <c r="AV28" s="54" t="str">
        <f t="shared" si="12"/>
        <v/>
      </c>
      <c r="AW28" s="20"/>
      <c r="AX28" s="56">
        <f t="shared" si="13"/>
        <v>0</v>
      </c>
      <c r="AY28" s="60" t="str">
        <f t="shared" si="14"/>
        <v/>
      </c>
      <c r="AZ28" s="54" t="str">
        <f t="shared" si="15"/>
        <v/>
      </c>
      <c r="BA28" s="21"/>
      <c r="BB28" s="62">
        <f t="shared" si="16"/>
        <v>93.625</v>
      </c>
      <c r="BC28" s="64" t="str">
        <f t="shared" si="17"/>
        <v/>
      </c>
      <c r="BE28" s="20">
        <f t="shared" si="18"/>
        <v>93.5</v>
      </c>
      <c r="BF28" s="20">
        <f t="shared" si="19"/>
        <v>94</v>
      </c>
      <c r="BG28" s="89">
        <f t="shared" si="20"/>
        <v>93.75</v>
      </c>
      <c r="BH28" s="20">
        <f t="shared" si="21"/>
        <v>93.25</v>
      </c>
      <c r="BI28" s="20">
        <f t="shared" si="22"/>
        <v>93.625</v>
      </c>
    </row>
    <row r="29" spans="1:61" x14ac:dyDescent="0.2">
      <c r="A29" s="29">
        <v>27</v>
      </c>
      <c r="B29" s="88" t="s">
        <v>138</v>
      </c>
      <c r="C29" s="69" t="s">
        <v>83</v>
      </c>
      <c r="D29" s="69" t="s">
        <v>84</v>
      </c>
      <c r="E29" s="19">
        <v>80</v>
      </c>
      <c r="F29" s="20"/>
      <c r="G29" s="20">
        <v>82</v>
      </c>
      <c r="H29" s="20"/>
      <c r="I29" s="20">
        <v>84</v>
      </c>
      <c r="J29" s="20"/>
      <c r="K29" s="20">
        <v>82</v>
      </c>
      <c r="L29" s="21"/>
      <c r="M29" s="19">
        <v>88</v>
      </c>
      <c r="N29" s="20"/>
      <c r="O29" s="20">
        <v>84</v>
      </c>
      <c r="P29" s="20"/>
      <c r="Q29" s="20">
        <v>80</v>
      </c>
      <c r="R29" s="20"/>
      <c r="S29" s="20">
        <v>88</v>
      </c>
      <c r="T29" s="21"/>
      <c r="U29" s="19">
        <v>86</v>
      </c>
      <c r="V29" s="20"/>
      <c r="W29" s="20">
        <v>86</v>
      </c>
      <c r="X29" s="20"/>
      <c r="Y29" s="20">
        <v>85</v>
      </c>
      <c r="Z29" s="20"/>
      <c r="AA29" s="20">
        <v>87</v>
      </c>
      <c r="AB29" s="21"/>
      <c r="AC29" s="1">
        <v>86</v>
      </c>
      <c r="AD29" s="20"/>
      <c r="AE29" s="20">
        <v>84</v>
      </c>
      <c r="AF29" s="20"/>
      <c r="AG29" s="20">
        <v>86</v>
      </c>
      <c r="AH29" s="20"/>
      <c r="AI29" s="20">
        <v>94</v>
      </c>
      <c r="AJ29" s="3"/>
      <c r="AK29" s="44">
        <f t="shared" si="4"/>
        <v>82</v>
      </c>
      <c r="AL29" s="45">
        <f t="shared" si="5"/>
        <v>85</v>
      </c>
      <c r="AM29" s="46">
        <f t="shared" si="6"/>
        <v>86</v>
      </c>
      <c r="AN29" s="47">
        <f t="shared" si="7"/>
        <v>87.5</v>
      </c>
      <c r="AO29" s="48">
        <f t="shared" si="8"/>
        <v>85.125</v>
      </c>
      <c r="AP29" s="37"/>
      <c r="AR29" s="54" t="str">
        <f t="shared" si="9"/>
        <v/>
      </c>
      <c r="AS29" s="20"/>
      <c r="AT29" s="56">
        <f t="shared" si="10"/>
        <v>0</v>
      </c>
      <c r="AU29" s="57" t="str">
        <f t="shared" si="11"/>
        <v/>
      </c>
      <c r="AV29" s="54" t="str">
        <f t="shared" si="12"/>
        <v/>
      </c>
      <c r="AW29" s="20"/>
      <c r="AX29" s="56">
        <f t="shared" si="13"/>
        <v>0</v>
      </c>
      <c r="AY29" s="60" t="str">
        <f t="shared" si="14"/>
        <v/>
      </c>
      <c r="AZ29" s="54" t="str">
        <f t="shared" si="15"/>
        <v/>
      </c>
      <c r="BA29" s="21"/>
      <c r="BB29" s="62">
        <f t="shared" si="16"/>
        <v>85.125</v>
      </c>
      <c r="BC29" s="64" t="str">
        <f t="shared" si="17"/>
        <v/>
      </c>
      <c r="BE29" s="20">
        <f t="shared" si="18"/>
        <v>85</v>
      </c>
      <c r="BF29" s="20">
        <f t="shared" si="19"/>
        <v>84</v>
      </c>
      <c r="BG29" s="89">
        <f t="shared" si="20"/>
        <v>83.75</v>
      </c>
      <c r="BH29" s="20">
        <f t="shared" si="21"/>
        <v>87.75</v>
      </c>
      <c r="BI29" s="20">
        <f t="shared" si="22"/>
        <v>85.125</v>
      </c>
    </row>
    <row r="30" spans="1:61" x14ac:dyDescent="0.2">
      <c r="A30" s="29">
        <v>28</v>
      </c>
      <c r="B30" s="88" t="s">
        <v>139</v>
      </c>
      <c r="C30" s="70" t="s">
        <v>85</v>
      </c>
      <c r="D30" s="70" t="s">
        <v>86</v>
      </c>
      <c r="E30" s="19">
        <v>96</v>
      </c>
      <c r="F30" s="20"/>
      <c r="G30" s="20">
        <v>98</v>
      </c>
      <c r="H30" s="20"/>
      <c r="I30" s="20">
        <v>95</v>
      </c>
      <c r="J30" s="20"/>
      <c r="K30" s="20">
        <v>96</v>
      </c>
      <c r="L30" s="21"/>
      <c r="M30" s="19">
        <v>90</v>
      </c>
      <c r="N30" s="20"/>
      <c r="O30" s="20">
        <v>91</v>
      </c>
      <c r="P30" s="20"/>
      <c r="Q30" s="20">
        <v>92</v>
      </c>
      <c r="R30" s="20"/>
      <c r="S30" s="20">
        <v>94</v>
      </c>
      <c r="T30" s="21"/>
      <c r="U30" s="19">
        <v>90</v>
      </c>
      <c r="V30" s="20"/>
      <c r="W30" s="20">
        <v>92</v>
      </c>
      <c r="X30" s="20"/>
      <c r="Y30" s="20">
        <v>90</v>
      </c>
      <c r="Z30" s="20"/>
      <c r="AA30" s="20">
        <v>94</v>
      </c>
      <c r="AB30" s="21"/>
      <c r="AC30" s="1">
        <v>90</v>
      </c>
      <c r="AD30" s="20"/>
      <c r="AE30" s="20">
        <v>92</v>
      </c>
      <c r="AF30" s="20"/>
      <c r="AG30" s="20">
        <v>94</v>
      </c>
      <c r="AH30" s="20"/>
      <c r="AI30" s="20">
        <v>94</v>
      </c>
      <c r="AJ30" s="3"/>
      <c r="AK30" s="44">
        <f t="shared" si="4"/>
        <v>96.25</v>
      </c>
      <c r="AL30" s="45">
        <f t="shared" si="5"/>
        <v>91.75</v>
      </c>
      <c r="AM30" s="46">
        <f t="shared" si="6"/>
        <v>91.5</v>
      </c>
      <c r="AN30" s="47">
        <f t="shared" si="7"/>
        <v>92.5</v>
      </c>
      <c r="AO30" s="48">
        <f t="shared" si="8"/>
        <v>93</v>
      </c>
      <c r="AP30" s="37"/>
      <c r="AR30" s="54" t="str">
        <f t="shared" si="9"/>
        <v/>
      </c>
      <c r="AS30" s="20"/>
      <c r="AT30" s="56">
        <f t="shared" si="10"/>
        <v>0</v>
      </c>
      <c r="AU30" s="57" t="str">
        <f t="shared" si="11"/>
        <v/>
      </c>
      <c r="AV30" s="54" t="str">
        <f t="shared" si="12"/>
        <v/>
      </c>
      <c r="AW30" s="20"/>
      <c r="AX30" s="56">
        <f t="shared" si="13"/>
        <v>0</v>
      </c>
      <c r="AY30" s="60" t="str">
        <f t="shared" si="14"/>
        <v/>
      </c>
      <c r="AZ30" s="54" t="str">
        <f t="shared" si="15"/>
        <v/>
      </c>
      <c r="BA30" s="21"/>
      <c r="BB30" s="62">
        <f t="shared" si="16"/>
        <v>93</v>
      </c>
      <c r="BC30" s="64" t="str">
        <f t="shared" si="17"/>
        <v/>
      </c>
      <c r="BE30" s="20">
        <f t="shared" si="18"/>
        <v>91.5</v>
      </c>
      <c r="BF30" s="20">
        <f t="shared" si="19"/>
        <v>93.25</v>
      </c>
      <c r="BG30" s="89">
        <f t="shared" si="20"/>
        <v>92.75</v>
      </c>
      <c r="BH30" s="20">
        <f t="shared" si="21"/>
        <v>94.5</v>
      </c>
      <c r="BI30" s="20">
        <f t="shared" si="22"/>
        <v>93</v>
      </c>
    </row>
    <row r="31" spans="1:61" x14ac:dyDescent="0.2">
      <c r="A31" s="29">
        <v>29</v>
      </c>
      <c r="B31" s="88" t="s">
        <v>140</v>
      </c>
      <c r="C31" s="69" t="s">
        <v>87</v>
      </c>
      <c r="D31" s="69" t="s">
        <v>88</v>
      </c>
      <c r="E31" s="19"/>
      <c r="F31" s="19">
        <v>60</v>
      </c>
      <c r="G31" s="19">
        <v>60</v>
      </c>
      <c r="H31" s="20"/>
      <c r="I31" s="20">
        <v>65</v>
      </c>
      <c r="J31" s="20"/>
      <c r="K31" s="20">
        <v>63</v>
      </c>
      <c r="L31" s="20"/>
      <c r="M31" s="20">
        <v>68</v>
      </c>
      <c r="N31" s="19">
        <v>60</v>
      </c>
      <c r="O31" s="19">
        <v>60</v>
      </c>
      <c r="P31" s="20"/>
      <c r="Q31" s="20">
        <v>65</v>
      </c>
      <c r="R31" s="20"/>
      <c r="S31" s="20">
        <v>63</v>
      </c>
      <c r="T31" s="20"/>
      <c r="U31" s="20">
        <v>68</v>
      </c>
      <c r="V31" s="19">
        <v>60</v>
      </c>
      <c r="W31" s="19">
        <v>60</v>
      </c>
      <c r="X31" s="20"/>
      <c r="Y31" s="20">
        <v>65</v>
      </c>
      <c r="Z31" s="20"/>
      <c r="AA31" s="20">
        <v>63</v>
      </c>
      <c r="AB31" s="20"/>
      <c r="AC31" s="20">
        <v>68</v>
      </c>
      <c r="AD31" s="19">
        <v>60</v>
      </c>
      <c r="AE31" s="19">
        <v>60</v>
      </c>
      <c r="AF31" s="20"/>
      <c r="AG31" s="20">
        <v>65</v>
      </c>
      <c r="AH31" s="20"/>
      <c r="AI31" s="20">
        <v>63</v>
      </c>
      <c r="AJ31" s="20"/>
      <c r="AK31" s="20">
        <v>68</v>
      </c>
      <c r="AL31" s="45">
        <f t="shared" si="5"/>
        <v>15</v>
      </c>
      <c r="AM31" s="46">
        <f t="shared" si="6"/>
        <v>15</v>
      </c>
      <c r="AN31" s="47">
        <f t="shared" si="7"/>
        <v>48.25</v>
      </c>
      <c r="AO31" s="48">
        <f t="shared" si="8"/>
        <v>36.5625</v>
      </c>
      <c r="AP31" s="37"/>
      <c r="AR31" s="54">
        <f t="shared" si="9"/>
        <v>18.28125</v>
      </c>
      <c r="AS31" s="20"/>
      <c r="AT31" s="56">
        <f t="shared" si="10"/>
        <v>0</v>
      </c>
      <c r="AU31" s="57" t="str">
        <f t="shared" si="11"/>
        <v/>
      </c>
      <c r="AV31" s="54" t="str">
        <f t="shared" si="12"/>
        <v/>
      </c>
      <c r="AW31" s="20"/>
      <c r="AX31" s="56">
        <f t="shared" si="13"/>
        <v>0</v>
      </c>
      <c r="AY31" s="60" t="str">
        <f t="shared" si="14"/>
        <v/>
      </c>
      <c r="AZ31" s="54" t="str">
        <f t="shared" si="15"/>
        <v/>
      </c>
      <c r="BA31" s="21"/>
      <c r="BB31" s="62" t="str">
        <f t="shared" si="16"/>
        <v/>
      </c>
      <c r="BC31" s="64">
        <f t="shared" si="17"/>
        <v>36.5625</v>
      </c>
      <c r="BE31" s="20">
        <f t="shared" si="18"/>
        <v>51</v>
      </c>
      <c r="BF31" s="20">
        <f t="shared" si="19"/>
        <v>60</v>
      </c>
      <c r="BG31" s="89">
        <f t="shared" si="20"/>
        <v>65</v>
      </c>
      <c r="BH31" s="20">
        <f t="shared" si="21"/>
        <v>63</v>
      </c>
      <c r="BI31" s="20">
        <f t="shared" si="22"/>
        <v>59.75</v>
      </c>
    </row>
    <row r="32" spans="1:61" x14ac:dyDescent="0.2">
      <c r="A32" s="29">
        <v>30</v>
      </c>
      <c r="B32" s="88" t="s">
        <v>141</v>
      </c>
      <c r="C32" s="70" t="s">
        <v>89</v>
      </c>
      <c r="D32" s="70" t="s">
        <v>90</v>
      </c>
      <c r="E32" s="19">
        <v>89</v>
      </c>
      <c r="F32" s="20"/>
      <c r="G32" s="20">
        <v>92</v>
      </c>
      <c r="H32" s="20"/>
      <c r="I32" s="20">
        <v>90</v>
      </c>
      <c r="J32" s="20"/>
      <c r="K32" s="20">
        <v>92</v>
      </c>
      <c r="L32" s="21"/>
      <c r="M32" s="19">
        <v>94</v>
      </c>
      <c r="N32" s="20"/>
      <c r="O32" s="20">
        <v>92</v>
      </c>
      <c r="P32" s="20"/>
      <c r="Q32" s="20">
        <v>90</v>
      </c>
      <c r="R32" s="20"/>
      <c r="S32" s="20">
        <v>92</v>
      </c>
      <c r="T32" s="21"/>
      <c r="U32" s="19">
        <v>90</v>
      </c>
      <c r="V32" s="20"/>
      <c r="W32" s="20">
        <v>89</v>
      </c>
      <c r="X32" s="20"/>
      <c r="Y32" s="20">
        <v>91</v>
      </c>
      <c r="Z32" s="20"/>
      <c r="AA32" s="20">
        <v>90</v>
      </c>
      <c r="AB32" s="21"/>
      <c r="AC32" s="1">
        <v>90</v>
      </c>
      <c r="AD32" s="20"/>
      <c r="AE32" s="20">
        <v>94</v>
      </c>
      <c r="AF32" s="20"/>
      <c r="AG32" s="20">
        <v>93</v>
      </c>
      <c r="AH32" s="20"/>
      <c r="AI32" s="20">
        <v>94</v>
      </c>
      <c r="AJ32" s="3"/>
      <c r="AK32" s="44">
        <f t="shared" si="4"/>
        <v>90.75</v>
      </c>
      <c r="AL32" s="45">
        <f t="shared" si="5"/>
        <v>92</v>
      </c>
      <c r="AM32" s="46">
        <f t="shared" si="6"/>
        <v>90</v>
      </c>
      <c r="AN32" s="47">
        <f t="shared" si="7"/>
        <v>92.75</v>
      </c>
      <c r="AO32" s="48">
        <f t="shared" si="8"/>
        <v>91.375</v>
      </c>
      <c r="AP32" s="37"/>
      <c r="AR32" s="54" t="str">
        <f t="shared" si="9"/>
        <v/>
      </c>
      <c r="AS32" s="20"/>
      <c r="AT32" s="56">
        <f t="shared" si="10"/>
        <v>0</v>
      </c>
      <c r="AU32" s="57" t="str">
        <f t="shared" si="11"/>
        <v/>
      </c>
      <c r="AV32" s="54" t="str">
        <f t="shared" si="12"/>
        <v/>
      </c>
      <c r="AW32" s="20"/>
      <c r="AX32" s="56">
        <f t="shared" si="13"/>
        <v>0</v>
      </c>
      <c r="AY32" s="60" t="str">
        <f t="shared" si="14"/>
        <v/>
      </c>
      <c r="AZ32" s="54" t="str">
        <f t="shared" si="15"/>
        <v/>
      </c>
      <c r="BA32" s="21"/>
      <c r="BB32" s="62">
        <f t="shared" si="16"/>
        <v>91.375</v>
      </c>
      <c r="BC32" s="64" t="str">
        <f t="shared" si="17"/>
        <v/>
      </c>
      <c r="BE32" s="20">
        <f t="shared" si="18"/>
        <v>90.75</v>
      </c>
      <c r="BF32" s="20">
        <f t="shared" si="19"/>
        <v>91.75</v>
      </c>
      <c r="BG32" s="89">
        <f t="shared" si="20"/>
        <v>91</v>
      </c>
      <c r="BH32" s="20">
        <f t="shared" si="21"/>
        <v>92</v>
      </c>
      <c r="BI32" s="20">
        <f t="shared" si="22"/>
        <v>91.375</v>
      </c>
    </row>
    <row r="33" spans="1:61" x14ac:dyDescent="0.2">
      <c r="A33" s="29">
        <v>31</v>
      </c>
      <c r="B33" s="88" t="s">
        <v>142</v>
      </c>
      <c r="C33" s="69" t="s">
        <v>91</v>
      </c>
      <c r="D33" s="69" t="s">
        <v>92</v>
      </c>
      <c r="E33" s="19">
        <v>96</v>
      </c>
      <c r="F33" s="20"/>
      <c r="G33" s="20">
        <v>93</v>
      </c>
      <c r="H33" s="20"/>
      <c r="I33" s="20">
        <v>96</v>
      </c>
      <c r="J33" s="20"/>
      <c r="K33" s="20">
        <v>90</v>
      </c>
      <c r="L33" s="21"/>
      <c r="M33" s="19">
        <v>93</v>
      </c>
      <c r="N33" s="20"/>
      <c r="O33" s="20">
        <v>96</v>
      </c>
      <c r="P33" s="20"/>
      <c r="Q33" s="20">
        <v>90</v>
      </c>
      <c r="R33" s="20"/>
      <c r="S33" s="20">
        <v>93</v>
      </c>
      <c r="T33" s="21"/>
      <c r="U33" s="19">
        <v>96</v>
      </c>
      <c r="V33" s="20"/>
      <c r="W33" s="20">
        <v>90</v>
      </c>
      <c r="X33" s="20"/>
      <c r="Y33" s="20">
        <v>90</v>
      </c>
      <c r="Z33" s="20"/>
      <c r="AA33" s="20">
        <v>96</v>
      </c>
      <c r="AB33" s="21"/>
      <c r="AC33" s="1">
        <v>96</v>
      </c>
      <c r="AD33" s="20"/>
      <c r="AE33" s="20">
        <v>93</v>
      </c>
      <c r="AF33" s="20"/>
      <c r="AG33" s="20">
        <v>96</v>
      </c>
      <c r="AH33" s="20"/>
      <c r="AI33" s="20">
        <v>96</v>
      </c>
      <c r="AJ33" s="3"/>
      <c r="AK33" s="44">
        <f t="shared" si="4"/>
        <v>93.75</v>
      </c>
      <c r="AL33" s="45">
        <f t="shared" si="5"/>
        <v>93</v>
      </c>
      <c r="AM33" s="46">
        <f t="shared" si="6"/>
        <v>93</v>
      </c>
      <c r="AN33" s="47">
        <f t="shared" si="7"/>
        <v>95.25</v>
      </c>
      <c r="AO33" s="48">
        <f t="shared" si="8"/>
        <v>93.75</v>
      </c>
      <c r="AP33" s="37"/>
      <c r="AR33" s="54" t="str">
        <f t="shared" si="9"/>
        <v/>
      </c>
      <c r="AS33" s="20"/>
      <c r="AT33" s="56">
        <f t="shared" si="10"/>
        <v>0</v>
      </c>
      <c r="AU33" s="57" t="str">
        <f t="shared" si="11"/>
        <v/>
      </c>
      <c r="AV33" s="54" t="str">
        <f t="shared" si="12"/>
        <v/>
      </c>
      <c r="AW33" s="20"/>
      <c r="AX33" s="56">
        <f t="shared" si="13"/>
        <v>0</v>
      </c>
      <c r="AY33" s="60" t="str">
        <f t="shared" si="14"/>
        <v/>
      </c>
      <c r="AZ33" s="54" t="str">
        <f t="shared" si="15"/>
        <v/>
      </c>
      <c r="BA33" s="21"/>
      <c r="BB33" s="62">
        <f t="shared" si="16"/>
        <v>93.75</v>
      </c>
      <c r="BC33" s="64" t="str">
        <f t="shared" si="17"/>
        <v/>
      </c>
      <c r="BE33" s="20">
        <f t="shared" si="18"/>
        <v>95.25</v>
      </c>
      <c r="BF33" s="20">
        <f t="shared" si="19"/>
        <v>93</v>
      </c>
      <c r="BG33" s="89">
        <f t="shared" si="20"/>
        <v>93</v>
      </c>
      <c r="BH33" s="20">
        <f t="shared" si="21"/>
        <v>93.75</v>
      </c>
      <c r="BI33" s="20">
        <f t="shared" si="22"/>
        <v>93.75</v>
      </c>
    </row>
    <row r="34" spans="1:61" x14ac:dyDescent="0.2">
      <c r="A34" s="29">
        <v>32</v>
      </c>
      <c r="B34" s="88" t="s">
        <v>143</v>
      </c>
      <c r="C34" s="70" t="s">
        <v>93</v>
      </c>
      <c r="D34" s="70" t="s">
        <v>94</v>
      </c>
      <c r="E34" s="19">
        <v>90</v>
      </c>
      <c r="F34" s="20"/>
      <c r="G34" s="20">
        <v>91</v>
      </c>
      <c r="H34" s="20"/>
      <c r="I34" s="20">
        <v>89</v>
      </c>
      <c r="J34" s="20"/>
      <c r="K34" s="20">
        <v>90</v>
      </c>
      <c r="L34" s="21"/>
      <c r="M34" s="19">
        <v>90</v>
      </c>
      <c r="N34" s="20"/>
      <c r="O34" s="20">
        <v>96</v>
      </c>
      <c r="P34" s="20"/>
      <c r="Q34" s="20">
        <v>93</v>
      </c>
      <c r="R34" s="20"/>
      <c r="S34" s="20">
        <v>94</v>
      </c>
      <c r="T34" s="21"/>
      <c r="U34" s="19">
        <v>96</v>
      </c>
      <c r="V34" s="20"/>
      <c r="W34" s="20">
        <v>92</v>
      </c>
      <c r="X34" s="20"/>
      <c r="Y34" s="20">
        <v>92</v>
      </c>
      <c r="Z34" s="20"/>
      <c r="AA34" s="20">
        <v>94</v>
      </c>
      <c r="AB34" s="21"/>
      <c r="AC34" s="1">
        <v>96</v>
      </c>
      <c r="AD34" s="20"/>
      <c r="AE34" s="20">
        <v>94</v>
      </c>
      <c r="AF34" s="20"/>
      <c r="AG34" s="20">
        <v>96</v>
      </c>
      <c r="AH34" s="20"/>
      <c r="AI34" s="20">
        <v>96</v>
      </c>
      <c r="AJ34" s="3"/>
      <c r="AK34" s="44">
        <f t="shared" si="4"/>
        <v>90</v>
      </c>
      <c r="AL34" s="45">
        <f t="shared" si="5"/>
        <v>93.25</v>
      </c>
      <c r="AM34" s="46">
        <f t="shared" si="6"/>
        <v>93.5</v>
      </c>
      <c r="AN34" s="47">
        <f t="shared" si="7"/>
        <v>95.5</v>
      </c>
      <c r="AO34" s="48">
        <f t="shared" si="8"/>
        <v>93.0625</v>
      </c>
      <c r="AP34" s="37"/>
      <c r="AR34" s="54" t="str">
        <f t="shared" si="9"/>
        <v/>
      </c>
      <c r="AS34" s="20"/>
      <c r="AT34" s="56">
        <f t="shared" si="10"/>
        <v>0</v>
      </c>
      <c r="AU34" s="57" t="str">
        <f t="shared" si="11"/>
        <v/>
      </c>
      <c r="AV34" s="54" t="str">
        <f t="shared" si="12"/>
        <v/>
      </c>
      <c r="AW34" s="20"/>
      <c r="AX34" s="56">
        <f t="shared" si="13"/>
        <v>0</v>
      </c>
      <c r="AY34" s="60" t="str">
        <f t="shared" si="14"/>
        <v/>
      </c>
      <c r="AZ34" s="54" t="str">
        <f t="shared" si="15"/>
        <v/>
      </c>
      <c r="BA34" s="21"/>
      <c r="BB34" s="62">
        <f t="shared" si="16"/>
        <v>93.0625</v>
      </c>
      <c r="BC34" s="64" t="str">
        <f t="shared" si="17"/>
        <v/>
      </c>
      <c r="BE34" s="20">
        <f t="shared" si="18"/>
        <v>93</v>
      </c>
      <c r="BF34" s="20">
        <f t="shared" si="19"/>
        <v>93.25</v>
      </c>
      <c r="BG34" s="89">
        <f t="shared" si="20"/>
        <v>92.5</v>
      </c>
      <c r="BH34" s="20">
        <f t="shared" si="21"/>
        <v>93.5</v>
      </c>
      <c r="BI34" s="20">
        <f t="shared" si="22"/>
        <v>93.0625</v>
      </c>
    </row>
    <row r="35" spans="1:61" x14ac:dyDescent="0.2">
      <c r="A35" s="29">
        <v>33</v>
      </c>
      <c r="B35" s="88" t="s">
        <v>144</v>
      </c>
      <c r="C35" s="71" t="s">
        <v>95</v>
      </c>
      <c r="D35" s="71" t="s">
        <v>96</v>
      </c>
      <c r="E35" s="19">
        <v>94</v>
      </c>
      <c r="F35" s="20"/>
      <c r="G35" s="20">
        <v>90</v>
      </c>
      <c r="H35" s="20"/>
      <c r="I35" s="20">
        <v>92</v>
      </c>
      <c r="J35" s="20"/>
      <c r="K35" s="20">
        <v>92</v>
      </c>
      <c r="L35" s="21"/>
      <c r="M35" s="19">
        <v>90</v>
      </c>
      <c r="N35" s="20"/>
      <c r="O35" s="20">
        <v>90</v>
      </c>
      <c r="P35" s="20"/>
      <c r="Q35" s="20">
        <v>94</v>
      </c>
      <c r="R35" s="20"/>
      <c r="S35" s="20">
        <v>90</v>
      </c>
      <c r="T35" s="21"/>
      <c r="U35" s="19">
        <v>94</v>
      </c>
      <c r="V35" s="20"/>
      <c r="W35" s="20">
        <v>92</v>
      </c>
      <c r="X35" s="20"/>
      <c r="Y35" s="20">
        <v>94</v>
      </c>
      <c r="Z35" s="20"/>
      <c r="AA35" s="20">
        <v>92</v>
      </c>
      <c r="AB35" s="21"/>
      <c r="AC35" s="1">
        <v>94</v>
      </c>
      <c r="AD35" s="20"/>
      <c r="AE35" s="20">
        <v>90</v>
      </c>
      <c r="AF35" s="20"/>
      <c r="AG35" s="20">
        <v>92</v>
      </c>
      <c r="AH35" s="20"/>
      <c r="AI35" s="20">
        <v>94</v>
      </c>
      <c r="AJ35" s="3"/>
      <c r="AK35" s="44">
        <f t="shared" si="4"/>
        <v>92</v>
      </c>
      <c r="AL35" s="45">
        <f t="shared" si="5"/>
        <v>91</v>
      </c>
      <c r="AM35" s="46">
        <f t="shared" si="6"/>
        <v>93</v>
      </c>
      <c r="AN35" s="47">
        <f t="shared" si="7"/>
        <v>92.5</v>
      </c>
      <c r="AO35" s="48">
        <f t="shared" si="8"/>
        <v>92.125</v>
      </c>
      <c r="AP35" s="37"/>
      <c r="AR35" s="54" t="str">
        <f t="shared" si="9"/>
        <v/>
      </c>
      <c r="AS35" s="20"/>
      <c r="AT35" s="56">
        <f t="shared" si="10"/>
        <v>0</v>
      </c>
      <c r="AU35" s="57" t="str">
        <f t="shared" si="11"/>
        <v/>
      </c>
      <c r="AV35" s="54" t="str">
        <f t="shared" si="12"/>
        <v/>
      </c>
      <c r="AW35" s="20"/>
      <c r="AX35" s="56">
        <f t="shared" si="13"/>
        <v>0</v>
      </c>
      <c r="AY35" s="60" t="str">
        <f t="shared" si="14"/>
        <v/>
      </c>
      <c r="AZ35" s="54" t="str">
        <f t="shared" si="15"/>
        <v/>
      </c>
      <c r="BA35" s="21"/>
      <c r="BB35" s="62">
        <f t="shared" si="16"/>
        <v>92.125</v>
      </c>
      <c r="BC35" s="64" t="str">
        <f t="shared" si="17"/>
        <v/>
      </c>
      <c r="BE35" s="20">
        <f t="shared" si="18"/>
        <v>93</v>
      </c>
      <c r="BF35" s="20">
        <f t="shared" si="19"/>
        <v>90.5</v>
      </c>
      <c r="BG35" s="89">
        <f t="shared" si="20"/>
        <v>93</v>
      </c>
      <c r="BH35" s="20">
        <f t="shared" si="21"/>
        <v>92</v>
      </c>
      <c r="BI35" s="20">
        <f t="shared" si="22"/>
        <v>92.125</v>
      </c>
    </row>
    <row r="36" spans="1:61" x14ac:dyDescent="0.2">
      <c r="A36" s="29">
        <v>34</v>
      </c>
      <c r="B36" s="88" t="s">
        <v>145</v>
      </c>
      <c r="C36" s="70" t="s">
        <v>97</v>
      </c>
      <c r="D36" s="70" t="s">
        <v>98</v>
      </c>
      <c r="E36" s="19"/>
      <c r="F36" s="19">
        <v>60</v>
      </c>
      <c r="G36" s="19">
        <v>60</v>
      </c>
      <c r="H36" s="20"/>
      <c r="I36" s="20">
        <v>65</v>
      </c>
      <c r="J36" s="20"/>
      <c r="K36" s="20">
        <v>63</v>
      </c>
      <c r="L36" s="20"/>
      <c r="M36" s="20">
        <v>68</v>
      </c>
      <c r="N36" s="19">
        <v>60</v>
      </c>
      <c r="O36" s="19">
        <v>60</v>
      </c>
      <c r="P36" s="20"/>
      <c r="Q36" s="20">
        <v>65</v>
      </c>
      <c r="R36" s="20"/>
      <c r="S36" s="20">
        <v>63</v>
      </c>
      <c r="T36" s="20"/>
      <c r="U36" s="20">
        <v>68</v>
      </c>
      <c r="V36" s="19">
        <v>60</v>
      </c>
      <c r="W36" s="19">
        <v>60</v>
      </c>
      <c r="X36" s="20"/>
      <c r="Y36" s="20">
        <v>65</v>
      </c>
      <c r="Z36" s="20"/>
      <c r="AA36" s="20">
        <v>63</v>
      </c>
      <c r="AB36" s="20"/>
      <c r="AC36" s="20">
        <v>68</v>
      </c>
      <c r="AD36" s="19">
        <v>60</v>
      </c>
      <c r="AE36" s="19">
        <v>60</v>
      </c>
      <c r="AF36" s="20"/>
      <c r="AG36" s="20">
        <v>65</v>
      </c>
      <c r="AH36" s="20"/>
      <c r="AI36" s="20">
        <v>63</v>
      </c>
      <c r="AJ36" s="20"/>
      <c r="AK36" s="20">
        <v>68</v>
      </c>
      <c r="AL36" s="45">
        <f t="shared" si="5"/>
        <v>15</v>
      </c>
      <c r="AM36" s="46">
        <f t="shared" si="6"/>
        <v>15</v>
      </c>
      <c r="AN36" s="47">
        <f t="shared" si="7"/>
        <v>48.25</v>
      </c>
      <c r="AO36" s="48">
        <f t="shared" si="8"/>
        <v>36.5625</v>
      </c>
      <c r="AP36" s="37"/>
      <c r="AR36" s="54">
        <f t="shared" si="9"/>
        <v>18.28125</v>
      </c>
      <c r="AS36" s="20"/>
      <c r="AT36" s="56">
        <f t="shared" si="10"/>
        <v>0</v>
      </c>
      <c r="AU36" s="57" t="str">
        <f t="shared" si="11"/>
        <v/>
      </c>
      <c r="AV36" s="54" t="str">
        <f t="shared" si="12"/>
        <v/>
      </c>
      <c r="AW36" s="20"/>
      <c r="AX36" s="56">
        <f t="shared" si="13"/>
        <v>0</v>
      </c>
      <c r="AY36" s="60" t="str">
        <f t="shared" si="14"/>
        <v/>
      </c>
      <c r="AZ36" s="54" t="str">
        <f t="shared" si="15"/>
        <v/>
      </c>
      <c r="BA36" s="21"/>
      <c r="BB36" s="62" t="str">
        <f t="shared" si="16"/>
        <v/>
      </c>
      <c r="BC36" s="64">
        <f t="shared" si="17"/>
        <v>36.5625</v>
      </c>
      <c r="BE36" s="20">
        <f t="shared" si="18"/>
        <v>51</v>
      </c>
      <c r="BF36" s="20">
        <f t="shared" si="19"/>
        <v>60</v>
      </c>
      <c r="BG36" s="89">
        <f t="shared" si="20"/>
        <v>65</v>
      </c>
      <c r="BH36" s="20">
        <f t="shared" si="21"/>
        <v>63</v>
      </c>
      <c r="BI36" s="20">
        <f t="shared" si="22"/>
        <v>59.75</v>
      </c>
    </row>
    <row r="37" spans="1:61" x14ac:dyDescent="0.2">
      <c r="A37" s="29">
        <v>35</v>
      </c>
      <c r="B37" s="88" t="s">
        <v>146</v>
      </c>
      <c r="C37" s="69" t="s">
        <v>99</v>
      </c>
      <c r="D37" s="69" t="s">
        <v>100</v>
      </c>
      <c r="E37" s="19">
        <v>90</v>
      </c>
      <c r="F37" s="20"/>
      <c r="G37" s="20">
        <v>89</v>
      </c>
      <c r="H37" s="20"/>
      <c r="I37" s="20">
        <v>91</v>
      </c>
      <c r="J37" s="20"/>
      <c r="K37" s="20">
        <v>90</v>
      </c>
      <c r="L37" s="21"/>
      <c r="M37" s="19">
        <v>94</v>
      </c>
      <c r="N37" s="20"/>
      <c r="O37" s="20">
        <v>90</v>
      </c>
      <c r="P37" s="20"/>
      <c r="Q37" s="20">
        <v>91</v>
      </c>
      <c r="R37" s="20"/>
      <c r="S37" s="20">
        <v>86</v>
      </c>
      <c r="T37" s="3"/>
      <c r="U37" s="19">
        <v>92</v>
      </c>
      <c r="V37" s="20"/>
      <c r="W37" s="20">
        <v>90</v>
      </c>
      <c r="X37" s="20"/>
      <c r="Y37" s="20">
        <v>92</v>
      </c>
      <c r="Z37" s="20"/>
      <c r="AA37" s="20">
        <v>91</v>
      </c>
      <c r="AB37" s="21"/>
      <c r="AC37" s="1">
        <v>93</v>
      </c>
      <c r="AD37" s="20"/>
      <c r="AE37" s="20">
        <v>96</v>
      </c>
      <c r="AF37" s="20"/>
      <c r="AG37" s="20">
        <v>93</v>
      </c>
      <c r="AH37" s="20"/>
      <c r="AI37" s="20">
        <v>96</v>
      </c>
      <c r="AJ37" s="3"/>
      <c r="AK37" s="44">
        <f t="shared" si="4"/>
        <v>90</v>
      </c>
      <c r="AL37" s="45">
        <f t="shared" si="5"/>
        <v>90.25</v>
      </c>
      <c r="AM37" s="46">
        <f t="shared" si="6"/>
        <v>91.25</v>
      </c>
      <c r="AN37" s="47">
        <f t="shared" si="7"/>
        <v>94.5</v>
      </c>
      <c r="AO37" s="48">
        <f t="shared" si="8"/>
        <v>91.5</v>
      </c>
      <c r="AP37" s="37"/>
      <c r="AR37" s="54" t="str">
        <f t="shared" si="9"/>
        <v/>
      </c>
      <c r="AS37" s="20"/>
      <c r="AT37" s="56">
        <f t="shared" si="10"/>
        <v>0</v>
      </c>
      <c r="AU37" s="57" t="str">
        <f t="shared" si="11"/>
        <v/>
      </c>
      <c r="AV37" s="54" t="str">
        <f t="shared" si="12"/>
        <v/>
      </c>
      <c r="AW37" s="20"/>
      <c r="AX37" s="56">
        <f t="shared" si="13"/>
        <v>0</v>
      </c>
      <c r="AY37" s="60" t="str">
        <f t="shared" si="14"/>
        <v/>
      </c>
      <c r="AZ37" s="54" t="str">
        <f t="shared" si="15"/>
        <v/>
      </c>
      <c r="BA37" s="21"/>
      <c r="BB37" s="62">
        <f t="shared" si="16"/>
        <v>91.5</v>
      </c>
      <c r="BC37" s="64" t="str">
        <f t="shared" si="17"/>
        <v/>
      </c>
      <c r="BE37" s="20">
        <f t="shared" si="18"/>
        <v>92.25</v>
      </c>
      <c r="BF37" s="20">
        <f t="shared" si="19"/>
        <v>91.25</v>
      </c>
      <c r="BG37" s="89">
        <f t="shared" si="20"/>
        <v>91.75</v>
      </c>
      <c r="BH37" s="20">
        <f t="shared" si="21"/>
        <v>90.75</v>
      </c>
      <c r="BI37" s="20">
        <f t="shared" si="22"/>
        <v>91.5</v>
      </c>
    </row>
    <row r="38" spans="1:61" x14ac:dyDescent="0.2">
      <c r="A38" s="29">
        <v>36</v>
      </c>
      <c r="B38" s="88" t="s">
        <v>147</v>
      </c>
      <c r="C38" s="70" t="s">
        <v>101</v>
      </c>
      <c r="D38" s="70" t="s">
        <v>102</v>
      </c>
      <c r="E38" s="19">
        <v>89</v>
      </c>
      <c r="F38" s="20"/>
      <c r="G38" s="20">
        <v>92</v>
      </c>
      <c r="H38" s="20"/>
      <c r="I38" s="20">
        <v>90</v>
      </c>
      <c r="J38" s="20"/>
      <c r="K38" s="20">
        <v>92</v>
      </c>
      <c r="L38" s="21"/>
      <c r="M38" s="19">
        <v>94</v>
      </c>
      <c r="N38" s="20"/>
      <c r="O38" s="20">
        <v>92</v>
      </c>
      <c r="P38" s="20"/>
      <c r="Q38" s="20">
        <v>90</v>
      </c>
      <c r="R38" s="20"/>
      <c r="S38" s="20">
        <v>92</v>
      </c>
      <c r="T38" s="21"/>
      <c r="U38" s="19">
        <v>90</v>
      </c>
      <c r="V38" s="20"/>
      <c r="W38" s="20">
        <v>89</v>
      </c>
      <c r="X38" s="20"/>
      <c r="Y38" s="20">
        <v>91</v>
      </c>
      <c r="Z38" s="20"/>
      <c r="AA38" s="20">
        <v>90</v>
      </c>
      <c r="AB38" s="21"/>
      <c r="AC38" s="1">
        <v>90</v>
      </c>
      <c r="AD38" s="20"/>
      <c r="AE38" s="20">
        <v>94</v>
      </c>
      <c r="AF38" s="20"/>
      <c r="AG38" s="20">
        <v>93</v>
      </c>
      <c r="AH38" s="20"/>
      <c r="AI38" s="20">
        <v>94</v>
      </c>
      <c r="AJ38" s="3"/>
      <c r="AK38" s="44">
        <f t="shared" si="4"/>
        <v>90.75</v>
      </c>
      <c r="AL38" s="45">
        <f t="shared" si="5"/>
        <v>92</v>
      </c>
      <c r="AM38" s="46">
        <f t="shared" si="6"/>
        <v>90</v>
      </c>
      <c r="AN38" s="47">
        <f t="shared" si="7"/>
        <v>92.75</v>
      </c>
      <c r="AO38" s="48">
        <f t="shared" si="8"/>
        <v>91.375</v>
      </c>
      <c r="AP38" s="37"/>
      <c r="AR38" s="54" t="str">
        <f t="shared" si="9"/>
        <v/>
      </c>
      <c r="AS38" s="20"/>
      <c r="AT38" s="56">
        <f t="shared" si="10"/>
        <v>0</v>
      </c>
      <c r="AU38" s="57" t="str">
        <f t="shared" si="11"/>
        <v/>
      </c>
      <c r="AV38" s="54" t="str">
        <f t="shared" si="12"/>
        <v/>
      </c>
      <c r="AW38" s="20"/>
      <c r="AX38" s="56">
        <f t="shared" si="13"/>
        <v>0</v>
      </c>
      <c r="AY38" s="60" t="str">
        <f t="shared" si="14"/>
        <v/>
      </c>
      <c r="AZ38" s="54" t="str">
        <f t="shared" si="15"/>
        <v/>
      </c>
      <c r="BA38" s="21"/>
      <c r="BB38" s="62">
        <f t="shared" si="16"/>
        <v>91.375</v>
      </c>
      <c r="BC38" s="64" t="str">
        <f t="shared" si="17"/>
        <v/>
      </c>
      <c r="BE38" s="20">
        <f t="shared" si="18"/>
        <v>90.75</v>
      </c>
      <c r="BF38" s="20">
        <f t="shared" si="19"/>
        <v>91.75</v>
      </c>
      <c r="BG38" s="89">
        <f t="shared" si="20"/>
        <v>91</v>
      </c>
      <c r="BH38" s="20">
        <f t="shared" si="21"/>
        <v>92</v>
      </c>
      <c r="BI38" s="20">
        <f t="shared" si="22"/>
        <v>91.375</v>
      </c>
    </row>
    <row r="39" spans="1:61" x14ac:dyDescent="0.2">
      <c r="A39" s="29">
        <v>37</v>
      </c>
      <c r="B39" s="88" t="s">
        <v>148</v>
      </c>
      <c r="C39" s="69" t="s">
        <v>103</v>
      </c>
      <c r="D39" s="69" t="s">
        <v>104</v>
      </c>
      <c r="E39" s="19">
        <v>96</v>
      </c>
      <c r="F39" s="20"/>
      <c r="G39" s="20">
        <v>93</v>
      </c>
      <c r="H39" s="20"/>
      <c r="I39" s="20">
        <v>96</v>
      </c>
      <c r="J39" s="20"/>
      <c r="K39" s="20">
        <v>90</v>
      </c>
      <c r="L39" s="21"/>
      <c r="M39" s="19">
        <v>93</v>
      </c>
      <c r="N39" s="20"/>
      <c r="O39" s="20">
        <v>96</v>
      </c>
      <c r="P39" s="20"/>
      <c r="Q39" s="20">
        <v>90</v>
      </c>
      <c r="R39" s="20"/>
      <c r="S39" s="20">
        <v>93</v>
      </c>
      <c r="T39" s="21"/>
      <c r="U39" s="19">
        <v>96</v>
      </c>
      <c r="V39" s="20"/>
      <c r="W39" s="20">
        <v>90</v>
      </c>
      <c r="X39" s="20"/>
      <c r="Y39" s="20">
        <v>90</v>
      </c>
      <c r="Z39" s="20"/>
      <c r="AA39" s="20">
        <v>96</v>
      </c>
      <c r="AB39" s="21"/>
      <c r="AC39" s="1">
        <v>96</v>
      </c>
      <c r="AD39" s="20"/>
      <c r="AE39" s="20">
        <v>93</v>
      </c>
      <c r="AF39" s="20"/>
      <c r="AG39" s="20">
        <v>96</v>
      </c>
      <c r="AH39" s="20"/>
      <c r="AI39" s="20">
        <v>96</v>
      </c>
      <c r="AJ39" s="3"/>
      <c r="AK39" s="44">
        <f t="shared" si="4"/>
        <v>93.75</v>
      </c>
      <c r="AL39" s="45">
        <f t="shared" si="5"/>
        <v>93</v>
      </c>
      <c r="AM39" s="46">
        <f t="shared" si="6"/>
        <v>93</v>
      </c>
      <c r="AN39" s="47">
        <f t="shared" si="7"/>
        <v>95.25</v>
      </c>
      <c r="AO39" s="48">
        <f t="shared" si="8"/>
        <v>93.75</v>
      </c>
      <c r="AP39" s="37"/>
      <c r="AR39" s="54" t="str">
        <f t="shared" si="9"/>
        <v/>
      </c>
      <c r="AS39" s="20"/>
      <c r="AT39" s="56">
        <f t="shared" si="10"/>
        <v>0</v>
      </c>
      <c r="AU39" s="57" t="str">
        <f t="shared" si="11"/>
        <v/>
      </c>
      <c r="AV39" s="54" t="str">
        <f t="shared" si="12"/>
        <v/>
      </c>
      <c r="AW39" s="20"/>
      <c r="AX39" s="56">
        <f t="shared" si="13"/>
        <v>0</v>
      </c>
      <c r="AY39" s="60" t="str">
        <f t="shared" si="14"/>
        <v/>
      </c>
      <c r="AZ39" s="54" t="str">
        <f t="shared" si="15"/>
        <v/>
      </c>
      <c r="BA39" s="21"/>
      <c r="BB39" s="62">
        <f t="shared" si="16"/>
        <v>93.75</v>
      </c>
      <c r="BC39" s="64" t="str">
        <f t="shared" si="17"/>
        <v/>
      </c>
      <c r="BE39" s="20">
        <f t="shared" si="18"/>
        <v>95.25</v>
      </c>
      <c r="BF39" s="20">
        <f t="shared" si="19"/>
        <v>93</v>
      </c>
      <c r="BG39" s="89">
        <f t="shared" si="20"/>
        <v>93</v>
      </c>
      <c r="BH39" s="20">
        <f t="shared" si="21"/>
        <v>93.75</v>
      </c>
      <c r="BI39" s="20">
        <f t="shared" si="22"/>
        <v>93.75</v>
      </c>
    </row>
    <row r="40" spans="1:61" x14ac:dyDescent="0.2">
      <c r="A40" s="29">
        <v>38</v>
      </c>
      <c r="B40" s="88" t="s">
        <v>149</v>
      </c>
      <c r="C40" s="70" t="s">
        <v>105</v>
      </c>
      <c r="D40" s="70" t="s">
        <v>106</v>
      </c>
      <c r="E40" s="19">
        <v>90</v>
      </c>
      <c r="F40" s="20"/>
      <c r="G40" s="20">
        <v>91</v>
      </c>
      <c r="H40" s="20"/>
      <c r="I40" s="20">
        <v>89</v>
      </c>
      <c r="J40" s="20"/>
      <c r="K40" s="20">
        <v>90</v>
      </c>
      <c r="L40" s="21"/>
      <c r="M40" s="19">
        <v>90</v>
      </c>
      <c r="N40" s="20"/>
      <c r="O40" s="20">
        <v>96</v>
      </c>
      <c r="P40" s="20"/>
      <c r="Q40" s="20">
        <v>93</v>
      </c>
      <c r="R40" s="20"/>
      <c r="S40" s="20">
        <v>94</v>
      </c>
      <c r="T40" s="21"/>
      <c r="U40" s="19">
        <v>96</v>
      </c>
      <c r="V40" s="20"/>
      <c r="W40" s="20">
        <v>92</v>
      </c>
      <c r="X40" s="20"/>
      <c r="Y40" s="20">
        <v>92</v>
      </c>
      <c r="Z40" s="20"/>
      <c r="AA40" s="20">
        <v>94</v>
      </c>
      <c r="AB40" s="21"/>
      <c r="AC40" s="1">
        <v>96</v>
      </c>
      <c r="AD40" s="20"/>
      <c r="AE40" s="20">
        <v>94</v>
      </c>
      <c r="AF40" s="20"/>
      <c r="AG40" s="20">
        <v>96</v>
      </c>
      <c r="AH40" s="20"/>
      <c r="AI40" s="20">
        <v>96</v>
      </c>
      <c r="AJ40" s="3"/>
      <c r="AK40" s="44">
        <f t="shared" si="4"/>
        <v>90</v>
      </c>
      <c r="AL40" s="45">
        <f t="shared" si="5"/>
        <v>93.25</v>
      </c>
      <c r="AM40" s="46">
        <f t="shared" si="6"/>
        <v>93.5</v>
      </c>
      <c r="AN40" s="47">
        <f t="shared" si="7"/>
        <v>95.5</v>
      </c>
      <c r="AO40" s="48">
        <f t="shared" si="8"/>
        <v>93.0625</v>
      </c>
      <c r="AP40" s="37"/>
      <c r="AR40" s="54" t="str">
        <f t="shared" si="9"/>
        <v/>
      </c>
      <c r="AS40" s="20"/>
      <c r="AT40" s="56">
        <f t="shared" si="10"/>
        <v>0</v>
      </c>
      <c r="AU40" s="57" t="str">
        <f t="shared" si="11"/>
        <v/>
      </c>
      <c r="AV40" s="54" t="str">
        <f t="shared" si="12"/>
        <v/>
      </c>
      <c r="AW40" s="20"/>
      <c r="AX40" s="56">
        <f t="shared" si="13"/>
        <v>0</v>
      </c>
      <c r="AY40" s="60" t="str">
        <f t="shared" si="14"/>
        <v/>
      </c>
      <c r="AZ40" s="54" t="str">
        <f t="shared" si="15"/>
        <v/>
      </c>
      <c r="BA40" s="21"/>
      <c r="BB40" s="62">
        <f t="shared" si="16"/>
        <v>93.0625</v>
      </c>
      <c r="BC40" s="64" t="str">
        <f t="shared" si="17"/>
        <v/>
      </c>
      <c r="BE40" s="20">
        <f t="shared" si="18"/>
        <v>93</v>
      </c>
      <c r="BF40" s="20">
        <f t="shared" si="19"/>
        <v>93.25</v>
      </c>
      <c r="BG40" s="89">
        <f t="shared" si="20"/>
        <v>92.5</v>
      </c>
      <c r="BH40" s="20">
        <f t="shared" si="21"/>
        <v>93.5</v>
      </c>
      <c r="BI40" s="20">
        <f t="shared" si="22"/>
        <v>93.0625</v>
      </c>
    </row>
    <row r="41" spans="1:61" x14ac:dyDescent="0.2">
      <c r="A41" s="29">
        <v>39</v>
      </c>
      <c r="B41" s="88" t="s">
        <v>150</v>
      </c>
      <c r="C41" s="69" t="s">
        <v>107</v>
      </c>
      <c r="D41" s="69" t="s">
        <v>108</v>
      </c>
      <c r="E41" s="19">
        <v>94</v>
      </c>
      <c r="F41" s="20"/>
      <c r="G41" s="20">
        <v>90</v>
      </c>
      <c r="H41" s="20"/>
      <c r="I41" s="20">
        <v>92</v>
      </c>
      <c r="J41" s="20"/>
      <c r="K41" s="20">
        <v>92</v>
      </c>
      <c r="L41" s="21"/>
      <c r="M41" s="19">
        <v>90</v>
      </c>
      <c r="N41" s="20"/>
      <c r="O41" s="20">
        <v>90</v>
      </c>
      <c r="P41" s="20"/>
      <c r="Q41" s="20">
        <v>94</v>
      </c>
      <c r="R41" s="20"/>
      <c r="S41" s="20">
        <v>90</v>
      </c>
      <c r="T41" s="21"/>
      <c r="U41" s="19">
        <v>94</v>
      </c>
      <c r="V41" s="20"/>
      <c r="W41" s="20">
        <v>92</v>
      </c>
      <c r="X41" s="20"/>
      <c r="Y41" s="20">
        <v>94</v>
      </c>
      <c r="Z41" s="20"/>
      <c r="AA41" s="20">
        <v>92</v>
      </c>
      <c r="AB41" s="21"/>
      <c r="AC41" s="1">
        <v>94</v>
      </c>
      <c r="AD41" s="20"/>
      <c r="AE41" s="20">
        <v>90</v>
      </c>
      <c r="AF41" s="20"/>
      <c r="AG41" s="20">
        <v>92</v>
      </c>
      <c r="AH41" s="20"/>
      <c r="AI41" s="20">
        <v>94</v>
      </c>
      <c r="AJ41" s="3"/>
      <c r="AK41" s="44">
        <f t="shared" si="4"/>
        <v>92</v>
      </c>
      <c r="AL41" s="45">
        <f t="shared" si="5"/>
        <v>91</v>
      </c>
      <c r="AM41" s="46">
        <f t="shared" si="6"/>
        <v>93</v>
      </c>
      <c r="AN41" s="47">
        <f t="shared" si="7"/>
        <v>92.5</v>
      </c>
      <c r="AO41" s="48">
        <f t="shared" si="8"/>
        <v>92.125</v>
      </c>
      <c r="AP41" s="37"/>
      <c r="AR41" s="54" t="str">
        <f t="shared" si="9"/>
        <v/>
      </c>
      <c r="AS41" s="20"/>
      <c r="AT41" s="56">
        <f t="shared" si="10"/>
        <v>0</v>
      </c>
      <c r="AU41" s="57" t="str">
        <f t="shared" si="11"/>
        <v/>
      </c>
      <c r="AV41" s="54" t="str">
        <f t="shared" si="12"/>
        <v/>
      </c>
      <c r="AW41" s="20"/>
      <c r="AX41" s="56">
        <f t="shared" si="13"/>
        <v>0</v>
      </c>
      <c r="AY41" s="60" t="str">
        <f t="shared" si="14"/>
        <v/>
      </c>
      <c r="AZ41" s="54" t="str">
        <f t="shared" si="15"/>
        <v/>
      </c>
      <c r="BA41" s="21"/>
      <c r="BB41" s="62">
        <f t="shared" si="16"/>
        <v>92.125</v>
      </c>
      <c r="BC41" s="64" t="str">
        <f t="shared" si="17"/>
        <v/>
      </c>
      <c r="BE41" s="20">
        <f t="shared" si="18"/>
        <v>93</v>
      </c>
      <c r="BF41" s="20">
        <f t="shared" si="19"/>
        <v>90.5</v>
      </c>
      <c r="BG41" s="89">
        <f t="shared" si="20"/>
        <v>93</v>
      </c>
      <c r="BH41" s="20">
        <f t="shared" si="21"/>
        <v>92</v>
      </c>
      <c r="BI41" s="20">
        <f t="shared" si="22"/>
        <v>92.125</v>
      </c>
    </row>
    <row r="42" spans="1:61" x14ac:dyDescent="0.2">
      <c r="A42" s="29">
        <v>40</v>
      </c>
      <c r="B42" s="88" t="s">
        <v>151</v>
      </c>
      <c r="C42" s="70" t="s">
        <v>109</v>
      </c>
      <c r="D42" s="70" t="s">
        <v>110</v>
      </c>
      <c r="E42" s="19">
        <v>92</v>
      </c>
      <c r="F42" s="20"/>
      <c r="G42" s="20">
        <v>88</v>
      </c>
      <c r="H42" s="20"/>
      <c r="I42" s="20">
        <v>90</v>
      </c>
      <c r="J42" s="20"/>
      <c r="K42" s="20">
        <v>91</v>
      </c>
      <c r="L42" s="21"/>
      <c r="M42" s="19">
        <v>89</v>
      </c>
      <c r="N42" s="20"/>
      <c r="O42" s="20">
        <v>92</v>
      </c>
      <c r="P42" s="20"/>
      <c r="Q42" s="20">
        <v>94</v>
      </c>
      <c r="R42" s="20"/>
      <c r="S42" s="20">
        <v>94</v>
      </c>
      <c r="T42" s="21"/>
      <c r="U42" s="19">
        <v>89</v>
      </c>
      <c r="V42" s="20"/>
      <c r="W42" s="20">
        <v>91</v>
      </c>
      <c r="X42" s="20"/>
      <c r="Y42" s="20">
        <v>90</v>
      </c>
      <c r="Z42" s="20"/>
      <c r="AA42" s="20">
        <v>91</v>
      </c>
      <c r="AB42" s="21"/>
      <c r="AC42" s="1">
        <v>88</v>
      </c>
      <c r="AD42" s="20"/>
      <c r="AE42" s="20">
        <v>92</v>
      </c>
      <c r="AF42" s="20"/>
      <c r="AG42" s="20">
        <v>94</v>
      </c>
      <c r="AH42" s="20"/>
      <c r="AI42" s="20">
        <v>92</v>
      </c>
      <c r="AJ42" s="3"/>
      <c r="AK42" s="44">
        <f t="shared" si="4"/>
        <v>90.25</v>
      </c>
      <c r="AL42" s="45">
        <f t="shared" si="5"/>
        <v>92.25</v>
      </c>
      <c r="AM42" s="46">
        <f t="shared" si="6"/>
        <v>90.25</v>
      </c>
      <c r="AN42" s="47">
        <f t="shared" si="7"/>
        <v>91.5</v>
      </c>
      <c r="AO42" s="48">
        <f t="shared" si="8"/>
        <v>91.0625</v>
      </c>
      <c r="AP42" s="37"/>
      <c r="AR42" s="54" t="str">
        <f t="shared" si="9"/>
        <v/>
      </c>
      <c r="AS42" s="20"/>
      <c r="AT42" s="56">
        <f t="shared" si="10"/>
        <v>0</v>
      </c>
      <c r="AU42" s="57" t="str">
        <f t="shared" si="11"/>
        <v/>
      </c>
      <c r="AV42" s="54" t="str">
        <f t="shared" si="12"/>
        <v/>
      </c>
      <c r="AW42" s="20"/>
      <c r="AX42" s="56">
        <f t="shared" si="13"/>
        <v>0</v>
      </c>
      <c r="AY42" s="60" t="str">
        <f t="shared" si="14"/>
        <v/>
      </c>
      <c r="AZ42" s="54" t="str">
        <f t="shared" si="15"/>
        <v/>
      </c>
      <c r="BA42" s="21"/>
      <c r="BB42" s="62">
        <f t="shared" si="16"/>
        <v>91.0625</v>
      </c>
      <c r="BC42" s="64" t="str">
        <f t="shared" si="17"/>
        <v/>
      </c>
      <c r="BE42" s="20">
        <f t="shared" si="18"/>
        <v>89.5</v>
      </c>
      <c r="BF42" s="20">
        <f t="shared" si="19"/>
        <v>90.75</v>
      </c>
      <c r="BG42" s="89">
        <f t="shared" si="20"/>
        <v>92</v>
      </c>
      <c r="BH42" s="20">
        <f t="shared" si="21"/>
        <v>92</v>
      </c>
      <c r="BI42" s="20">
        <f t="shared" si="22"/>
        <v>91.0625</v>
      </c>
    </row>
    <row r="43" spans="1:61" x14ac:dyDescent="0.2">
      <c r="A43" s="29">
        <v>41</v>
      </c>
      <c r="B43" s="88" t="s">
        <v>152</v>
      </c>
      <c r="C43" s="67"/>
      <c r="D43" s="67"/>
      <c r="E43" s="19"/>
      <c r="F43" s="20"/>
      <c r="G43" s="20"/>
      <c r="H43" s="20"/>
      <c r="I43" s="20"/>
      <c r="J43" s="20"/>
      <c r="K43" s="20"/>
      <c r="L43" s="21"/>
      <c r="M43" s="19"/>
      <c r="N43" s="20"/>
      <c r="O43" s="20"/>
      <c r="P43" s="20"/>
      <c r="Q43" s="20"/>
      <c r="R43" s="20"/>
      <c r="S43" s="20"/>
      <c r="T43" s="3"/>
      <c r="U43" s="19"/>
      <c r="V43" s="20"/>
      <c r="W43" s="20"/>
      <c r="X43" s="20"/>
      <c r="Y43" s="20"/>
      <c r="Z43" s="20"/>
      <c r="AA43" s="20"/>
      <c r="AB43" s="21"/>
      <c r="AC43" s="1"/>
      <c r="AD43" s="20"/>
      <c r="AE43" s="20"/>
      <c r="AF43" s="20"/>
      <c r="AG43" s="20"/>
      <c r="AH43" s="20"/>
      <c r="AI43" s="20"/>
      <c r="AJ43" s="3"/>
      <c r="AK43" s="44">
        <f t="shared" si="4"/>
        <v>0</v>
      </c>
      <c r="AL43" s="45">
        <f t="shared" si="5"/>
        <v>0</v>
      </c>
      <c r="AM43" s="46">
        <f t="shared" si="6"/>
        <v>0</v>
      </c>
      <c r="AN43" s="47">
        <f t="shared" si="7"/>
        <v>0</v>
      </c>
      <c r="AO43" s="48">
        <f t="shared" si="8"/>
        <v>0</v>
      </c>
      <c r="AP43" s="37"/>
      <c r="AR43" s="54">
        <f t="shared" si="9"/>
        <v>0</v>
      </c>
      <c r="AS43" s="20"/>
      <c r="AT43" s="56">
        <f t="shared" si="10"/>
        <v>0</v>
      </c>
      <c r="AU43" s="57" t="str">
        <f t="shared" si="11"/>
        <v/>
      </c>
      <c r="AV43" s="54" t="str">
        <f t="shared" si="12"/>
        <v/>
      </c>
      <c r="AW43" s="20"/>
      <c r="AX43" s="56">
        <f t="shared" si="13"/>
        <v>0</v>
      </c>
      <c r="AY43" s="60" t="str">
        <f t="shared" si="14"/>
        <v/>
      </c>
      <c r="AZ43" s="54" t="str">
        <f t="shared" si="15"/>
        <v/>
      </c>
      <c r="BA43" s="21"/>
      <c r="BB43" s="62" t="str">
        <f t="shared" si="16"/>
        <v/>
      </c>
      <c r="BC43" s="64">
        <f t="shared" si="17"/>
        <v>0</v>
      </c>
      <c r="BE43" s="20">
        <f t="shared" si="18"/>
        <v>0</v>
      </c>
      <c r="BF43" s="20">
        <f t="shared" si="19"/>
        <v>0</v>
      </c>
      <c r="BG43" s="89">
        <f t="shared" si="20"/>
        <v>0</v>
      </c>
      <c r="BH43" s="20">
        <f t="shared" si="21"/>
        <v>0</v>
      </c>
      <c r="BI43" s="20">
        <f t="shared" si="22"/>
        <v>0</v>
      </c>
    </row>
    <row r="44" spans="1:61" x14ac:dyDescent="0.2">
      <c r="A44" s="29">
        <v>42</v>
      </c>
      <c r="B44" s="88" t="s">
        <v>153</v>
      </c>
      <c r="C44" s="68"/>
      <c r="D44" s="68"/>
      <c r="E44" s="19"/>
      <c r="F44" s="20"/>
      <c r="G44" s="20"/>
      <c r="H44" s="20"/>
      <c r="I44" s="20"/>
      <c r="J44" s="20"/>
      <c r="K44" s="20"/>
      <c r="L44" s="21"/>
      <c r="M44" s="19"/>
      <c r="N44" s="20"/>
      <c r="O44" s="20"/>
      <c r="P44" s="20"/>
      <c r="Q44" s="20"/>
      <c r="R44" s="20"/>
      <c r="S44" s="20"/>
      <c r="T44" s="3"/>
      <c r="U44" s="19"/>
      <c r="V44" s="20"/>
      <c r="W44" s="20"/>
      <c r="X44" s="20"/>
      <c r="Y44" s="20"/>
      <c r="Z44" s="20"/>
      <c r="AA44" s="20"/>
      <c r="AB44" s="21"/>
      <c r="AC44" s="1"/>
      <c r="AD44" s="20"/>
      <c r="AE44" s="20"/>
      <c r="AF44" s="20"/>
      <c r="AG44" s="20"/>
      <c r="AH44" s="20"/>
      <c r="AI44" s="20"/>
      <c r="AJ44" s="3"/>
      <c r="AK44" s="44">
        <f t="shared" si="4"/>
        <v>0</v>
      </c>
      <c r="AL44" s="45">
        <f t="shared" si="5"/>
        <v>0</v>
      </c>
      <c r="AM44" s="46">
        <f t="shared" si="6"/>
        <v>0</v>
      </c>
      <c r="AN44" s="47">
        <f t="shared" si="7"/>
        <v>0</v>
      </c>
      <c r="AO44" s="48">
        <f t="shared" si="8"/>
        <v>0</v>
      </c>
      <c r="AP44" s="37"/>
      <c r="AR44" s="54">
        <f t="shared" si="9"/>
        <v>0</v>
      </c>
      <c r="AS44" s="20"/>
      <c r="AT44" s="56">
        <f t="shared" si="10"/>
        <v>0</v>
      </c>
      <c r="AU44" s="57" t="str">
        <f t="shared" si="11"/>
        <v/>
      </c>
      <c r="AV44" s="54" t="str">
        <f t="shared" si="12"/>
        <v/>
      </c>
      <c r="AW44" s="20"/>
      <c r="AX44" s="56">
        <f t="shared" si="13"/>
        <v>0</v>
      </c>
      <c r="AY44" s="60" t="str">
        <f t="shared" si="14"/>
        <v/>
      </c>
      <c r="AZ44" s="54" t="str">
        <f t="shared" si="15"/>
        <v/>
      </c>
      <c r="BA44" s="21"/>
      <c r="BB44" s="62" t="str">
        <f t="shared" si="16"/>
        <v/>
      </c>
      <c r="BC44" s="64">
        <f t="shared" si="17"/>
        <v>0</v>
      </c>
      <c r="BE44" s="20">
        <f t="shared" si="18"/>
        <v>0</v>
      </c>
      <c r="BF44" s="20">
        <f t="shared" si="19"/>
        <v>0</v>
      </c>
      <c r="BG44" s="89">
        <f t="shared" si="20"/>
        <v>0</v>
      </c>
      <c r="BH44" s="20">
        <f t="shared" si="21"/>
        <v>0</v>
      </c>
      <c r="BI44" s="20">
        <f t="shared" si="22"/>
        <v>0</v>
      </c>
    </row>
    <row r="45" spans="1:61" x14ac:dyDescent="0.2">
      <c r="A45" s="29">
        <v>43</v>
      </c>
      <c r="B45" s="88" t="s">
        <v>154</v>
      </c>
      <c r="C45" s="22"/>
      <c r="D45" s="24"/>
      <c r="E45" s="19"/>
      <c r="F45" s="20"/>
      <c r="G45" s="20"/>
      <c r="H45" s="20"/>
      <c r="I45" s="20"/>
      <c r="J45" s="20"/>
      <c r="K45" s="20"/>
      <c r="L45" s="21"/>
      <c r="M45" s="19"/>
      <c r="N45" s="20"/>
      <c r="O45" s="20"/>
      <c r="P45" s="20"/>
      <c r="Q45" s="20"/>
      <c r="R45" s="20"/>
      <c r="S45" s="20"/>
      <c r="T45" s="3"/>
      <c r="U45" s="19"/>
      <c r="V45" s="20"/>
      <c r="W45" s="20"/>
      <c r="X45" s="20"/>
      <c r="Y45" s="20"/>
      <c r="Z45" s="20"/>
      <c r="AA45" s="20"/>
      <c r="AB45" s="21"/>
      <c r="AC45" s="1"/>
      <c r="AD45" s="20"/>
      <c r="AE45" s="20"/>
      <c r="AF45" s="20"/>
      <c r="AG45" s="20"/>
      <c r="AH45" s="20"/>
      <c r="AI45" s="20"/>
      <c r="AJ45" s="3"/>
      <c r="AK45" s="44">
        <f t="shared" si="4"/>
        <v>0</v>
      </c>
      <c r="AL45" s="45">
        <f t="shared" si="5"/>
        <v>0</v>
      </c>
      <c r="AM45" s="46">
        <f t="shared" si="6"/>
        <v>0</v>
      </c>
      <c r="AN45" s="47">
        <f t="shared" si="7"/>
        <v>0</v>
      </c>
      <c r="AO45" s="48">
        <f t="shared" si="8"/>
        <v>0</v>
      </c>
      <c r="AP45" s="37"/>
      <c r="AR45" s="54">
        <f t="shared" si="9"/>
        <v>0</v>
      </c>
      <c r="AS45" s="20"/>
      <c r="AT45" s="56">
        <f t="shared" si="10"/>
        <v>0</v>
      </c>
      <c r="AU45" s="57" t="str">
        <f t="shared" si="11"/>
        <v/>
      </c>
      <c r="AV45" s="54" t="str">
        <f t="shared" si="12"/>
        <v/>
      </c>
      <c r="AW45" s="20"/>
      <c r="AX45" s="56">
        <f t="shared" si="13"/>
        <v>0</v>
      </c>
      <c r="AY45" s="60" t="str">
        <f t="shared" si="14"/>
        <v/>
      </c>
      <c r="AZ45" s="54" t="str">
        <f t="shared" si="15"/>
        <v/>
      </c>
      <c r="BA45" s="21"/>
      <c r="BB45" s="62" t="str">
        <f t="shared" si="16"/>
        <v/>
      </c>
      <c r="BC45" s="64">
        <f t="shared" si="17"/>
        <v>0</v>
      </c>
      <c r="BE45" s="20">
        <f t="shared" si="18"/>
        <v>0</v>
      </c>
      <c r="BF45" s="20">
        <f t="shared" si="19"/>
        <v>0</v>
      </c>
      <c r="BG45" s="89">
        <f t="shared" si="20"/>
        <v>0</v>
      </c>
      <c r="BH45" s="20">
        <f t="shared" si="21"/>
        <v>0</v>
      </c>
      <c r="BI45" s="20">
        <f t="shared" si="22"/>
        <v>0</v>
      </c>
    </row>
    <row r="46" spans="1:61" x14ac:dyDescent="0.2">
      <c r="A46" s="29">
        <v>44</v>
      </c>
      <c r="B46" s="88" t="s">
        <v>155</v>
      </c>
      <c r="C46" s="22"/>
      <c r="D46" s="24"/>
      <c r="E46" s="19"/>
      <c r="F46" s="20"/>
      <c r="G46" s="20"/>
      <c r="H46" s="20"/>
      <c r="I46" s="20"/>
      <c r="J46" s="20"/>
      <c r="K46" s="20"/>
      <c r="L46" s="21"/>
      <c r="M46" s="19"/>
      <c r="N46" s="20"/>
      <c r="O46" s="20"/>
      <c r="P46" s="20"/>
      <c r="Q46" s="20"/>
      <c r="R46" s="20"/>
      <c r="S46" s="20"/>
      <c r="T46" s="3"/>
      <c r="U46" s="19"/>
      <c r="V46" s="20"/>
      <c r="W46" s="20"/>
      <c r="X46" s="20"/>
      <c r="Y46" s="20"/>
      <c r="Z46" s="20"/>
      <c r="AA46" s="20"/>
      <c r="AB46" s="21"/>
      <c r="AC46" s="1"/>
      <c r="AD46" s="20"/>
      <c r="AE46" s="20"/>
      <c r="AF46" s="20"/>
      <c r="AG46" s="20"/>
      <c r="AH46" s="20"/>
      <c r="AI46" s="20"/>
      <c r="AJ46" s="3"/>
      <c r="AK46" s="44">
        <f t="shared" si="4"/>
        <v>0</v>
      </c>
      <c r="AL46" s="45">
        <f t="shared" si="5"/>
        <v>0</v>
      </c>
      <c r="AM46" s="46">
        <f t="shared" si="6"/>
        <v>0</v>
      </c>
      <c r="AN46" s="47">
        <f t="shared" si="7"/>
        <v>0</v>
      </c>
      <c r="AO46" s="48">
        <f t="shared" si="8"/>
        <v>0</v>
      </c>
      <c r="AP46" s="37"/>
      <c r="AR46" s="54">
        <f t="shared" si="9"/>
        <v>0</v>
      </c>
      <c r="AS46" s="20"/>
      <c r="AT46" s="56">
        <f t="shared" si="10"/>
        <v>0</v>
      </c>
      <c r="AU46" s="57" t="str">
        <f t="shared" si="11"/>
        <v/>
      </c>
      <c r="AV46" s="54" t="str">
        <f t="shared" si="12"/>
        <v/>
      </c>
      <c r="AW46" s="20"/>
      <c r="AX46" s="56">
        <f t="shared" si="13"/>
        <v>0</v>
      </c>
      <c r="AY46" s="60" t="str">
        <f t="shared" si="14"/>
        <v/>
      </c>
      <c r="AZ46" s="54" t="str">
        <f t="shared" si="15"/>
        <v/>
      </c>
      <c r="BA46" s="21"/>
      <c r="BB46" s="62" t="str">
        <f t="shared" si="16"/>
        <v/>
      </c>
      <c r="BC46" s="64">
        <f t="shared" si="17"/>
        <v>0</v>
      </c>
      <c r="BE46" s="20">
        <f t="shared" si="18"/>
        <v>0</v>
      </c>
      <c r="BF46" s="20">
        <f t="shared" si="19"/>
        <v>0</v>
      </c>
      <c r="BG46" s="89">
        <f t="shared" si="20"/>
        <v>0</v>
      </c>
      <c r="BH46" s="20">
        <f t="shared" si="21"/>
        <v>0</v>
      </c>
      <c r="BI46" s="20">
        <f t="shared" si="22"/>
        <v>0</v>
      </c>
    </row>
    <row r="47" spans="1:61" ht="16" thickBot="1" x14ac:dyDescent="0.25">
      <c r="A47" s="30">
        <v>45</v>
      </c>
      <c r="B47" s="88" t="s">
        <v>156</v>
      </c>
      <c r="C47" s="23"/>
      <c r="D47" s="25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4"/>
      <c r="U47" s="31"/>
      <c r="V47" s="32"/>
      <c r="W47" s="32"/>
      <c r="X47" s="32"/>
      <c r="Y47" s="32"/>
      <c r="Z47" s="32"/>
      <c r="AA47" s="32"/>
      <c r="AB47" s="33"/>
      <c r="AC47" s="5"/>
      <c r="AD47" s="32"/>
      <c r="AE47" s="32"/>
      <c r="AF47" s="32"/>
      <c r="AG47" s="32"/>
      <c r="AH47" s="32"/>
      <c r="AI47" s="32"/>
      <c r="AJ47" s="4"/>
      <c r="AK47" s="49">
        <f t="shared" si="4"/>
        <v>0</v>
      </c>
      <c r="AL47" s="50">
        <f t="shared" si="5"/>
        <v>0</v>
      </c>
      <c r="AM47" s="51">
        <f t="shared" si="6"/>
        <v>0</v>
      </c>
      <c r="AN47" s="52">
        <f t="shared" si="7"/>
        <v>0</v>
      </c>
      <c r="AO47" s="53">
        <f t="shared" si="8"/>
        <v>0</v>
      </c>
      <c r="AP47" s="38"/>
      <c r="AR47" s="55">
        <f t="shared" si="9"/>
        <v>0</v>
      </c>
      <c r="AS47" s="32"/>
      <c r="AT47" s="58">
        <f t="shared" si="10"/>
        <v>0</v>
      </c>
      <c r="AU47" s="59" t="str">
        <f t="shared" si="11"/>
        <v/>
      </c>
      <c r="AV47" s="55" t="str">
        <f t="shared" si="12"/>
        <v/>
      </c>
      <c r="AW47" s="32"/>
      <c r="AX47" s="58">
        <f t="shared" si="13"/>
        <v>0</v>
      </c>
      <c r="AY47" s="61" t="str">
        <f t="shared" si="14"/>
        <v/>
      </c>
      <c r="AZ47" s="55" t="str">
        <f t="shared" si="15"/>
        <v/>
      </c>
      <c r="BA47" s="33"/>
      <c r="BB47" s="65" t="str">
        <f t="shared" si="16"/>
        <v/>
      </c>
      <c r="BC47" s="66">
        <f t="shared" si="17"/>
        <v>0</v>
      </c>
      <c r="BE47" s="20">
        <f t="shared" si="18"/>
        <v>0</v>
      </c>
      <c r="BF47" s="20">
        <f t="shared" si="19"/>
        <v>0</v>
      </c>
      <c r="BG47" s="89">
        <f t="shared" si="20"/>
        <v>0</v>
      </c>
      <c r="BH47" s="20">
        <f t="shared" si="21"/>
        <v>0</v>
      </c>
      <c r="BI47" s="20">
        <f t="shared" si="22"/>
        <v>0</v>
      </c>
    </row>
  </sheetData>
  <mergeCells count="26">
    <mergeCell ref="AN1:AN2"/>
    <mergeCell ref="AR1:AR2"/>
    <mergeCell ref="AS1:AS2"/>
    <mergeCell ref="U1:AB1"/>
    <mergeCell ref="AC1:AJ1"/>
    <mergeCell ref="AK1:AK2"/>
    <mergeCell ref="AL1:AL2"/>
    <mergeCell ref="AM1:AM2"/>
    <mergeCell ref="AO1:AO2"/>
    <mergeCell ref="AP1:AP2"/>
    <mergeCell ref="A1:A2"/>
    <mergeCell ref="C1:C2"/>
    <mergeCell ref="D1:D2"/>
    <mergeCell ref="E1:L1"/>
    <mergeCell ref="M1:T1"/>
    <mergeCell ref="B1:B2"/>
    <mergeCell ref="AZ1:AZ2"/>
    <mergeCell ref="BA1:BA2"/>
    <mergeCell ref="BB1:BB2"/>
    <mergeCell ref="BC1:BC2"/>
    <mergeCell ref="AT1:AT2"/>
    <mergeCell ref="AU1:AU2"/>
    <mergeCell ref="AV1:AV2"/>
    <mergeCell ref="AW1:AW2"/>
    <mergeCell ref="AX1:AX2"/>
    <mergeCell ref="AY1:AY2"/>
  </mergeCells>
  <conditionalFormatting sqref="E3">
    <cfRule type="cellIs" dxfId="445" priority="75" operator="lessThan">
      <formula>70</formula>
    </cfRule>
  </conditionalFormatting>
  <conditionalFormatting sqref="G4:L11 G14:L15 G17:L22 G25:L26 G28:L30 G32:L33">
    <cfRule type="cellIs" dxfId="444" priority="78" operator="lessThan">
      <formula>70</formula>
    </cfRule>
  </conditionalFormatting>
  <conditionalFormatting sqref="G38:L39">
    <cfRule type="cellIs" dxfId="443" priority="73" operator="lessThan">
      <formula>70</formula>
    </cfRule>
  </conditionalFormatting>
  <conditionalFormatting sqref="G42:L42">
    <cfRule type="cellIs" dxfId="442" priority="70" operator="lessThan">
      <formula>70</formula>
    </cfRule>
  </conditionalFormatting>
  <conditionalFormatting sqref="O4:AB11 O14:AB15 O17:AB22 O25:AB26 O28:AB30 O32:AB33">
    <cfRule type="cellIs" dxfId="441" priority="66" operator="lessThan">
      <formula>70</formula>
    </cfRule>
  </conditionalFormatting>
  <conditionalFormatting sqref="O38:AB39">
    <cfRule type="cellIs" dxfId="440" priority="72" operator="lessThan">
      <formula>70</formula>
    </cfRule>
  </conditionalFormatting>
  <conditionalFormatting sqref="O42:AB42">
    <cfRule type="cellIs" dxfId="439" priority="69" operator="lessThan">
      <formula>70</formula>
    </cfRule>
  </conditionalFormatting>
  <conditionalFormatting sqref="AE38:AI39">
    <cfRule type="cellIs" dxfId="438" priority="71" operator="lessThan">
      <formula>70</formula>
    </cfRule>
  </conditionalFormatting>
  <conditionalFormatting sqref="AE42:AI42">
    <cfRule type="cellIs" dxfId="437" priority="68" operator="lessThan">
      <formula>70</formula>
    </cfRule>
  </conditionalFormatting>
  <conditionalFormatting sqref="AE4:AJ11 AE14:AJ15 AE17:AJ22 AE25:AJ26 AE28:AJ30 AE32:AJ33">
    <cfRule type="cellIs" dxfId="436" priority="64" operator="lessThan">
      <formula>70</formula>
    </cfRule>
  </conditionalFormatting>
  <conditionalFormatting sqref="AK4:AP11 E4:F11 M4:N11 AC4:AD11 E34:AJ35 E38:F39 M38:N39 AC38:AD39 AJ38:AJ42 E40:AI41 E42:F42 M42:N42 AC42:AD42 E43:AJ47 AL3:AP3 AC14:AD15 M14:N15 E14:F15 AK14:AP15 AL12:AP13 E12:E13 AK17:AP22 AL16:AP16 E17:F22 E16 M17:N22 AC17:AD22 AC25:AD26 M25:N26 E25:F26 AK25:AP26 AL23:AP24 E23:E24 AK28:AP30 AL27:AP27 E28:F30 E27 M28:N30 AC28:AD30 AC32:AD33 M32:N33 E32:F33 E31 AK32:AP35 AL31:AP31 AK37:AP47 AL36:AP36 E37:AJ37 E36">
    <cfRule type="cellIs" dxfId="435" priority="81" operator="lessThan">
      <formula>70</formula>
    </cfRule>
  </conditionalFormatting>
  <conditionalFormatting sqref="AR3:AR47">
    <cfRule type="cellIs" dxfId="434" priority="79" operator="lessThan">
      <formula>70</formula>
    </cfRule>
  </conditionalFormatting>
  <conditionalFormatting sqref="AR3:AY47">
    <cfRule type="cellIs" dxfId="433" priority="80" operator="lessThan">
      <formula>70</formula>
    </cfRule>
  </conditionalFormatting>
  <conditionalFormatting sqref="AZ3:AZ47">
    <cfRule type="cellIs" dxfId="432" priority="74" operator="lessThan">
      <formula>70</formula>
    </cfRule>
  </conditionalFormatting>
  <conditionalFormatting sqref="F3:H3 N3:P3 AD3:AF3">
    <cfRule type="cellIs" dxfId="322" priority="63" operator="lessThan">
      <formula>70</formula>
    </cfRule>
  </conditionalFormatting>
  <conditionalFormatting sqref="H3:M3">
    <cfRule type="cellIs" dxfId="321" priority="62" operator="lessThan">
      <formula>70</formula>
    </cfRule>
  </conditionalFormatting>
  <conditionalFormatting sqref="V3">
    <cfRule type="cellIs" dxfId="320" priority="61" operator="lessThan">
      <formula>70</formula>
    </cfRule>
  </conditionalFormatting>
  <conditionalFormatting sqref="P3:U3">
    <cfRule type="cellIs" dxfId="319" priority="60" operator="lessThan">
      <formula>70</formula>
    </cfRule>
  </conditionalFormatting>
  <conditionalFormatting sqref="W3:X3">
    <cfRule type="cellIs" dxfId="318" priority="59" operator="lessThan">
      <formula>70</formula>
    </cfRule>
  </conditionalFormatting>
  <conditionalFormatting sqref="X3:AC3">
    <cfRule type="cellIs" dxfId="317" priority="58" operator="lessThan">
      <formula>70</formula>
    </cfRule>
  </conditionalFormatting>
  <conditionalFormatting sqref="AF3:AK3">
    <cfRule type="cellIs" dxfId="316" priority="57" operator="lessThan">
      <formula>70</formula>
    </cfRule>
  </conditionalFormatting>
  <conditionalFormatting sqref="F12:H12 N12:P12 AD12:AF12">
    <cfRule type="cellIs" dxfId="315" priority="56" operator="lessThan">
      <formula>70</formula>
    </cfRule>
  </conditionalFormatting>
  <conditionalFormatting sqref="H12:M12">
    <cfRule type="cellIs" dxfId="314" priority="55" operator="lessThan">
      <formula>70</formula>
    </cfRule>
  </conditionalFormatting>
  <conditionalFormatting sqref="V12">
    <cfRule type="cellIs" dxfId="313" priority="54" operator="lessThan">
      <formula>70</formula>
    </cfRule>
  </conditionalFormatting>
  <conditionalFormatting sqref="P12:U12">
    <cfRule type="cellIs" dxfId="312" priority="53" operator="lessThan">
      <formula>70</formula>
    </cfRule>
  </conditionalFormatting>
  <conditionalFormatting sqref="W12:X12">
    <cfRule type="cellIs" dxfId="311" priority="52" operator="lessThan">
      <formula>70</formula>
    </cfRule>
  </conditionalFormatting>
  <conditionalFormatting sqref="X12:AC12">
    <cfRule type="cellIs" dxfId="310" priority="51" operator="lessThan">
      <formula>70</formula>
    </cfRule>
  </conditionalFormatting>
  <conditionalFormatting sqref="AF12:AK12">
    <cfRule type="cellIs" dxfId="309" priority="50" operator="lessThan">
      <formula>70</formula>
    </cfRule>
  </conditionalFormatting>
  <conditionalFormatting sqref="F13:H13 N13:P13 AD13:AF13">
    <cfRule type="cellIs" dxfId="308" priority="49" operator="lessThan">
      <formula>70</formula>
    </cfRule>
  </conditionalFormatting>
  <conditionalFormatting sqref="H13:M13">
    <cfRule type="cellIs" dxfId="307" priority="48" operator="lessThan">
      <formula>70</formula>
    </cfRule>
  </conditionalFormatting>
  <conditionalFormatting sqref="V13">
    <cfRule type="cellIs" dxfId="306" priority="47" operator="lessThan">
      <formula>70</formula>
    </cfRule>
  </conditionalFormatting>
  <conditionalFormatting sqref="P13:U13">
    <cfRule type="cellIs" dxfId="305" priority="46" operator="lessThan">
      <formula>70</formula>
    </cfRule>
  </conditionalFormatting>
  <conditionalFormatting sqref="W13:X13">
    <cfRule type="cellIs" dxfId="304" priority="45" operator="lessThan">
      <formula>70</formula>
    </cfRule>
  </conditionalFormatting>
  <conditionalFormatting sqref="X13:AC13">
    <cfRule type="cellIs" dxfId="303" priority="44" operator="lessThan">
      <formula>70</formula>
    </cfRule>
  </conditionalFormatting>
  <conditionalFormatting sqref="AF13:AK13">
    <cfRule type="cellIs" dxfId="302" priority="43" operator="lessThan">
      <formula>70</formula>
    </cfRule>
  </conditionalFormatting>
  <conditionalFormatting sqref="F16:H16 N16:P16 AD16:AF16">
    <cfRule type="cellIs" dxfId="301" priority="42" operator="lessThan">
      <formula>70</formula>
    </cfRule>
  </conditionalFormatting>
  <conditionalFormatting sqref="H16:M16">
    <cfRule type="cellIs" dxfId="300" priority="41" operator="lessThan">
      <formula>70</formula>
    </cfRule>
  </conditionalFormatting>
  <conditionalFormatting sqref="V16">
    <cfRule type="cellIs" dxfId="299" priority="40" operator="lessThan">
      <formula>70</formula>
    </cfRule>
  </conditionalFormatting>
  <conditionalFormatting sqref="P16:U16">
    <cfRule type="cellIs" dxfId="298" priority="39" operator="lessThan">
      <formula>70</formula>
    </cfRule>
  </conditionalFormatting>
  <conditionalFormatting sqref="W16:X16">
    <cfRule type="cellIs" dxfId="297" priority="38" operator="lessThan">
      <formula>70</formula>
    </cfRule>
  </conditionalFormatting>
  <conditionalFormatting sqref="X16:AC16">
    <cfRule type="cellIs" dxfId="296" priority="37" operator="lessThan">
      <formula>70</formula>
    </cfRule>
  </conditionalFormatting>
  <conditionalFormatting sqref="AF16:AK16">
    <cfRule type="cellIs" dxfId="295" priority="36" operator="lessThan">
      <formula>70</formula>
    </cfRule>
  </conditionalFormatting>
  <conditionalFormatting sqref="F23:H23 N23:P23 AD23:AF23">
    <cfRule type="cellIs" dxfId="294" priority="35" operator="lessThan">
      <formula>70</formula>
    </cfRule>
  </conditionalFormatting>
  <conditionalFormatting sqref="H23:M23">
    <cfRule type="cellIs" dxfId="293" priority="34" operator="lessThan">
      <formula>70</formula>
    </cfRule>
  </conditionalFormatting>
  <conditionalFormatting sqref="V23">
    <cfRule type="cellIs" dxfId="292" priority="33" operator="lessThan">
      <formula>70</formula>
    </cfRule>
  </conditionalFormatting>
  <conditionalFormatting sqref="P23:U23">
    <cfRule type="cellIs" dxfId="291" priority="32" operator="lessThan">
      <formula>70</formula>
    </cfRule>
  </conditionalFormatting>
  <conditionalFormatting sqref="W23:X23">
    <cfRule type="cellIs" dxfId="290" priority="31" operator="lessThan">
      <formula>70</formula>
    </cfRule>
  </conditionalFormatting>
  <conditionalFormatting sqref="X23:AC23">
    <cfRule type="cellIs" dxfId="289" priority="30" operator="lessThan">
      <formula>70</formula>
    </cfRule>
  </conditionalFormatting>
  <conditionalFormatting sqref="AF23:AK23">
    <cfRule type="cellIs" dxfId="288" priority="29" operator="lessThan">
      <formula>70</formula>
    </cfRule>
  </conditionalFormatting>
  <conditionalFormatting sqref="F24:H24 N24:P24 AD24:AF24">
    <cfRule type="cellIs" dxfId="287" priority="28" operator="lessThan">
      <formula>70</formula>
    </cfRule>
  </conditionalFormatting>
  <conditionalFormatting sqref="H24:M24">
    <cfRule type="cellIs" dxfId="286" priority="27" operator="lessThan">
      <formula>70</formula>
    </cfRule>
  </conditionalFormatting>
  <conditionalFormatting sqref="V24">
    <cfRule type="cellIs" dxfId="285" priority="26" operator="lessThan">
      <formula>70</formula>
    </cfRule>
  </conditionalFormatting>
  <conditionalFormatting sqref="P24:U24">
    <cfRule type="cellIs" dxfId="284" priority="25" operator="lessThan">
      <formula>70</formula>
    </cfRule>
  </conditionalFormatting>
  <conditionalFormatting sqref="W24:X24">
    <cfRule type="cellIs" dxfId="283" priority="24" operator="lessThan">
      <formula>70</formula>
    </cfRule>
  </conditionalFormatting>
  <conditionalFormatting sqref="X24:AC24">
    <cfRule type="cellIs" dxfId="282" priority="23" operator="lessThan">
      <formula>70</formula>
    </cfRule>
  </conditionalFormatting>
  <conditionalFormatting sqref="AF24:AK24">
    <cfRule type="cellIs" dxfId="281" priority="22" operator="lessThan">
      <formula>70</formula>
    </cfRule>
  </conditionalFormatting>
  <conditionalFormatting sqref="F27:H27 N27:P27 AD27:AF27">
    <cfRule type="cellIs" dxfId="280" priority="21" operator="lessThan">
      <formula>70</formula>
    </cfRule>
  </conditionalFormatting>
  <conditionalFormatting sqref="H27:M27">
    <cfRule type="cellIs" dxfId="279" priority="20" operator="lessThan">
      <formula>70</formula>
    </cfRule>
  </conditionalFormatting>
  <conditionalFormatting sqref="V27">
    <cfRule type="cellIs" dxfId="278" priority="19" operator="lessThan">
      <formula>70</formula>
    </cfRule>
  </conditionalFormatting>
  <conditionalFormatting sqref="P27:U27">
    <cfRule type="cellIs" dxfId="277" priority="18" operator="lessThan">
      <formula>70</formula>
    </cfRule>
  </conditionalFormatting>
  <conditionalFormatting sqref="W27:X27">
    <cfRule type="cellIs" dxfId="276" priority="17" operator="lessThan">
      <formula>70</formula>
    </cfRule>
  </conditionalFormatting>
  <conditionalFormatting sqref="X27:AC27">
    <cfRule type="cellIs" dxfId="275" priority="16" operator="lessThan">
      <formula>70</formula>
    </cfRule>
  </conditionalFormatting>
  <conditionalFormatting sqref="AF27:AK27">
    <cfRule type="cellIs" dxfId="274" priority="15" operator="lessThan">
      <formula>70</formula>
    </cfRule>
  </conditionalFormatting>
  <conditionalFormatting sqref="F31:H31 N31:P31 AD31:AF31">
    <cfRule type="cellIs" dxfId="273" priority="14" operator="lessThan">
      <formula>70</formula>
    </cfRule>
  </conditionalFormatting>
  <conditionalFormatting sqref="H31:M31">
    <cfRule type="cellIs" dxfId="272" priority="13" operator="lessThan">
      <formula>70</formula>
    </cfRule>
  </conditionalFormatting>
  <conditionalFormatting sqref="V31">
    <cfRule type="cellIs" dxfId="271" priority="12" operator="lessThan">
      <formula>70</formula>
    </cfRule>
  </conditionalFormatting>
  <conditionalFormatting sqref="P31:U31">
    <cfRule type="cellIs" dxfId="270" priority="11" operator="lessThan">
      <formula>70</formula>
    </cfRule>
  </conditionalFormatting>
  <conditionalFormatting sqref="W31:X31">
    <cfRule type="cellIs" dxfId="269" priority="10" operator="lessThan">
      <formula>70</formula>
    </cfRule>
  </conditionalFormatting>
  <conditionalFormatting sqref="X31:AC31">
    <cfRule type="cellIs" dxfId="268" priority="9" operator="lessThan">
      <formula>70</formula>
    </cfRule>
  </conditionalFormatting>
  <conditionalFormatting sqref="AF31:AK31">
    <cfRule type="cellIs" dxfId="267" priority="8" operator="lessThan">
      <formula>70</formula>
    </cfRule>
  </conditionalFormatting>
  <conditionalFormatting sqref="F36:H36 N36:P36 AD36:AF36">
    <cfRule type="cellIs" dxfId="266" priority="7" operator="lessThan">
      <formula>70</formula>
    </cfRule>
  </conditionalFormatting>
  <conditionalFormatting sqref="H36:M36">
    <cfRule type="cellIs" dxfId="265" priority="6" operator="lessThan">
      <formula>70</formula>
    </cfRule>
  </conditionalFormatting>
  <conditionalFormatting sqref="V36">
    <cfRule type="cellIs" dxfId="264" priority="5" operator="lessThan">
      <formula>70</formula>
    </cfRule>
  </conditionalFormatting>
  <conditionalFormatting sqref="P36:U36">
    <cfRule type="cellIs" dxfId="263" priority="4" operator="lessThan">
      <formula>70</formula>
    </cfRule>
  </conditionalFormatting>
  <conditionalFormatting sqref="W36:X36">
    <cfRule type="cellIs" dxfId="262" priority="3" operator="lessThan">
      <formula>70</formula>
    </cfRule>
  </conditionalFormatting>
  <conditionalFormatting sqref="X36:AC36">
    <cfRule type="cellIs" dxfId="261" priority="2" operator="lessThan">
      <formula>70</formula>
    </cfRule>
  </conditionalFormatting>
  <conditionalFormatting sqref="AF36:AK36">
    <cfRule type="cellIs" dxfId="260" priority="1" operator="lessThan">
      <formula>70</formula>
    </cfRule>
  </conditionalFormatting>
  <dataValidations count="1">
    <dataValidation type="custom" allowBlank="1" showInputMessage="1" showErrorMessage="1" sqref="F3:AK3 F12:AK13 F16:AK16 F23:AK24 F27:AK27 F31:AK31 F36:AK36" xr:uid="{3112A304-425A-2F4F-BE02-1CA33FFC9523}">
      <formula1>ISNUMBER(F3:F52)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1:BI47"/>
  <sheetViews>
    <sheetView zoomScaleNormal="100" workbookViewId="0">
      <selection activeCell="M18" sqref="M18"/>
    </sheetView>
  </sheetViews>
  <sheetFormatPr baseColWidth="10" defaultColWidth="11.5" defaultRowHeight="15" x14ac:dyDescent="0.2"/>
  <cols>
    <col min="1" max="1" width="4" style="12" customWidth="1"/>
    <col min="2" max="2" width="17.1640625" style="12" customWidth="1"/>
    <col min="3" max="3" width="21.33203125" style="13" customWidth="1"/>
    <col min="4" max="4" width="19.83203125" style="13" customWidth="1"/>
    <col min="5" max="36" width="4.6640625" style="13" customWidth="1"/>
    <col min="37" max="43" width="5.83203125" style="13" customWidth="1"/>
    <col min="44" max="44" width="7.6640625" style="13" customWidth="1"/>
    <col min="45" max="46" width="5.83203125" style="13" customWidth="1"/>
    <col min="47" max="47" width="6.5" style="13" customWidth="1"/>
    <col min="48" max="51" width="5.83203125" style="13" customWidth="1"/>
    <col min="52" max="53" width="5.33203125" style="13" customWidth="1"/>
    <col min="54" max="55" width="6.1640625" style="13" customWidth="1"/>
    <col min="56" max="56" width="11.5" style="13"/>
    <col min="57" max="58" width="6.33203125" style="13" customWidth="1"/>
    <col min="59" max="59" width="6.33203125" customWidth="1"/>
    <col min="60" max="61" width="6.33203125" style="13" customWidth="1"/>
    <col min="62" max="16384" width="11.5" style="13"/>
  </cols>
  <sheetData>
    <row r="1" spans="1:61" x14ac:dyDescent="0.2">
      <c r="A1" s="105" t="s">
        <v>5</v>
      </c>
      <c r="B1" s="117" t="s">
        <v>111</v>
      </c>
      <c r="C1" s="107" t="s">
        <v>4</v>
      </c>
      <c r="D1" s="109" t="s">
        <v>10</v>
      </c>
      <c r="E1" s="111" t="s">
        <v>18</v>
      </c>
      <c r="F1" s="112"/>
      <c r="G1" s="112"/>
      <c r="H1" s="112"/>
      <c r="I1" s="112"/>
      <c r="J1" s="112"/>
      <c r="K1" s="112"/>
      <c r="L1" s="113"/>
      <c r="M1" s="114" t="s">
        <v>19</v>
      </c>
      <c r="N1" s="115"/>
      <c r="O1" s="115"/>
      <c r="P1" s="115"/>
      <c r="Q1" s="115"/>
      <c r="R1" s="115"/>
      <c r="S1" s="115"/>
      <c r="T1" s="116"/>
      <c r="U1" s="121" t="s">
        <v>20</v>
      </c>
      <c r="V1" s="122"/>
      <c r="W1" s="122"/>
      <c r="X1" s="122"/>
      <c r="Y1" s="122"/>
      <c r="Z1" s="122"/>
      <c r="AA1" s="122"/>
      <c r="AB1" s="123"/>
      <c r="AC1" s="124" t="s">
        <v>21</v>
      </c>
      <c r="AD1" s="125"/>
      <c r="AE1" s="125"/>
      <c r="AF1" s="125"/>
      <c r="AG1" s="125"/>
      <c r="AH1" s="125"/>
      <c r="AI1" s="125"/>
      <c r="AJ1" s="126"/>
      <c r="AK1" s="127" t="s">
        <v>22</v>
      </c>
      <c r="AL1" s="129" t="s">
        <v>23</v>
      </c>
      <c r="AM1" s="131" t="s">
        <v>24</v>
      </c>
      <c r="AN1" s="119" t="s">
        <v>25</v>
      </c>
      <c r="AO1" s="133"/>
      <c r="AP1" s="135"/>
      <c r="AR1" s="99" t="s">
        <v>11</v>
      </c>
      <c r="AS1" s="101" t="s">
        <v>12</v>
      </c>
      <c r="AT1" s="95" t="s">
        <v>13</v>
      </c>
      <c r="AU1" s="97" t="s">
        <v>26</v>
      </c>
      <c r="AV1" s="99" t="s">
        <v>14</v>
      </c>
      <c r="AW1" s="101" t="s">
        <v>29</v>
      </c>
      <c r="AX1" s="95" t="s">
        <v>30</v>
      </c>
      <c r="AY1" s="103" t="s">
        <v>31</v>
      </c>
      <c r="AZ1" s="90" t="s">
        <v>27</v>
      </c>
      <c r="BA1" s="92" t="s">
        <v>28</v>
      </c>
      <c r="BB1" s="91" t="s">
        <v>16</v>
      </c>
      <c r="BC1" s="94" t="s">
        <v>17</v>
      </c>
    </row>
    <row r="2" spans="1:61" ht="16" thickBot="1" x14ac:dyDescent="0.25">
      <c r="A2" s="106"/>
      <c r="B2" s="118"/>
      <c r="C2" s="108"/>
      <c r="D2" s="110"/>
      <c r="E2" s="14" t="s">
        <v>0</v>
      </c>
      <c r="F2" s="15" t="s">
        <v>6</v>
      </c>
      <c r="G2" s="15" t="s">
        <v>1</v>
      </c>
      <c r="H2" s="15" t="s">
        <v>7</v>
      </c>
      <c r="I2" s="15" t="s">
        <v>2</v>
      </c>
      <c r="J2" s="15" t="s">
        <v>8</v>
      </c>
      <c r="K2" s="15" t="s">
        <v>3</v>
      </c>
      <c r="L2" s="16" t="s">
        <v>9</v>
      </c>
      <c r="M2" s="7" t="s">
        <v>0</v>
      </c>
      <c r="N2" s="7" t="s">
        <v>6</v>
      </c>
      <c r="O2" s="7" t="s">
        <v>1</v>
      </c>
      <c r="P2" s="7" t="s">
        <v>7</v>
      </c>
      <c r="Q2" s="7" t="s">
        <v>2</v>
      </c>
      <c r="R2" s="7" t="s">
        <v>8</v>
      </c>
      <c r="S2" s="7" t="s">
        <v>3</v>
      </c>
      <c r="T2" s="8" t="s">
        <v>9</v>
      </c>
      <c r="U2" s="9" t="s">
        <v>0</v>
      </c>
      <c r="V2" s="10" t="s">
        <v>6</v>
      </c>
      <c r="W2" s="10" t="s">
        <v>1</v>
      </c>
      <c r="X2" s="10" t="s">
        <v>8</v>
      </c>
      <c r="Y2" s="10" t="s">
        <v>2</v>
      </c>
      <c r="Z2" s="10" t="s">
        <v>9</v>
      </c>
      <c r="AA2" s="10" t="s">
        <v>3</v>
      </c>
      <c r="AB2" s="11" t="s">
        <v>9</v>
      </c>
      <c r="AC2" s="6" t="s">
        <v>0</v>
      </c>
      <c r="AD2" s="17" t="s">
        <v>6</v>
      </c>
      <c r="AE2" s="17" t="s">
        <v>1</v>
      </c>
      <c r="AF2" s="17" t="s">
        <v>8</v>
      </c>
      <c r="AG2" s="17" t="s">
        <v>2</v>
      </c>
      <c r="AH2" s="17" t="s">
        <v>9</v>
      </c>
      <c r="AI2" s="17" t="s">
        <v>3</v>
      </c>
      <c r="AJ2" s="18" t="s">
        <v>9</v>
      </c>
      <c r="AK2" s="128"/>
      <c r="AL2" s="130"/>
      <c r="AM2" s="132"/>
      <c r="AN2" s="120"/>
      <c r="AO2" s="134"/>
      <c r="AP2" s="136"/>
      <c r="AR2" s="100"/>
      <c r="AS2" s="102"/>
      <c r="AT2" s="96"/>
      <c r="AU2" s="98"/>
      <c r="AV2" s="100"/>
      <c r="AW2" s="102"/>
      <c r="AX2" s="96"/>
      <c r="AY2" s="104"/>
      <c r="AZ2" s="91"/>
      <c r="BA2" s="93"/>
      <c r="BB2" s="91"/>
      <c r="BC2" s="94"/>
      <c r="BE2" s="20" t="s">
        <v>0</v>
      </c>
      <c r="BF2" s="20" t="s">
        <v>1</v>
      </c>
      <c r="BG2" s="89" t="s">
        <v>2</v>
      </c>
      <c r="BH2" s="20" t="s">
        <v>3</v>
      </c>
      <c r="BI2" s="20" t="s">
        <v>15</v>
      </c>
    </row>
    <row r="3" spans="1:61" x14ac:dyDescent="0.2">
      <c r="A3" s="26">
        <v>1</v>
      </c>
      <c r="B3" s="88" t="s">
        <v>112</v>
      </c>
      <c r="C3" s="69" t="s">
        <v>33</v>
      </c>
      <c r="D3" s="69" t="s">
        <v>34</v>
      </c>
      <c r="E3" s="27"/>
      <c r="F3" s="19">
        <v>60</v>
      </c>
      <c r="G3" s="19">
        <v>60</v>
      </c>
      <c r="H3" s="20"/>
      <c r="I3" s="20">
        <v>65</v>
      </c>
      <c r="J3" s="20"/>
      <c r="K3" s="20">
        <v>63</v>
      </c>
      <c r="L3" s="20"/>
      <c r="M3" s="20">
        <v>68</v>
      </c>
      <c r="N3" s="19">
        <v>60</v>
      </c>
      <c r="O3" s="19">
        <v>60</v>
      </c>
      <c r="P3" s="20"/>
      <c r="Q3" s="20">
        <v>65</v>
      </c>
      <c r="R3" s="20"/>
      <c r="S3" s="20">
        <v>63</v>
      </c>
      <c r="T3" s="20"/>
      <c r="U3" s="20">
        <v>68</v>
      </c>
      <c r="V3" s="19">
        <v>60</v>
      </c>
      <c r="W3" s="19">
        <v>60</v>
      </c>
      <c r="X3" s="20"/>
      <c r="Y3" s="20">
        <v>65</v>
      </c>
      <c r="Z3" s="20"/>
      <c r="AA3" s="20">
        <v>63</v>
      </c>
      <c r="AB3" s="20"/>
      <c r="AC3" s="20">
        <v>68</v>
      </c>
      <c r="AD3" s="19">
        <v>60</v>
      </c>
      <c r="AE3" s="19">
        <v>60</v>
      </c>
      <c r="AF3" s="20"/>
      <c r="AG3" s="20">
        <v>65</v>
      </c>
      <c r="AH3" s="20"/>
      <c r="AI3" s="20">
        <v>63</v>
      </c>
      <c r="AJ3" s="20"/>
      <c r="AK3" s="20">
        <v>68</v>
      </c>
      <c r="AL3" s="40">
        <f>SUMIF(M3:M3, "&gt;=70") / 4 +SUMIF(O3:O3, "&gt;=70") / 4 +SUMIF(Q3:Q3, "&gt;=70") / 4 +SUMIF(S3:S3, "&gt;=70") / 4 + SUMIF(N3:N3, "&gt;1") / 4 + SUMIF(P3:P3, "&gt;1") / 4 + SUMIF(R3:R3, "&gt;1") / 4 + SUMIF(T3:T3, "&gt;1") / 4</f>
        <v>15</v>
      </c>
      <c r="AM3" s="41">
        <f>SUMIF(U3:U3, "&gt;=70") / 4 +SUMIF(W3:W3, "&gt;=70") / 4 +SUMIF(Y3:Y3, "&gt;=70") / 4 +SUMIF(AA3:AA3, "&gt;=70") / 4 + SUMIF(V3:V3, "&gt;1") / 4 + SUMIF(X3:X3, "&gt;1") / 4 + SUMIF(Z3:Z3, "&gt;1") / 4 + SUMIF(AB3:AB3, "&gt;1") / 4</f>
        <v>15</v>
      </c>
      <c r="AN3" s="42">
        <f>SUMIF(AC3:AC3, "&gt;=70") / 4 +SUMIF(AE3:AE3, "&gt;=70") / 4 +SUMIF(AG3:AG3, "&gt;=70") / 4 +SUMIF(AI3:AI3, "&gt;=70") / 4 + SUMIF(AD3:AD3, "&gt;1") / 4 + SUMIF(AF3:AF3, "&gt;1") / 4 + SUMIF(AH3:AH3, "&gt;1") / 4 + SUMIF(AJ3:AJ3, "&gt;1") / 4</f>
        <v>15</v>
      </c>
      <c r="AO3" s="43">
        <f>AVERAGE(AK3:AN3)</f>
        <v>28.25</v>
      </c>
      <c r="AP3" s="34"/>
      <c r="AR3" s="54">
        <f>IF(AO3&lt;70, AO3*0.5, "")</f>
        <v>14.125</v>
      </c>
      <c r="AS3" s="35"/>
      <c r="AT3" s="56">
        <f>AS3*50%</f>
        <v>0</v>
      </c>
      <c r="AU3" s="57" t="str">
        <f>IF(AS3&lt;&gt;"", IF(AR3="","",AR3+AT3), "")</f>
        <v/>
      </c>
      <c r="AV3" s="54" t="str">
        <f>IF(AU3 &lt; 70, AR3*30%, "")</f>
        <v/>
      </c>
      <c r="AW3" s="36"/>
      <c r="AX3" s="56">
        <f>AW3*70%</f>
        <v>0</v>
      </c>
      <c r="AY3" s="60" t="str">
        <f>IF(AW3&lt;&gt;"", IF(AV3="", "", AV3+AX3), "")</f>
        <v/>
      </c>
      <c r="AZ3" s="54" t="str">
        <f>IF(AND(AU3&lt;70, AY3&lt;70), AO3, "")</f>
        <v/>
      </c>
      <c r="BA3" s="21"/>
      <c r="BB3" s="62" t="str">
        <f>IF(AW3&lt;&gt;"", IF(AY3&gt;=70, AY3, IF(AZ3+BA3&gt;=70, AZ3+BA3, "")),
   IF(AS3&lt;&gt;"", IF(AU3&gt;=70, AU3, ""),
   IF(AO3&gt;=70, AO3, "")))</f>
        <v/>
      </c>
      <c r="BC3" s="63">
        <f>IF(AW3&lt;&gt;"", IF(AY3&lt;70, IF(AZ3+BA3&lt;70, AZ3+BA3, ""), ""), IF(AS3&lt;&gt;"", IF(AU3&lt;70, AU3, ""), IF(AO3&lt;70, AO3, "")))</f>
        <v>28.25</v>
      </c>
      <c r="BE3" s="20">
        <f t="shared" ref="BE3:BE4" si="0">SUM(E3+M3+U3+AC3)/4</f>
        <v>51</v>
      </c>
      <c r="BF3" s="20">
        <f t="shared" ref="BF3:BF4" si="1">SUM(G3+O3+W3+AE3)/4</f>
        <v>60</v>
      </c>
      <c r="BG3" s="89">
        <f t="shared" ref="BG3:BG4" si="2">SUM(I3+Q3+Y3+AG3)/4</f>
        <v>65</v>
      </c>
      <c r="BH3" s="20">
        <f t="shared" ref="BH3:BH4" si="3">SUM(K3+S3+AA3+AI3)/4</f>
        <v>63</v>
      </c>
      <c r="BI3" s="20">
        <f>AVERAGE(BE3:BH3)</f>
        <v>59.75</v>
      </c>
    </row>
    <row r="4" spans="1:61" x14ac:dyDescent="0.2">
      <c r="A4" s="29">
        <v>2</v>
      </c>
      <c r="B4" s="88" t="s">
        <v>113</v>
      </c>
      <c r="C4" s="70" t="s">
        <v>35</v>
      </c>
      <c r="D4" s="70" t="s">
        <v>34</v>
      </c>
      <c r="E4" s="19">
        <v>98</v>
      </c>
      <c r="F4" s="20"/>
      <c r="G4" s="20">
        <v>99</v>
      </c>
      <c r="H4" s="20"/>
      <c r="I4" s="20">
        <v>80</v>
      </c>
      <c r="J4" s="20"/>
      <c r="K4" s="20">
        <v>80</v>
      </c>
      <c r="L4" s="21"/>
      <c r="M4" s="19">
        <v>99</v>
      </c>
      <c r="N4" s="20"/>
      <c r="O4" s="20">
        <v>96</v>
      </c>
      <c r="P4" s="20"/>
      <c r="Q4" s="20">
        <v>80</v>
      </c>
      <c r="R4" s="20"/>
      <c r="S4" s="20">
        <v>80</v>
      </c>
      <c r="T4" s="21"/>
      <c r="U4" s="19">
        <v>98</v>
      </c>
      <c r="V4" s="20"/>
      <c r="W4" s="20">
        <v>97</v>
      </c>
      <c r="X4" s="20"/>
      <c r="Y4" s="20">
        <v>80</v>
      </c>
      <c r="Z4" s="20"/>
      <c r="AA4" s="20">
        <v>80</v>
      </c>
      <c r="AB4" s="21"/>
      <c r="AC4" s="1">
        <v>90</v>
      </c>
      <c r="AD4" s="20"/>
      <c r="AE4" s="20">
        <v>98</v>
      </c>
      <c r="AF4" s="20"/>
      <c r="AG4" s="20">
        <v>80</v>
      </c>
      <c r="AH4" s="20"/>
      <c r="AI4" s="20">
        <v>80</v>
      </c>
      <c r="AJ4" s="3"/>
      <c r="AK4" s="44">
        <f t="shared" ref="AK4:AK47" si="4">SUMIF(E4:E4, "&gt;=70") / 4 +SUMIF(G4:G4, "&gt;=70") / 4 +SUMIF(I4:I4, "&gt;=70") / 4 +SUMIF(K4:K4, "&gt;=70") / 4 + SUMIF(F4:F4, "&gt;1") / 4 + SUMIF(H4:H4, "&gt;1") / 4 + SUMIF(J4:J4, "&gt;1") / 4 + SUMIF(L4:L4, "&gt;1") / 4</f>
        <v>89.25</v>
      </c>
      <c r="AL4" s="45">
        <f t="shared" ref="AL4:AL47" si="5">SUMIF(M4:M4, "&gt;=70") / 4 +SUMIF(O4:O4, "&gt;=70") / 4 +SUMIF(Q4:Q4, "&gt;=70") / 4 +SUMIF(S4:S4, "&gt;=70") / 4 + SUMIF(N4:N4, "&gt;1") / 4 + SUMIF(P4:P4, "&gt;1") / 4 + SUMIF(R4:R4, "&gt;1") / 4 + SUMIF(T4:T4, "&gt;1") / 4</f>
        <v>88.75</v>
      </c>
      <c r="AM4" s="46">
        <f t="shared" ref="AM4:AM47" si="6">SUMIF(U4:U4, "&gt;=70") / 4 +SUMIF(W4:W4, "&gt;=70") / 4 +SUMIF(Y4:Y4, "&gt;=70") / 4 +SUMIF(AA4:AA4, "&gt;=70") / 4 + SUMIF(V4:V4, "&gt;1") / 4 + SUMIF(X4:X4, "&gt;1") / 4 + SUMIF(Z4:Z4, "&gt;1") / 4 + SUMIF(AB4:AB4, "&gt;1") / 4</f>
        <v>88.75</v>
      </c>
      <c r="AN4" s="47">
        <f t="shared" ref="AN4:AN47" si="7">SUMIF(AC4:AC4, "&gt;=65") / 4 +SUMIF(AE4:AE4, "&gt;=65") / 4 +SUMIF(AG4:AG4, "&gt;=65") / 4 +SUMIF(AI4:AI4, "&gt;=65") / 4 + SUMIF(AD4:AD4, "&gt;1") / 4 + SUMIF(AF4:AF4, "&gt;1") / 4 + SUMIF(AH4:AH4, "&gt;1") / 4 + SUMIF(AJ4:AJ4, "&gt;1") / 4</f>
        <v>87</v>
      </c>
      <c r="AO4" s="48">
        <f t="shared" ref="AO4:AO47" si="8">AVERAGE(AK4:AN4)</f>
        <v>88.4375</v>
      </c>
      <c r="AP4" s="37"/>
      <c r="AR4" s="54" t="str">
        <f t="shared" ref="AR4:AR47" si="9">IF(AO4&lt;70, AO4*0.5, "")</f>
        <v/>
      </c>
      <c r="AS4" s="35"/>
      <c r="AT4" s="56">
        <f t="shared" ref="AT4:AT47" si="10">AS4*50%</f>
        <v>0</v>
      </c>
      <c r="AU4" s="57" t="str">
        <f t="shared" ref="AU4:AU47" si="11">IF(AS4&lt;&gt;"", IF(AR4="","",AR4+AT4), "")</f>
        <v/>
      </c>
      <c r="AV4" s="54" t="str">
        <f t="shared" ref="AV4:AV47" si="12">IF(AU4 &lt; 70, AR4*30%, "")</f>
        <v/>
      </c>
      <c r="AW4" s="36"/>
      <c r="AX4" s="56">
        <f t="shared" ref="AX4:AX47" si="13">AW4*70%</f>
        <v>0</v>
      </c>
      <c r="AY4" s="60" t="str">
        <f t="shared" ref="AY4:AY47" si="14">IF(AW4&lt;&gt;"", IF(AV4="", "", AV4+AX4), "")</f>
        <v/>
      </c>
      <c r="AZ4" s="54" t="str">
        <f t="shared" ref="AZ4:AZ47" si="15">IF(AND(AU4&lt;70, AY4&lt;70), AO4, "")</f>
        <v/>
      </c>
      <c r="BA4" s="21"/>
      <c r="BB4" s="62">
        <f t="shared" ref="BB4:BB47" si="16">IF(AW4&lt;&gt;"", IF(AY4&gt;=70, AY4, IF(AZ4+BA4&gt;=70, AZ4+BA4, "")),
   IF(AS4&lt;&gt;"", IF(AU4&gt;=70, AU4, ""),
   IF(AO4&gt;=70, AO4, "")))</f>
        <v>88.4375</v>
      </c>
      <c r="BC4" s="64" t="str">
        <f t="shared" ref="BC4:BC47" si="17">IF(AW4&lt;&gt;"", IF(AY4&lt;70, IF(AZ4+BA4&lt;70, AZ4+BA4, ""), ""), IF(AS4&lt;&gt;"", IF(AU4&lt;70, AU4, ""), IF(AO4&lt;70, AO4, "")))</f>
        <v/>
      </c>
      <c r="BE4" s="20">
        <f t="shared" si="0"/>
        <v>96.25</v>
      </c>
      <c r="BF4" s="20">
        <f t="shared" si="1"/>
        <v>97.5</v>
      </c>
      <c r="BG4" s="89">
        <f t="shared" si="2"/>
        <v>80</v>
      </c>
      <c r="BH4" s="20">
        <f t="shared" si="3"/>
        <v>80</v>
      </c>
      <c r="BI4" s="20">
        <f>AVERAGE(BE4:BH4)</f>
        <v>88.4375</v>
      </c>
    </row>
    <row r="5" spans="1:61" x14ac:dyDescent="0.2">
      <c r="A5" s="29">
        <v>3</v>
      </c>
      <c r="B5" s="88" t="s">
        <v>114</v>
      </c>
      <c r="C5" s="69" t="s">
        <v>36</v>
      </c>
      <c r="D5" s="69" t="s">
        <v>37</v>
      </c>
      <c r="E5" s="19">
        <v>90</v>
      </c>
      <c r="F5" s="20"/>
      <c r="G5" s="20">
        <v>88</v>
      </c>
      <c r="H5" s="20"/>
      <c r="I5" s="20">
        <v>91</v>
      </c>
      <c r="J5" s="20"/>
      <c r="K5" s="20">
        <v>92</v>
      </c>
      <c r="L5" s="21"/>
      <c r="M5" s="19">
        <v>90</v>
      </c>
      <c r="N5" s="20"/>
      <c r="O5" s="20">
        <v>90</v>
      </c>
      <c r="P5" s="20"/>
      <c r="Q5" s="20">
        <v>92</v>
      </c>
      <c r="R5" s="20"/>
      <c r="S5" s="20">
        <v>90</v>
      </c>
      <c r="T5" s="21"/>
      <c r="U5" s="19">
        <v>88</v>
      </c>
      <c r="V5" s="20"/>
      <c r="W5" s="20">
        <v>88</v>
      </c>
      <c r="X5" s="20"/>
      <c r="Y5" s="20">
        <v>83</v>
      </c>
      <c r="Z5" s="20"/>
      <c r="AA5" s="20">
        <v>84</v>
      </c>
      <c r="AB5" s="21"/>
      <c r="AC5" s="1">
        <v>90</v>
      </c>
      <c r="AD5" s="20"/>
      <c r="AE5" s="20">
        <v>86</v>
      </c>
      <c r="AF5" s="20"/>
      <c r="AG5" s="20">
        <v>85</v>
      </c>
      <c r="AH5" s="20"/>
      <c r="AI5" s="20">
        <v>86</v>
      </c>
      <c r="AJ5" s="3"/>
      <c r="AK5" s="44">
        <f t="shared" si="4"/>
        <v>90.25</v>
      </c>
      <c r="AL5" s="45">
        <f t="shared" si="5"/>
        <v>90.5</v>
      </c>
      <c r="AM5" s="46">
        <f t="shared" si="6"/>
        <v>85.75</v>
      </c>
      <c r="AN5" s="47">
        <f t="shared" si="7"/>
        <v>86.75</v>
      </c>
      <c r="AO5" s="48">
        <f t="shared" si="8"/>
        <v>88.3125</v>
      </c>
      <c r="AP5" s="37"/>
      <c r="AR5" s="54" t="str">
        <f t="shared" si="9"/>
        <v/>
      </c>
      <c r="AS5" s="35"/>
      <c r="AT5" s="56">
        <f t="shared" si="10"/>
        <v>0</v>
      </c>
      <c r="AU5" s="57" t="str">
        <f t="shared" si="11"/>
        <v/>
      </c>
      <c r="AV5" s="54" t="str">
        <f t="shared" si="12"/>
        <v/>
      </c>
      <c r="AW5" s="36"/>
      <c r="AX5" s="56">
        <f t="shared" si="13"/>
        <v>0</v>
      </c>
      <c r="AY5" s="60" t="str">
        <f t="shared" si="14"/>
        <v/>
      </c>
      <c r="AZ5" s="54" t="str">
        <f t="shared" si="15"/>
        <v/>
      </c>
      <c r="BA5" s="21"/>
      <c r="BB5" s="62">
        <f t="shared" si="16"/>
        <v>88.3125</v>
      </c>
      <c r="BC5" s="64" t="str">
        <f t="shared" si="17"/>
        <v/>
      </c>
      <c r="BE5" s="20">
        <f>SUM(E5+M5+U5+AC5)/4</f>
        <v>89.5</v>
      </c>
      <c r="BF5" s="20">
        <f>SUM(G5+O5+W5+AE5)/4</f>
        <v>88</v>
      </c>
      <c r="BG5" s="89">
        <f>SUM(I5+Q5+Y5+AG5)/4</f>
        <v>87.75</v>
      </c>
      <c r="BH5" s="20">
        <f>SUM(K5+S5+AA5+AI5)/4</f>
        <v>88</v>
      </c>
      <c r="BI5" s="20">
        <f>AVERAGE(BE5:BH5)</f>
        <v>88.3125</v>
      </c>
    </row>
    <row r="6" spans="1:61" x14ac:dyDescent="0.2">
      <c r="A6" s="29">
        <v>4</v>
      </c>
      <c r="B6" s="88" t="s">
        <v>115</v>
      </c>
      <c r="C6" s="70" t="s">
        <v>38</v>
      </c>
      <c r="D6" s="70" t="s">
        <v>39</v>
      </c>
      <c r="E6" s="19">
        <v>90</v>
      </c>
      <c r="F6" s="20"/>
      <c r="G6" s="20">
        <v>90</v>
      </c>
      <c r="H6" s="20"/>
      <c r="I6" s="20">
        <v>90</v>
      </c>
      <c r="J6" s="20"/>
      <c r="K6" s="20">
        <v>90</v>
      </c>
      <c r="L6" s="21"/>
      <c r="M6" s="19">
        <v>92</v>
      </c>
      <c r="N6" s="20"/>
      <c r="O6" s="20">
        <v>93</v>
      </c>
      <c r="P6" s="20"/>
      <c r="Q6" s="20">
        <v>88</v>
      </c>
      <c r="R6" s="20"/>
      <c r="S6" s="20">
        <v>87</v>
      </c>
      <c r="T6" s="21"/>
      <c r="U6" s="19">
        <v>90</v>
      </c>
      <c r="V6" s="20"/>
      <c r="W6" s="20">
        <v>94</v>
      </c>
      <c r="X6" s="20"/>
      <c r="Y6" s="20">
        <v>90</v>
      </c>
      <c r="Z6" s="20"/>
      <c r="AA6" s="20">
        <v>88</v>
      </c>
      <c r="AB6" s="21"/>
      <c r="AC6" s="1">
        <v>92</v>
      </c>
      <c r="AD6" s="20"/>
      <c r="AE6" s="20">
        <v>95</v>
      </c>
      <c r="AF6" s="20"/>
      <c r="AG6" s="20">
        <v>88</v>
      </c>
      <c r="AH6" s="20"/>
      <c r="AI6" s="20">
        <v>90</v>
      </c>
      <c r="AJ6" s="3"/>
      <c r="AK6" s="44">
        <f t="shared" si="4"/>
        <v>90</v>
      </c>
      <c r="AL6" s="45">
        <f t="shared" si="5"/>
        <v>90</v>
      </c>
      <c r="AM6" s="46">
        <f t="shared" si="6"/>
        <v>90.5</v>
      </c>
      <c r="AN6" s="47">
        <f t="shared" si="7"/>
        <v>91.25</v>
      </c>
      <c r="AO6" s="48">
        <f t="shared" si="8"/>
        <v>90.4375</v>
      </c>
      <c r="AP6" s="37"/>
      <c r="AR6" s="54" t="str">
        <f t="shared" si="9"/>
        <v/>
      </c>
      <c r="AS6" s="35"/>
      <c r="AT6" s="56">
        <f t="shared" si="10"/>
        <v>0</v>
      </c>
      <c r="AU6" s="57" t="str">
        <f t="shared" si="11"/>
        <v/>
      </c>
      <c r="AV6" s="54" t="str">
        <f t="shared" si="12"/>
        <v/>
      </c>
      <c r="AW6" s="35"/>
      <c r="AX6" s="56">
        <f t="shared" si="13"/>
        <v>0</v>
      </c>
      <c r="AY6" s="60" t="str">
        <f t="shared" si="14"/>
        <v/>
      </c>
      <c r="AZ6" s="54" t="str">
        <f t="shared" si="15"/>
        <v/>
      </c>
      <c r="BA6" s="21"/>
      <c r="BB6" s="62">
        <f t="shared" si="16"/>
        <v>90.4375</v>
      </c>
      <c r="BC6" s="64" t="str">
        <f t="shared" si="17"/>
        <v/>
      </c>
      <c r="BE6" s="20">
        <f t="shared" ref="BE6:BE47" si="18">SUM(E6+M6+U6+AC6)/4</f>
        <v>91</v>
      </c>
      <c r="BF6" s="20">
        <f t="shared" ref="BF6:BF47" si="19">SUM(G6+O6+W6+AE6)/4</f>
        <v>93</v>
      </c>
      <c r="BG6" s="89">
        <f t="shared" ref="BG6:BG47" si="20">SUM(I6+Q6+Y6+AG6)/4</f>
        <v>89</v>
      </c>
      <c r="BH6" s="20">
        <f t="shared" ref="BH6:BH47" si="21">SUM(K6+S6+AA6+AI6)/4</f>
        <v>88.75</v>
      </c>
      <c r="BI6" s="20">
        <f t="shared" ref="BI6:BI47" si="22">AVERAGE(BE6:BH6)</f>
        <v>90.4375</v>
      </c>
    </row>
    <row r="7" spans="1:61" x14ac:dyDescent="0.2">
      <c r="A7" s="29">
        <v>5</v>
      </c>
      <c r="B7" s="88" t="s">
        <v>116</v>
      </c>
      <c r="C7" s="71" t="s">
        <v>32</v>
      </c>
      <c r="D7" s="72" t="s">
        <v>40</v>
      </c>
      <c r="E7" s="19">
        <v>90</v>
      </c>
      <c r="F7" s="20"/>
      <c r="G7" s="20">
        <v>95</v>
      </c>
      <c r="H7" s="20"/>
      <c r="I7" s="20">
        <v>90</v>
      </c>
      <c r="J7" s="20"/>
      <c r="K7" s="20">
        <v>95</v>
      </c>
      <c r="L7" s="21"/>
      <c r="M7" s="19">
        <v>92</v>
      </c>
      <c r="N7" s="20"/>
      <c r="O7" s="20">
        <v>90</v>
      </c>
      <c r="P7" s="20"/>
      <c r="Q7" s="20">
        <v>92</v>
      </c>
      <c r="R7" s="20"/>
      <c r="S7" s="20">
        <v>97</v>
      </c>
      <c r="T7" s="21"/>
      <c r="U7" s="19">
        <v>93</v>
      </c>
      <c r="V7" s="20"/>
      <c r="W7" s="20">
        <v>95</v>
      </c>
      <c r="X7" s="20"/>
      <c r="Y7" s="20">
        <v>90</v>
      </c>
      <c r="Z7" s="20"/>
      <c r="AA7" s="20">
        <v>98</v>
      </c>
      <c r="AB7" s="21"/>
      <c r="AC7" s="1">
        <v>92</v>
      </c>
      <c r="AD7" s="20"/>
      <c r="AE7" s="20">
        <v>90</v>
      </c>
      <c r="AF7" s="20"/>
      <c r="AG7" s="20">
        <v>92</v>
      </c>
      <c r="AH7" s="20"/>
      <c r="AI7" s="20">
        <v>97</v>
      </c>
      <c r="AJ7" s="3"/>
      <c r="AK7" s="44">
        <f t="shared" si="4"/>
        <v>92.5</v>
      </c>
      <c r="AL7" s="45">
        <f t="shared" si="5"/>
        <v>92.75</v>
      </c>
      <c r="AM7" s="46">
        <f t="shared" si="6"/>
        <v>94</v>
      </c>
      <c r="AN7" s="47">
        <f t="shared" si="7"/>
        <v>92.75</v>
      </c>
      <c r="AO7" s="48">
        <f t="shared" si="8"/>
        <v>93</v>
      </c>
      <c r="AP7" s="37"/>
      <c r="AR7" s="54" t="str">
        <f t="shared" si="9"/>
        <v/>
      </c>
      <c r="AS7" s="35"/>
      <c r="AT7" s="56">
        <f t="shared" si="10"/>
        <v>0</v>
      </c>
      <c r="AU7" s="57" t="str">
        <f t="shared" si="11"/>
        <v/>
      </c>
      <c r="AV7" s="54" t="str">
        <f t="shared" si="12"/>
        <v/>
      </c>
      <c r="AW7" s="35"/>
      <c r="AX7" s="56">
        <f t="shared" si="13"/>
        <v>0</v>
      </c>
      <c r="AY7" s="60" t="str">
        <f t="shared" si="14"/>
        <v/>
      </c>
      <c r="AZ7" s="54" t="str">
        <f t="shared" si="15"/>
        <v/>
      </c>
      <c r="BA7" s="21"/>
      <c r="BB7" s="62">
        <f t="shared" si="16"/>
        <v>93</v>
      </c>
      <c r="BC7" s="64" t="str">
        <f t="shared" si="17"/>
        <v/>
      </c>
      <c r="BE7" s="20">
        <f t="shared" si="18"/>
        <v>91.75</v>
      </c>
      <c r="BF7" s="20">
        <f t="shared" si="19"/>
        <v>92.5</v>
      </c>
      <c r="BG7" s="89">
        <f t="shared" si="20"/>
        <v>91</v>
      </c>
      <c r="BH7" s="20">
        <f t="shared" si="21"/>
        <v>96.75</v>
      </c>
      <c r="BI7" s="20">
        <f t="shared" si="22"/>
        <v>93</v>
      </c>
    </row>
    <row r="8" spans="1:61" x14ac:dyDescent="0.2">
      <c r="A8" s="29">
        <v>6</v>
      </c>
      <c r="B8" s="88" t="s">
        <v>117</v>
      </c>
      <c r="C8" s="70" t="s">
        <v>41</v>
      </c>
      <c r="D8" s="70" t="s">
        <v>42</v>
      </c>
      <c r="E8" s="19">
        <v>70</v>
      </c>
      <c r="F8" s="20"/>
      <c r="G8" s="20">
        <v>71</v>
      </c>
      <c r="H8" s="20"/>
      <c r="I8" s="20">
        <v>70</v>
      </c>
      <c r="J8" s="20"/>
      <c r="K8" s="20">
        <v>72</v>
      </c>
      <c r="L8" s="21"/>
      <c r="M8" s="19">
        <v>74</v>
      </c>
      <c r="N8" s="20"/>
      <c r="O8" s="20">
        <v>72</v>
      </c>
      <c r="P8" s="20"/>
      <c r="Q8" s="20">
        <v>71</v>
      </c>
      <c r="R8" s="20"/>
      <c r="S8" s="20">
        <v>70</v>
      </c>
      <c r="T8" s="21"/>
      <c r="U8" s="19">
        <v>70</v>
      </c>
      <c r="V8" s="20"/>
      <c r="W8" s="20">
        <v>72</v>
      </c>
      <c r="X8" s="20"/>
      <c r="Y8" s="20">
        <v>70</v>
      </c>
      <c r="Z8" s="20"/>
      <c r="AA8" s="20">
        <v>72</v>
      </c>
      <c r="AB8" s="21"/>
      <c r="AC8" s="1">
        <v>73</v>
      </c>
      <c r="AD8" s="20"/>
      <c r="AE8" s="20">
        <v>70</v>
      </c>
      <c r="AF8" s="20"/>
      <c r="AG8" s="20">
        <v>71</v>
      </c>
      <c r="AH8" s="20"/>
      <c r="AI8" s="20">
        <v>70</v>
      </c>
      <c r="AJ8" s="3"/>
      <c r="AK8" s="44">
        <f t="shared" si="4"/>
        <v>70.75</v>
      </c>
      <c r="AL8" s="45">
        <f t="shared" si="5"/>
        <v>71.75</v>
      </c>
      <c r="AM8" s="46">
        <f t="shared" si="6"/>
        <v>71</v>
      </c>
      <c r="AN8" s="47">
        <f t="shared" si="7"/>
        <v>71</v>
      </c>
      <c r="AO8" s="48">
        <f t="shared" si="8"/>
        <v>71.125</v>
      </c>
      <c r="AP8" s="37"/>
      <c r="AR8" s="54" t="str">
        <f t="shared" si="9"/>
        <v/>
      </c>
      <c r="AS8" s="35"/>
      <c r="AT8" s="56">
        <f t="shared" si="10"/>
        <v>0</v>
      </c>
      <c r="AU8" s="57" t="str">
        <f t="shared" si="11"/>
        <v/>
      </c>
      <c r="AV8" s="54" t="str">
        <f t="shared" si="12"/>
        <v/>
      </c>
      <c r="AW8" s="35"/>
      <c r="AX8" s="56">
        <f t="shared" si="13"/>
        <v>0</v>
      </c>
      <c r="AY8" s="60" t="str">
        <f t="shared" si="14"/>
        <v/>
      </c>
      <c r="AZ8" s="54" t="str">
        <f t="shared" si="15"/>
        <v/>
      </c>
      <c r="BA8" s="21"/>
      <c r="BB8" s="62">
        <f t="shared" si="16"/>
        <v>71.125</v>
      </c>
      <c r="BC8" s="64" t="str">
        <f t="shared" si="17"/>
        <v/>
      </c>
      <c r="BE8" s="20">
        <f t="shared" si="18"/>
        <v>71.75</v>
      </c>
      <c r="BF8" s="20">
        <f t="shared" si="19"/>
        <v>71.25</v>
      </c>
      <c r="BG8" s="89">
        <f t="shared" si="20"/>
        <v>70.5</v>
      </c>
      <c r="BH8" s="20">
        <f t="shared" si="21"/>
        <v>71</v>
      </c>
      <c r="BI8" s="20">
        <f t="shared" si="22"/>
        <v>71.125</v>
      </c>
    </row>
    <row r="9" spans="1:61" x14ac:dyDescent="0.2">
      <c r="A9" s="29">
        <v>7</v>
      </c>
      <c r="B9" s="88" t="s">
        <v>118</v>
      </c>
      <c r="C9" s="69" t="s">
        <v>43</v>
      </c>
      <c r="D9" s="69" t="s">
        <v>44</v>
      </c>
      <c r="E9" s="19">
        <v>90</v>
      </c>
      <c r="F9" s="20"/>
      <c r="G9" s="20">
        <v>95</v>
      </c>
      <c r="H9" s="20"/>
      <c r="I9" s="20">
        <v>88</v>
      </c>
      <c r="J9" s="20"/>
      <c r="K9" s="20">
        <v>90</v>
      </c>
      <c r="L9" s="21"/>
      <c r="M9" s="19">
        <v>93</v>
      </c>
      <c r="N9" s="20"/>
      <c r="O9" s="20">
        <v>96</v>
      </c>
      <c r="P9" s="20"/>
      <c r="Q9" s="20">
        <v>87</v>
      </c>
      <c r="R9" s="20"/>
      <c r="S9" s="20">
        <v>87</v>
      </c>
      <c r="T9" s="21"/>
      <c r="U9" s="19">
        <v>90</v>
      </c>
      <c r="V9" s="20"/>
      <c r="W9" s="20">
        <v>96</v>
      </c>
      <c r="X9" s="20"/>
      <c r="Y9" s="20">
        <v>88</v>
      </c>
      <c r="Z9" s="20"/>
      <c r="AA9" s="20">
        <v>85</v>
      </c>
      <c r="AB9" s="21"/>
      <c r="AC9" s="1">
        <v>96</v>
      </c>
      <c r="AD9" s="20"/>
      <c r="AE9" s="20">
        <v>95</v>
      </c>
      <c r="AF9" s="20"/>
      <c r="AG9" s="20">
        <v>87</v>
      </c>
      <c r="AH9" s="20"/>
      <c r="AI9" s="20">
        <v>87</v>
      </c>
      <c r="AJ9" s="3"/>
      <c r="AK9" s="44">
        <f t="shared" si="4"/>
        <v>90.75</v>
      </c>
      <c r="AL9" s="45">
        <f t="shared" si="5"/>
        <v>90.75</v>
      </c>
      <c r="AM9" s="46">
        <f t="shared" si="6"/>
        <v>89.75</v>
      </c>
      <c r="AN9" s="47">
        <f t="shared" si="7"/>
        <v>91.25</v>
      </c>
      <c r="AO9" s="48">
        <f t="shared" si="8"/>
        <v>90.625</v>
      </c>
      <c r="AP9" s="37"/>
      <c r="AR9" s="54" t="str">
        <f t="shared" si="9"/>
        <v/>
      </c>
      <c r="AS9" s="35"/>
      <c r="AT9" s="56">
        <f t="shared" si="10"/>
        <v>0</v>
      </c>
      <c r="AU9" s="57" t="str">
        <f t="shared" si="11"/>
        <v/>
      </c>
      <c r="AV9" s="54" t="str">
        <f t="shared" si="12"/>
        <v/>
      </c>
      <c r="AW9" s="35"/>
      <c r="AX9" s="56">
        <f t="shared" si="13"/>
        <v>0</v>
      </c>
      <c r="AY9" s="60" t="str">
        <f t="shared" si="14"/>
        <v/>
      </c>
      <c r="AZ9" s="54" t="str">
        <f t="shared" si="15"/>
        <v/>
      </c>
      <c r="BA9" s="21"/>
      <c r="BB9" s="62">
        <f t="shared" si="16"/>
        <v>90.625</v>
      </c>
      <c r="BC9" s="64" t="str">
        <f t="shared" si="17"/>
        <v/>
      </c>
      <c r="BE9" s="20">
        <f t="shared" si="18"/>
        <v>92.25</v>
      </c>
      <c r="BF9" s="20">
        <f t="shared" si="19"/>
        <v>95.5</v>
      </c>
      <c r="BG9" s="89">
        <f t="shared" si="20"/>
        <v>87.5</v>
      </c>
      <c r="BH9" s="20">
        <f t="shared" si="21"/>
        <v>87.25</v>
      </c>
      <c r="BI9" s="20">
        <f t="shared" si="22"/>
        <v>90.625</v>
      </c>
    </row>
    <row r="10" spans="1:61" x14ac:dyDescent="0.2">
      <c r="A10" s="29">
        <v>8</v>
      </c>
      <c r="B10" s="88" t="s">
        <v>119</v>
      </c>
      <c r="C10" s="70" t="s">
        <v>45</v>
      </c>
      <c r="D10" s="70" t="s">
        <v>46</v>
      </c>
      <c r="E10" s="19">
        <v>78</v>
      </c>
      <c r="F10" s="20"/>
      <c r="G10" s="20">
        <v>76</v>
      </c>
      <c r="H10" s="20"/>
      <c r="I10" s="20">
        <v>73</v>
      </c>
      <c r="J10" s="20"/>
      <c r="K10" s="20">
        <v>80</v>
      </c>
      <c r="L10" s="21"/>
      <c r="M10" s="19">
        <v>80</v>
      </c>
      <c r="N10" s="20"/>
      <c r="O10" s="20">
        <v>75</v>
      </c>
      <c r="P10" s="20"/>
      <c r="Q10" s="20">
        <v>74</v>
      </c>
      <c r="R10" s="20"/>
      <c r="S10" s="20">
        <v>81</v>
      </c>
      <c r="T10" s="21"/>
      <c r="U10" s="19">
        <v>75</v>
      </c>
      <c r="V10" s="20"/>
      <c r="W10" s="20">
        <v>78</v>
      </c>
      <c r="X10" s="20"/>
      <c r="Y10" s="20">
        <v>75</v>
      </c>
      <c r="Z10" s="20"/>
      <c r="AA10" s="20">
        <v>82</v>
      </c>
      <c r="AB10" s="21"/>
      <c r="AC10" s="1">
        <v>78</v>
      </c>
      <c r="AD10" s="20"/>
      <c r="AE10" s="20">
        <v>75</v>
      </c>
      <c r="AF10" s="20"/>
      <c r="AG10" s="20">
        <v>76</v>
      </c>
      <c r="AH10" s="20"/>
      <c r="AI10" s="20">
        <v>80</v>
      </c>
      <c r="AJ10" s="3"/>
      <c r="AK10" s="44">
        <f t="shared" si="4"/>
        <v>76.75</v>
      </c>
      <c r="AL10" s="45">
        <f t="shared" si="5"/>
        <v>77.5</v>
      </c>
      <c r="AM10" s="46">
        <f t="shared" si="6"/>
        <v>77.5</v>
      </c>
      <c r="AN10" s="47">
        <f t="shared" si="7"/>
        <v>77.25</v>
      </c>
      <c r="AO10" s="48">
        <f t="shared" si="8"/>
        <v>77.25</v>
      </c>
      <c r="AP10" s="37"/>
      <c r="AR10" s="54" t="str">
        <f t="shared" si="9"/>
        <v/>
      </c>
      <c r="AS10" s="35"/>
      <c r="AT10" s="56">
        <f t="shared" si="10"/>
        <v>0</v>
      </c>
      <c r="AU10" s="57" t="str">
        <f t="shared" si="11"/>
        <v/>
      </c>
      <c r="AV10" s="54" t="str">
        <f t="shared" si="12"/>
        <v/>
      </c>
      <c r="AW10" s="35"/>
      <c r="AX10" s="56">
        <f t="shared" si="13"/>
        <v>0</v>
      </c>
      <c r="AY10" s="60" t="str">
        <f t="shared" si="14"/>
        <v/>
      </c>
      <c r="AZ10" s="54" t="str">
        <f t="shared" si="15"/>
        <v/>
      </c>
      <c r="BA10" s="21"/>
      <c r="BB10" s="62">
        <f t="shared" si="16"/>
        <v>77.25</v>
      </c>
      <c r="BC10" s="64" t="str">
        <f t="shared" si="17"/>
        <v/>
      </c>
      <c r="BE10" s="20">
        <f t="shared" si="18"/>
        <v>77.75</v>
      </c>
      <c r="BF10" s="20">
        <f t="shared" si="19"/>
        <v>76</v>
      </c>
      <c r="BG10" s="89">
        <f t="shared" si="20"/>
        <v>74.5</v>
      </c>
      <c r="BH10" s="20">
        <f t="shared" si="21"/>
        <v>80.75</v>
      </c>
      <c r="BI10" s="20">
        <f t="shared" si="22"/>
        <v>77.25</v>
      </c>
    </row>
    <row r="11" spans="1:61" x14ac:dyDescent="0.2">
      <c r="A11" s="29">
        <v>9</v>
      </c>
      <c r="B11" s="88" t="s">
        <v>120</v>
      </c>
      <c r="C11" s="69" t="s">
        <v>47</v>
      </c>
      <c r="D11" s="69" t="s">
        <v>48</v>
      </c>
      <c r="E11" s="19">
        <v>80</v>
      </c>
      <c r="F11" s="20"/>
      <c r="G11" s="20">
        <v>80</v>
      </c>
      <c r="H11" s="20"/>
      <c r="I11" s="20">
        <v>90</v>
      </c>
      <c r="J11" s="20"/>
      <c r="K11" s="20">
        <v>93</v>
      </c>
      <c r="L11" s="21"/>
      <c r="M11" s="19">
        <v>82</v>
      </c>
      <c r="N11" s="20"/>
      <c r="O11" s="20">
        <v>85</v>
      </c>
      <c r="P11" s="20"/>
      <c r="Q11" s="20">
        <v>92</v>
      </c>
      <c r="R11" s="20"/>
      <c r="S11" s="20">
        <v>88</v>
      </c>
      <c r="T11" s="21"/>
      <c r="U11" s="19">
        <v>80</v>
      </c>
      <c r="V11" s="20"/>
      <c r="W11" s="20">
        <v>88</v>
      </c>
      <c r="X11" s="20"/>
      <c r="Y11" s="20">
        <v>90</v>
      </c>
      <c r="Z11" s="20"/>
      <c r="AA11" s="20">
        <v>90</v>
      </c>
      <c r="AB11" s="21"/>
      <c r="AC11" s="1">
        <v>81</v>
      </c>
      <c r="AD11" s="20"/>
      <c r="AE11" s="20">
        <v>85</v>
      </c>
      <c r="AF11" s="20"/>
      <c r="AG11" s="20">
        <v>91</v>
      </c>
      <c r="AH11" s="20"/>
      <c r="AI11" s="20">
        <v>92</v>
      </c>
      <c r="AJ11" s="3"/>
      <c r="AK11" s="44">
        <f t="shared" si="4"/>
        <v>85.75</v>
      </c>
      <c r="AL11" s="45">
        <f t="shared" si="5"/>
        <v>86.75</v>
      </c>
      <c r="AM11" s="46">
        <f t="shared" si="6"/>
        <v>87</v>
      </c>
      <c r="AN11" s="47">
        <f t="shared" si="7"/>
        <v>87.25</v>
      </c>
      <c r="AO11" s="48">
        <f t="shared" si="8"/>
        <v>86.6875</v>
      </c>
      <c r="AP11" s="37"/>
      <c r="AR11" s="54" t="str">
        <f t="shared" si="9"/>
        <v/>
      </c>
      <c r="AS11" s="35"/>
      <c r="AT11" s="56">
        <f t="shared" si="10"/>
        <v>0</v>
      </c>
      <c r="AU11" s="57" t="str">
        <f t="shared" si="11"/>
        <v/>
      </c>
      <c r="AV11" s="54" t="str">
        <f t="shared" si="12"/>
        <v/>
      </c>
      <c r="AW11" s="35"/>
      <c r="AX11" s="56">
        <f t="shared" si="13"/>
        <v>0</v>
      </c>
      <c r="AY11" s="60" t="str">
        <f t="shared" si="14"/>
        <v/>
      </c>
      <c r="AZ11" s="54" t="str">
        <f t="shared" si="15"/>
        <v/>
      </c>
      <c r="BA11" s="21"/>
      <c r="BB11" s="62">
        <f t="shared" si="16"/>
        <v>86.6875</v>
      </c>
      <c r="BC11" s="64" t="str">
        <f t="shared" si="17"/>
        <v/>
      </c>
      <c r="BE11" s="20">
        <f t="shared" si="18"/>
        <v>80.75</v>
      </c>
      <c r="BF11" s="20">
        <f t="shared" si="19"/>
        <v>84.5</v>
      </c>
      <c r="BG11" s="89">
        <f t="shared" si="20"/>
        <v>90.75</v>
      </c>
      <c r="BH11" s="20">
        <f t="shared" si="21"/>
        <v>90.75</v>
      </c>
      <c r="BI11" s="20">
        <f t="shared" si="22"/>
        <v>86.6875</v>
      </c>
    </row>
    <row r="12" spans="1:61" x14ac:dyDescent="0.2">
      <c r="A12" s="29">
        <v>10</v>
      </c>
      <c r="B12" s="88" t="s">
        <v>121</v>
      </c>
      <c r="C12" s="70" t="s">
        <v>49</v>
      </c>
      <c r="D12" s="70" t="s">
        <v>50</v>
      </c>
      <c r="E12" s="19">
        <v>60</v>
      </c>
      <c r="F12" s="19">
        <v>60</v>
      </c>
      <c r="G12" s="19">
        <v>60</v>
      </c>
      <c r="H12" s="20"/>
      <c r="I12" s="20">
        <v>65</v>
      </c>
      <c r="J12" s="20"/>
      <c r="K12" s="20">
        <v>63</v>
      </c>
      <c r="L12" s="20"/>
      <c r="M12" s="20">
        <v>68</v>
      </c>
      <c r="N12" s="19">
        <v>60</v>
      </c>
      <c r="O12" s="19">
        <v>60</v>
      </c>
      <c r="P12" s="20"/>
      <c r="Q12" s="20">
        <v>65</v>
      </c>
      <c r="R12" s="20"/>
      <c r="S12" s="20">
        <v>63</v>
      </c>
      <c r="T12" s="20"/>
      <c r="U12" s="20">
        <v>68</v>
      </c>
      <c r="V12" s="19">
        <v>60</v>
      </c>
      <c r="W12" s="19">
        <v>60</v>
      </c>
      <c r="X12" s="20"/>
      <c r="Y12" s="20">
        <v>65</v>
      </c>
      <c r="Z12" s="20"/>
      <c r="AA12" s="20">
        <v>63</v>
      </c>
      <c r="AB12" s="20"/>
      <c r="AC12" s="20">
        <v>68</v>
      </c>
      <c r="AD12" s="19">
        <v>60</v>
      </c>
      <c r="AE12" s="19">
        <v>60</v>
      </c>
      <c r="AF12" s="20"/>
      <c r="AG12" s="20">
        <v>65</v>
      </c>
      <c r="AH12" s="20"/>
      <c r="AI12" s="20">
        <v>63</v>
      </c>
      <c r="AJ12" s="20"/>
      <c r="AK12" s="20">
        <v>68</v>
      </c>
      <c r="AL12" s="45">
        <f t="shared" si="5"/>
        <v>15</v>
      </c>
      <c r="AM12" s="46">
        <f t="shared" si="6"/>
        <v>15</v>
      </c>
      <c r="AN12" s="47">
        <f t="shared" si="7"/>
        <v>48.25</v>
      </c>
      <c r="AO12" s="48">
        <f t="shared" si="8"/>
        <v>36.5625</v>
      </c>
      <c r="AP12" s="37"/>
      <c r="AR12" s="54">
        <f t="shared" si="9"/>
        <v>18.28125</v>
      </c>
      <c r="AS12" s="20"/>
      <c r="AT12" s="56">
        <f t="shared" si="10"/>
        <v>0</v>
      </c>
      <c r="AU12" s="57" t="str">
        <f t="shared" si="11"/>
        <v/>
      </c>
      <c r="AV12" s="54" t="str">
        <f t="shared" si="12"/>
        <v/>
      </c>
      <c r="AW12" s="20"/>
      <c r="AX12" s="56">
        <f t="shared" si="13"/>
        <v>0</v>
      </c>
      <c r="AY12" s="60" t="str">
        <f t="shared" si="14"/>
        <v/>
      </c>
      <c r="AZ12" s="54" t="str">
        <f t="shared" si="15"/>
        <v/>
      </c>
      <c r="BA12" s="21"/>
      <c r="BB12" s="62" t="str">
        <f t="shared" si="16"/>
        <v/>
      </c>
      <c r="BC12" s="64">
        <f t="shared" si="17"/>
        <v>36.5625</v>
      </c>
      <c r="BE12" s="20">
        <f t="shared" si="18"/>
        <v>66</v>
      </c>
      <c r="BF12" s="20">
        <f t="shared" si="19"/>
        <v>60</v>
      </c>
      <c r="BG12" s="89">
        <f t="shared" si="20"/>
        <v>65</v>
      </c>
      <c r="BH12" s="20">
        <f t="shared" si="21"/>
        <v>63</v>
      </c>
      <c r="BI12" s="20">
        <f t="shared" si="22"/>
        <v>63.5</v>
      </c>
    </row>
    <row r="13" spans="1:61" x14ac:dyDescent="0.2">
      <c r="A13" s="29">
        <v>11</v>
      </c>
      <c r="B13" s="88" t="s">
        <v>122</v>
      </c>
      <c r="C13" s="69" t="s">
        <v>51</v>
      </c>
      <c r="D13" s="69" t="s">
        <v>52</v>
      </c>
      <c r="E13" s="19"/>
      <c r="F13" s="19">
        <v>60</v>
      </c>
      <c r="G13" s="19">
        <v>60</v>
      </c>
      <c r="H13" s="20"/>
      <c r="I13" s="20">
        <v>65</v>
      </c>
      <c r="J13" s="20"/>
      <c r="K13" s="20">
        <v>63</v>
      </c>
      <c r="L13" s="20"/>
      <c r="M13" s="20">
        <v>68</v>
      </c>
      <c r="N13" s="19">
        <v>60</v>
      </c>
      <c r="O13" s="19">
        <v>60</v>
      </c>
      <c r="P13" s="20"/>
      <c r="Q13" s="20">
        <v>65</v>
      </c>
      <c r="R13" s="20"/>
      <c r="S13" s="20">
        <v>63</v>
      </c>
      <c r="T13" s="20"/>
      <c r="U13" s="20">
        <v>68</v>
      </c>
      <c r="V13" s="19">
        <v>60</v>
      </c>
      <c r="W13" s="19">
        <v>60</v>
      </c>
      <c r="X13" s="20"/>
      <c r="Y13" s="20">
        <v>65</v>
      </c>
      <c r="Z13" s="20"/>
      <c r="AA13" s="20">
        <v>63</v>
      </c>
      <c r="AB13" s="20"/>
      <c r="AC13" s="20">
        <v>68</v>
      </c>
      <c r="AD13" s="19">
        <v>60</v>
      </c>
      <c r="AE13" s="19">
        <v>60</v>
      </c>
      <c r="AF13" s="20"/>
      <c r="AG13" s="20">
        <v>65</v>
      </c>
      <c r="AH13" s="20"/>
      <c r="AI13" s="20">
        <v>63</v>
      </c>
      <c r="AJ13" s="20"/>
      <c r="AK13" s="20">
        <v>68</v>
      </c>
      <c r="AL13" s="45">
        <f t="shared" si="5"/>
        <v>15</v>
      </c>
      <c r="AM13" s="46">
        <f t="shared" si="6"/>
        <v>15</v>
      </c>
      <c r="AN13" s="47">
        <f t="shared" si="7"/>
        <v>48.25</v>
      </c>
      <c r="AO13" s="48">
        <f t="shared" si="8"/>
        <v>36.5625</v>
      </c>
      <c r="AP13" s="37"/>
      <c r="AR13" s="54">
        <f t="shared" si="9"/>
        <v>18.28125</v>
      </c>
      <c r="AS13" s="20"/>
      <c r="AT13" s="56">
        <f t="shared" si="10"/>
        <v>0</v>
      </c>
      <c r="AU13" s="57" t="str">
        <f t="shared" si="11"/>
        <v/>
      </c>
      <c r="AV13" s="54" t="str">
        <f t="shared" si="12"/>
        <v/>
      </c>
      <c r="AW13" s="20"/>
      <c r="AX13" s="56">
        <f t="shared" si="13"/>
        <v>0</v>
      </c>
      <c r="AY13" s="60" t="str">
        <f t="shared" si="14"/>
        <v/>
      </c>
      <c r="AZ13" s="54" t="str">
        <f t="shared" si="15"/>
        <v/>
      </c>
      <c r="BA13" s="21"/>
      <c r="BB13" s="62" t="str">
        <f t="shared" si="16"/>
        <v/>
      </c>
      <c r="BC13" s="64">
        <f t="shared" si="17"/>
        <v>36.5625</v>
      </c>
      <c r="BE13" s="20">
        <f t="shared" si="18"/>
        <v>51</v>
      </c>
      <c r="BF13" s="20">
        <f t="shared" si="19"/>
        <v>60</v>
      </c>
      <c r="BG13" s="89">
        <f t="shared" si="20"/>
        <v>65</v>
      </c>
      <c r="BH13" s="20">
        <f t="shared" si="21"/>
        <v>63</v>
      </c>
      <c r="BI13" s="20">
        <f t="shared" si="22"/>
        <v>59.75</v>
      </c>
    </row>
    <row r="14" spans="1:61" x14ac:dyDescent="0.2">
      <c r="A14" s="29">
        <v>12</v>
      </c>
      <c r="B14" s="88" t="s">
        <v>123</v>
      </c>
      <c r="C14" s="70" t="s">
        <v>53</v>
      </c>
      <c r="D14" s="70" t="s">
        <v>54</v>
      </c>
      <c r="E14" s="19">
        <v>90</v>
      </c>
      <c r="F14" s="20"/>
      <c r="G14" s="20">
        <v>90</v>
      </c>
      <c r="H14" s="20"/>
      <c r="I14" s="20">
        <v>90</v>
      </c>
      <c r="J14" s="20"/>
      <c r="K14" s="20">
        <v>90</v>
      </c>
      <c r="L14" s="21"/>
      <c r="M14" s="19">
        <v>92</v>
      </c>
      <c r="N14" s="20"/>
      <c r="O14" s="20">
        <v>88</v>
      </c>
      <c r="P14" s="20"/>
      <c r="Q14" s="20">
        <v>88</v>
      </c>
      <c r="R14" s="20"/>
      <c r="S14" s="20">
        <v>88</v>
      </c>
      <c r="T14" s="21"/>
      <c r="U14" s="19">
        <v>93</v>
      </c>
      <c r="V14" s="20"/>
      <c r="W14" s="20">
        <v>90</v>
      </c>
      <c r="X14" s="20"/>
      <c r="Y14" s="20">
        <v>90</v>
      </c>
      <c r="Z14" s="20"/>
      <c r="AA14" s="20">
        <v>92</v>
      </c>
      <c r="AB14" s="21"/>
      <c r="AC14" s="1">
        <v>90</v>
      </c>
      <c r="AD14" s="20"/>
      <c r="AE14" s="20">
        <v>90</v>
      </c>
      <c r="AF14" s="20"/>
      <c r="AG14" s="20">
        <v>90</v>
      </c>
      <c r="AH14" s="20"/>
      <c r="AI14" s="20">
        <v>90</v>
      </c>
      <c r="AJ14" s="3"/>
      <c r="AK14" s="44">
        <f t="shared" si="4"/>
        <v>90</v>
      </c>
      <c r="AL14" s="45">
        <f t="shared" si="5"/>
        <v>89</v>
      </c>
      <c r="AM14" s="46">
        <f t="shared" si="6"/>
        <v>91.25</v>
      </c>
      <c r="AN14" s="47">
        <f t="shared" si="7"/>
        <v>90</v>
      </c>
      <c r="AO14" s="48">
        <f t="shared" si="8"/>
        <v>90.0625</v>
      </c>
      <c r="AP14" s="37"/>
      <c r="AR14" s="54" t="str">
        <f t="shared" si="9"/>
        <v/>
      </c>
      <c r="AS14" s="20"/>
      <c r="AT14" s="56">
        <f t="shared" si="10"/>
        <v>0</v>
      </c>
      <c r="AU14" s="57" t="str">
        <f t="shared" si="11"/>
        <v/>
      </c>
      <c r="AV14" s="54" t="str">
        <f t="shared" si="12"/>
        <v/>
      </c>
      <c r="AW14" s="20"/>
      <c r="AX14" s="56">
        <f t="shared" si="13"/>
        <v>0</v>
      </c>
      <c r="AY14" s="60" t="str">
        <f t="shared" si="14"/>
        <v/>
      </c>
      <c r="AZ14" s="54" t="str">
        <f t="shared" si="15"/>
        <v/>
      </c>
      <c r="BA14" s="21"/>
      <c r="BB14" s="62">
        <f t="shared" si="16"/>
        <v>90.0625</v>
      </c>
      <c r="BC14" s="64" t="str">
        <f t="shared" si="17"/>
        <v/>
      </c>
      <c r="BE14" s="20">
        <f t="shared" si="18"/>
        <v>91.25</v>
      </c>
      <c r="BF14" s="20">
        <f t="shared" si="19"/>
        <v>89.5</v>
      </c>
      <c r="BG14" s="89">
        <f t="shared" si="20"/>
        <v>89.5</v>
      </c>
      <c r="BH14" s="20">
        <f t="shared" si="21"/>
        <v>90</v>
      </c>
      <c r="BI14" s="20">
        <f t="shared" si="22"/>
        <v>90.0625</v>
      </c>
    </row>
    <row r="15" spans="1:61" x14ac:dyDescent="0.2">
      <c r="A15" s="29">
        <v>13</v>
      </c>
      <c r="B15" s="88" t="s">
        <v>124</v>
      </c>
      <c r="C15" s="69" t="s">
        <v>55</v>
      </c>
      <c r="D15" s="69" t="s">
        <v>56</v>
      </c>
      <c r="E15" s="19">
        <v>78</v>
      </c>
      <c r="F15" s="20"/>
      <c r="G15" s="20">
        <v>75</v>
      </c>
      <c r="H15" s="20"/>
      <c r="I15" s="20">
        <v>73</v>
      </c>
      <c r="J15" s="20"/>
      <c r="K15" s="20">
        <v>70</v>
      </c>
      <c r="L15" s="21"/>
      <c r="M15" s="19">
        <v>80</v>
      </c>
      <c r="N15" s="20"/>
      <c r="O15" s="20">
        <v>78</v>
      </c>
      <c r="P15" s="20"/>
      <c r="Q15" s="20">
        <v>75</v>
      </c>
      <c r="R15" s="20"/>
      <c r="S15" s="20">
        <v>72</v>
      </c>
      <c r="T15" s="21"/>
      <c r="U15" s="19">
        <v>75</v>
      </c>
      <c r="V15" s="20"/>
      <c r="W15" s="20">
        <v>80</v>
      </c>
      <c r="X15" s="20"/>
      <c r="Y15" s="20">
        <v>70</v>
      </c>
      <c r="Z15" s="20"/>
      <c r="AA15" s="20">
        <v>70</v>
      </c>
      <c r="AB15" s="21"/>
      <c r="AC15" s="1">
        <v>80</v>
      </c>
      <c r="AD15" s="20"/>
      <c r="AE15" s="20">
        <v>80</v>
      </c>
      <c r="AF15" s="20"/>
      <c r="AG15" s="20">
        <v>70</v>
      </c>
      <c r="AH15" s="20"/>
      <c r="AI15" s="20">
        <v>74</v>
      </c>
      <c r="AJ15" s="3"/>
      <c r="AK15" s="44">
        <f t="shared" si="4"/>
        <v>74</v>
      </c>
      <c r="AL15" s="45">
        <f t="shared" si="5"/>
        <v>76.25</v>
      </c>
      <c r="AM15" s="46">
        <f t="shared" si="6"/>
        <v>73.75</v>
      </c>
      <c r="AN15" s="47">
        <f t="shared" si="7"/>
        <v>76</v>
      </c>
      <c r="AO15" s="48">
        <f t="shared" si="8"/>
        <v>75</v>
      </c>
      <c r="AP15" s="37"/>
      <c r="AR15" s="54" t="str">
        <f t="shared" si="9"/>
        <v/>
      </c>
      <c r="AS15" s="20"/>
      <c r="AT15" s="56">
        <f t="shared" si="10"/>
        <v>0</v>
      </c>
      <c r="AU15" s="57" t="str">
        <f t="shared" si="11"/>
        <v/>
      </c>
      <c r="AV15" s="54" t="str">
        <f t="shared" si="12"/>
        <v/>
      </c>
      <c r="AW15" s="20"/>
      <c r="AX15" s="56">
        <f t="shared" si="13"/>
        <v>0</v>
      </c>
      <c r="AY15" s="60" t="str">
        <f t="shared" si="14"/>
        <v/>
      </c>
      <c r="AZ15" s="54" t="str">
        <f t="shared" si="15"/>
        <v/>
      </c>
      <c r="BA15" s="21"/>
      <c r="BB15" s="62">
        <f t="shared" si="16"/>
        <v>75</v>
      </c>
      <c r="BC15" s="64" t="str">
        <f t="shared" si="17"/>
        <v/>
      </c>
      <c r="BE15" s="20">
        <f t="shared" si="18"/>
        <v>78.25</v>
      </c>
      <c r="BF15" s="20">
        <f t="shared" si="19"/>
        <v>78.25</v>
      </c>
      <c r="BG15" s="89">
        <f t="shared" si="20"/>
        <v>72</v>
      </c>
      <c r="BH15" s="20">
        <f t="shared" si="21"/>
        <v>71.5</v>
      </c>
      <c r="BI15" s="20">
        <f t="shared" si="22"/>
        <v>75</v>
      </c>
    </row>
    <row r="16" spans="1:61" x14ac:dyDescent="0.2">
      <c r="A16" s="29">
        <v>14</v>
      </c>
      <c r="B16" s="88" t="s">
        <v>125</v>
      </c>
      <c r="C16" s="70" t="s">
        <v>57</v>
      </c>
      <c r="D16" s="70" t="s">
        <v>58</v>
      </c>
      <c r="E16" s="19"/>
      <c r="F16" s="19">
        <v>60</v>
      </c>
      <c r="G16" s="19">
        <v>60</v>
      </c>
      <c r="H16" s="20"/>
      <c r="I16" s="20">
        <v>65</v>
      </c>
      <c r="J16" s="20"/>
      <c r="K16" s="20">
        <v>63</v>
      </c>
      <c r="L16" s="20"/>
      <c r="M16" s="20">
        <v>68</v>
      </c>
      <c r="N16" s="19">
        <v>60</v>
      </c>
      <c r="O16" s="19">
        <v>60</v>
      </c>
      <c r="P16" s="20"/>
      <c r="Q16" s="20">
        <v>65</v>
      </c>
      <c r="R16" s="20"/>
      <c r="S16" s="20">
        <v>63</v>
      </c>
      <c r="T16" s="20"/>
      <c r="U16" s="20">
        <v>68</v>
      </c>
      <c r="V16" s="19">
        <v>60</v>
      </c>
      <c r="W16" s="19">
        <v>60</v>
      </c>
      <c r="X16" s="20"/>
      <c r="Y16" s="20">
        <v>65</v>
      </c>
      <c r="Z16" s="20"/>
      <c r="AA16" s="20">
        <v>63</v>
      </c>
      <c r="AB16" s="20"/>
      <c r="AC16" s="20">
        <v>68</v>
      </c>
      <c r="AD16" s="19">
        <v>60</v>
      </c>
      <c r="AE16" s="19">
        <v>60</v>
      </c>
      <c r="AF16" s="20"/>
      <c r="AG16" s="20">
        <v>65</v>
      </c>
      <c r="AH16" s="20"/>
      <c r="AI16" s="20">
        <v>63</v>
      </c>
      <c r="AJ16" s="20"/>
      <c r="AK16" s="20">
        <v>68</v>
      </c>
      <c r="AL16" s="45">
        <f t="shared" si="5"/>
        <v>15</v>
      </c>
      <c r="AM16" s="46">
        <f t="shared" si="6"/>
        <v>15</v>
      </c>
      <c r="AN16" s="47">
        <f t="shared" si="7"/>
        <v>48.25</v>
      </c>
      <c r="AO16" s="48">
        <f t="shared" si="8"/>
        <v>36.5625</v>
      </c>
      <c r="AP16" s="37"/>
      <c r="AR16" s="54">
        <f t="shared" si="9"/>
        <v>18.28125</v>
      </c>
      <c r="AS16" s="20"/>
      <c r="AT16" s="56">
        <f t="shared" si="10"/>
        <v>0</v>
      </c>
      <c r="AU16" s="57" t="str">
        <f t="shared" si="11"/>
        <v/>
      </c>
      <c r="AV16" s="54" t="str">
        <f t="shared" si="12"/>
        <v/>
      </c>
      <c r="AW16" s="20"/>
      <c r="AX16" s="56">
        <f t="shared" si="13"/>
        <v>0</v>
      </c>
      <c r="AY16" s="60" t="str">
        <f t="shared" si="14"/>
        <v/>
      </c>
      <c r="AZ16" s="54" t="str">
        <f t="shared" si="15"/>
        <v/>
      </c>
      <c r="BA16" s="21"/>
      <c r="BB16" s="62" t="str">
        <f t="shared" si="16"/>
        <v/>
      </c>
      <c r="BC16" s="64">
        <f t="shared" si="17"/>
        <v>36.5625</v>
      </c>
      <c r="BE16" s="20">
        <f t="shared" si="18"/>
        <v>51</v>
      </c>
      <c r="BF16" s="20">
        <f t="shared" si="19"/>
        <v>60</v>
      </c>
      <c r="BG16" s="89">
        <f t="shared" si="20"/>
        <v>65</v>
      </c>
      <c r="BH16" s="20">
        <f t="shared" si="21"/>
        <v>63</v>
      </c>
      <c r="BI16" s="20">
        <f t="shared" si="22"/>
        <v>59.75</v>
      </c>
    </row>
    <row r="17" spans="1:61" x14ac:dyDescent="0.2">
      <c r="A17" s="29">
        <v>15</v>
      </c>
      <c r="B17" s="88" t="s">
        <v>126</v>
      </c>
      <c r="C17" s="69" t="s">
        <v>59</v>
      </c>
      <c r="D17" s="69" t="s">
        <v>60</v>
      </c>
      <c r="E17" s="19">
        <v>78</v>
      </c>
      <c r="F17" s="20"/>
      <c r="G17" s="20">
        <v>75</v>
      </c>
      <c r="H17" s="20"/>
      <c r="I17" s="20">
        <v>78</v>
      </c>
      <c r="J17" s="20"/>
      <c r="K17" s="20">
        <v>75</v>
      </c>
      <c r="L17" s="21"/>
      <c r="M17" s="19">
        <v>80</v>
      </c>
      <c r="N17" s="20"/>
      <c r="O17" s="20">
        <v>70</v>
      </c>
      <c r="P17" s="20"/>
      <c r="Q17" s="20">
        <v>78</v>
      </c>
      <c r="R17" s="20"/>
      <c r="S17" s="20">
        <v>73</v>
      </c>
      <c r="T17" s="21"/>
      <c r="U17" s="19">
        <v>78</v>
      </c>
      <c r="V17" s="20"/>
      <c r="W17" s="20">
        <v>76</v>
      </c>
      <c r="X17" s="20"/>
      <c r="Y17" s="20">
        <v>78</v>
      </c>
      <c r="Z17" s="20"/>
      <c r="AA17" s="20">
        <v>77</v>
      </c>
      <c r="AB17" s="21"/>
      <c r="AC17" s="1">
        <v>80</v>
      </c>
      <c r="AD17" s="20"/>
      <c r="AE17" s="20">
        <v>79</v>
      </c>
      <c r="AF17" s="20"/>
      <c r="AG17" s="20">
        <v>78</v>
      </c>
      <c r="AH17" s="20"/>
      <c r="AI17" s="20">
        <v>76</v>
      </c>
      <c r="AJ17" s="3"/>
      <c r="AK17" s="44">
        <f t="shared" si="4"/>
        <v>76.5</v>
      </c>
      <c r="AL17" s="45">
        <f t="shared" si="5"/>
        <v>75.25</v>
      </c>
      <c r="AM17" s="46">
        <f t="shared" si="6"/>
        <v>77.25</v>
      </c>
      <c r="AN17" s="47">
        <f t="shared" si="7"/>
        <v>78.25</v>
      </c>
      <c r="AO17" s="48">
        <f t="shared" si="8"/>
        <v>76.8125</v>
      </c>
      <c r="AP17" s="37"/>
      <c r="AR17" s="54" t="str">
        <f t="shared" si="9"/>
        <v/>
      </c>
      <c r="AS17" s="20"/>
      <c r="AT17" s="56">
        <f t="shared" si="10"/>
        <v>0</v>
      </c>
      <c r="AU17" s="57" t="str">
        <f t="shared" si="11"/>
        <v/>
      </c>
      <c r="AV17" s="54" t="str">
        <f t="shared" si="12"/>
        <v/>
      </c>
      <c r="AW17" s="20"/>
      <c r="AX17" s="56">
        <f t="shared" si="13"/>
        <v>0</v>
      </c>
      <c r="AY17" s="60" t="str">
        <f t="shared" si="14"/>
        <v/>
      </c>
      <c r="AZ17" s="54" t="str">
        <f t="shared" si="15"/>
        <v/>
      </c>
      <c r="BA17" s="21"/>
      <c r="BB17" s="62">
        <f t="shared" si="16"/>
        <v>76.8125</v>
      </c>
      <c r="BC17" s="64" t="str">
        <f t="shared" si="17"/>
        <v/>
      </c>
      <c r="BE17" s="20">
        <f t="shared" si="18"/>
        <v>79</v>
      </c>
      <c r="BF17" s="20">
        <f t="shared" si="19"/>
        <v>75</v>
      </c>
      <c r="BG17" s="89">
        <f t="shared" si="20"/>
        <v>78</v>
      </c>
      <c r="BH17" s="20">
        <f t="shared" si="21"/>
        <v>75.25</v>
      </c>
      <c r="BI17" s="20">
        <f t="shared" si="22"/>
        <v>76.8125</v>
      </c>
    </row>
    <row r="18" spans="1:61" x14ac:dyDescent="0.2">
      <c r="A18" s="29">
        <v>16</v>
      </c>
      <c r="B18" s="88" t="s">
        <v>127</v>
      </c>
      <c r="C18" s="70" t="s">
        <v>61</v>
      </c>
      <c r="D18" s="70" t="s">
        <v>62</v>
      </c>
      <c r="E18" s="19">
        <v>88</v>
      </c>
      <c r="F18" s="20"/>
      <c r="G18" s="20">
        <v>90</v>
      </c>
      <c r="H18" s="20"/>
      <c r="I18" s="20">
        <v>88</v>
      </c>
      <c r="J18" s="20"/>
      <c r="K18" s="20">
        <v>90</v>
      </c>
      <c r="L18" s="21"/>
      <c r="M18" s="19">
        <v>90</v>
      </c>
      <c r="N18" s="20"/>
      <c r="O18" s="20">
        <v>95</v>
      </c>
      <c r="P18" s="20"/>
      <c r="Q18" s="20">
        <v>89</v>
      </c>
      <c r="R18" s="20"/>
      <c r="S18" s="20">
        <v>92</v>
      </c>
      <c r="T18" s="21"/>
      <c r="U18" s="19">
        <v>90</v>
      </c>
      <c r="V18" s="20"/>
      <c r="W18" s="20">
        <v>90</v>
      </c>
      <c r="X18" s="20"/>
      <c r="Y18" s="20">
        <v>90</v>
      </c>
      <c r="Z18" s="20"/>
      <c r="AA18" s="20">
        <v>92</v>
      </c>
      <c r="AB18" s="21"/>
      <c r="AC18" s="1">
        <v>90</v>
      </c>
      <c r="AD18" s="20"/>
      <c r="AE18" s="20">
        <v>93</v>
      </c>
      <c r="AF18" s="20"/>
      <c r="AG18" s="20">
        <v>90</v>
      </c>
      <c r="AH18" s="20"/>
      <c r="AI18" s="20">
        <v>90</v>
      </c>
      <c r="AJ18" s="3"/>
      <c r="AK18" s="44">
        <f t="shared" si="4"/>
        <v>89</v>
      </c>
      <c r="AL18" s="45">
        <f t="shared" si="5"/>
        <v>91.5</v>
      </c>
      <c r="AM18" s="46">
        <f t="shared" si="6"/>
        <v>90.5</v>
      </c>
      <c r="AN18" s="47">
        <f t="shared" si="7"/>
        <v>90.75</v>
      </c>
      <c r="AO18" s="48">
        <f t="shared" si="8"/>
        <v>90.4375</v>
      </c>
      <c r="AP18" s="37"/>
      <c r="AR18" s="54" t="str">
        <f t="shared" si="9"/>
        <v/>
      </c>
      <c r="AS18" s="20"/>
      <c r="AT18" s="56">
        <f t="shared" si="10"/>
        <v>0</v>
      </c>
      <c r="AU18" s="57" t="str">
        <f t="shared" si="11"/>
        <v/>
      </c>
      <c r="AV18" s="54" t="str">
        <f t="shared" si="12"/>
        <v/>
      </c>
      <c r="AW18" s="20"/>
      <c r="AX18" s="56">
        <f t="shared" si="13"/>
        <v>0</v>
      </c>
      <c r="AY18" s="60" t="str">
        <f t="shared" si="14"/>
        <v/>
      </c>
      <c r="AZ18" s="54" t="str">
        <f t="shared" si="15"/>
        <v/>
      </c>
      <c r="BA18" s="21"/>
      <c r="BB18" s="62">
        <f t="shared" si="16"/>
        <v>90.4375</v>
      </c>
      <c r="BC18" s="64" t="str">
        <f t="shared" si="17"/>
        <v/>
      </c>
      <c r="BE18" s="20">
        <f t="shared" si="18"/>
        <v>89.5</v>
      </c>
      <c r="BF18" s="20">
        <f t="shared" si="19"/>
        <v>92</v>
      </c>
      <c r="BG18" s="89">
        <f t="shared" si="20"/>
        <v>89.25</v>
      </c>
      <c r="BH18" s="20">
        <f t="shared" si="21"/>
        <v>91</v>
      </c>
      <c r="BI18" s="20">
        <f t="shared" si="22"/>
        <v>90.4375</v>
      </c>
    </row>
    <row r="19" spans="1:61" x14ac:dyDescent="0.2">
      <c r="A19" s="29">
        <v>17</v>
      </c>
      <c r="B19" s="88" t="s">
        <v>128</v>
      </c>
      <c r="C19" s="69" t="s">
        <v>63</v>
      </c>
      <c r="D19" s="69" t="s">
        <v>64</v>
      </c>
      <c r="E19" s="19">
        <v>90</v>
      </c>
      <c r="F19" s="20"/>
      <c r="G19" s="20">
        <v>90</v>
      </c>
      <c r="H19" s="20"/>
      <c r="I19" s="20">
        <v>85</v>
      </c>
      <c r="J19" s="20"/>
      <c r="K19" s="20">
        <v>76</v>
      </c>
      <c r="L19" s="21"/>
      <c r="M19" s="19">
        <v>95</v>
      </c>
      <c r="N19" s="20"/>
      <c r="O19" s="20">
        <v>95</v>
      </c>
      <c r="P19" s="20"/>
      <c r="Q19" s="20">
        <v>88</v>
      </c>
      <c r="R19" s="20"/>
      <c r="S19" s="20">
        <v>78</v>
      </c>
      <c r="T19" s="21"/>
      <c r="U19" s="19">
        <v>95</v>
      </c>
      <c r="V19" s="20"/>
      <c r="W19" s="20">
        <v>90</v>
      </c>
      <c r="X19" s="20"/>
      <c r="Y19" s="20">
        <v>85</v>
      </c>
      <c r="Z19" s="20"/>
      <c r="AA19" s="20">
        <v>75</v>
      </c>
      <c r="AB19" s="21"/>
      <c r="AC19" s="1">
        <v>90</v>
      </c>
      <c r="AD19" s="20"/>
      <c r="AE19" s="20">
        <v>92</v>
      </c>
      <c r="AF19" s="20"/>
      <c r="AG19" s="20">
        <v>88</v>
      </c>
      <c r="AH19" s="20"/>
      <c r="AI19" s="20">
        <v>76</v>
      </c>
      <c r="AJ19" s="3"/>
      <c r="AK19" s="44">
        <f t="shared" si="4"/>
        <v>85.25</v>
      </c>
      <c r="AL19" s="45">
        <f t="shared" si="5"/>
        <v>89</v>
      </c>
      <c r="AM19" s="46">
        <f t="shared" si="6"/>
        <v>86.25</v>
      </c>
      <c r="AN19" s="47">
        <f t="shared" si="7"/>
        <v>86.5</v>
      </c>
      <c r="AO19" s="48">
        <f t="shared" si="8"/>
        <v>86.75</v>
      </c>
      <c r="AP19" s="37"/>
      <c r="AR19" s="54" t="str">
        <f t="shared" si="9"/>
        <v/>
      </c>
      <c r="AS19" s="20"/>
      <c r="AT19" s="56">
        <f t="shared" si="10"/>
        <v>0</v>
      </c>
      <c r="AU19" s="57" t="str">
        <f t="shared" si="11"/>
        <v/>
      </c>
      <c r="AV19" s="54" t="str">
        <f t="shared" si="12"/>
        <v/>
      </c>
      <c r="AW19" s="20"/>
      <c r="AX19" s="56">
        <f t="shared" si="13"/>
        <v>0</v>
      </c>
      <c r="AY19" s="60" t="str">
        <f t="shared" si="14"/>
        <v/>
      </c>
      <c r="AZ19" s="54" t="str">
        <f t="shared" si="15"/>
        <v/>
      </c>
      <c r="BA19" s="21"/>
      <c r="BB19" s="62">
        <f t="shared" si="16"/>
        <v>86.75</v>
      </c>
      <c r="BC19" s="64" t="str">
        <f t="shared" si="17"/>
        <v/>
      </c>
      <c r="BE19" s="20">
        <f t="shared" si="18"/>
        <v>92.5</v>
      </c>
      <c r="BF19" s="20">
        <f t="shared" si="19"/>
        <v>91.75</v>
      </c>
      <c r="BG19" s="89">
        <f t="shared" si="20"/>
        <v>86.5</v>
      </c>
      <c r="BH19" s="20">
        <f t="shared" si="21"/>
        <v>76.25</v>
      </c>
      <c r="BI19" s="20">
        <f t="shared" si="22"/>
        <v>86.75</v>
      </c>
    </row>
    <row r="20" spans="1:61" x14ac:dyDescent="0.2">
      <c r="A20" s="29">
        <v>18</v>
      </c>
      <c r="B20" s="88" t="s">
        <v>129</v>
      </c>
      <c r="C20" s="70" t="s">
        <v>65</v>
      </c>
      <c r="D20" s="70" t="s">
        <v>66</v>
      </c>
      <c r="E20" s="19">
        <v>75</v>
      </c>
      <c r="F20" s="20"/>
      <c r="G20" s="20">
        <v>75</v>
      </c>
      <c r="H20" s="20"/>
      <c r="I20" s="20">
        <v>75</v>
      </c>
      <c r="J20" s="20"/>
      <c r="K20" s="20">
        <v>75</v>
      </c>
      <c r="L20" s="21"/>
      <c r="M20" s="19">
        <v>76</v>
      </c>
      <c r="N20" s="20"/>
      <c r="O20" s="20">
        <v>70</v>
      </c>
      <c r="P20" s="20"/>
      <c r="Q20" s="20">
        <v>75</v>
      </c>
      <c r="R20" s="20"/>
      <c r="S20" s="20">
        <v>76</v>
      </c>
      <c r="T20" s="21"/>
      <c r="U20" s="19">
        <v>78</v>
      </c>
      <c r="V20" s="20"/>
      <c r="W20" s="20">
        <v>76</v>
      </c>
      <c r="X20" s="20"/>
      <c r="Y20" s="20">
        <v>76</v>
      </c>
      <c r="Z20" s="20"/>
      <c r="AA20" s="20">
        <v>75</v>
      </c>
      <c r="AB20" s="21"/>
      <c r="AC20" s="1">
        <v>75</v>
      </c>
      <c r="AD20" s="20"/>
      <c r="AE20" s="20">
        <v>78</v>
      </c>
      <c r="AF20" s="20"/>
      <c r="AG20" s="20">
        <v>70</v>
      </c>
      <c r="AH20" s="20"/>
      <c r="AI20" s="20">
        <v>76</v>
      </c>
      <c r="AJ20" s="3"/>
      <c r="AK20" s="44">
        <f t="shared" si="4"/>
        <v>75</v>
      </c>
      <c r="AL20" s="45">
        <f t="shared" si="5"/>
        <v>74.25</v>
      </c>
      <c r="AM20" s="46">
        <f t="shared" si="6"/>
        <v>76.25</v>
      </c>
      <c r="AN20" s="47">
        <f t="shared" si="7"/>
        <v>74.75</v>
      </c>
      <c r="AO20" s="48">
        <f t="shared" si="8"/>
        <v>75.0625</v>
      </c>
      <c r="AP20" s="37"/>
      <c r="AR20" s="54" t="str">
        <f t="shared" si="9"/>
        <v/>
      </c>
      <c r="AS20" s="20"/>
      <c r="AT20" s="56">
        <f t="shared" si="10"/>
        <v>0</v>
      </c>
      <c r="AU20" s="57" t="str">
        <f t="shared" si="11"/>
        <v/>
      </c>
      <c r="AV20" s="54" t="str">
        <f t="shared" si="12"/>
        <v/>
      </c>
      <c r="AW20" s="20"/>
      <c r="AX20" s="56">
        <f t="shared" si="13"/>
        <v>0</v>
      </c>
      <c r="AY20" s="60" t="str">
        <f t="shared" si="14"/>
        <v/>
      </c>
      <c r="AZ20" s="54" t="str">
        <f t="shared" si="15"/>
        <v/>
      </c>
      <c r="BA20" s="21"/>
      <c r="BB20" s="62">
        <f t="shared" si="16"/>
        <v>75.0625</v>
      </c>
      <c r="BC20" s="64" t="str">
        <f t="shared" si="17"/>
        <v/>
      </c>
      <c r="BE20" s="20">
        <f t="shared" si="18"/>
        <v>76</v>
      </c>
      <c r="BF20" s="20">
        <f t="shared" si="19"/>
        <v>74.75</v>
      </c>
      <c r="BG20" s="89">
        <f t="shared" si="20"/>
        <v>74</v>
      </c>
      <c r="BH20" s="20">
        <f t="shared" si="21"/>
        <v>75.5</v>
      </c>
      <c r="BI20" s="20">
        <f t="shared" si="22"/>
        <v>75.0625</v>
      </c>
    </row>
    <row r="21" spans="1:61" x14ac:dyDescent="0.2">
      <c r="A21" s="29">
        <v>19</v>
      </c>
      <c r="B21" s="88" t="s">
        <v>130</v>
      </c>
      <c r="C21" s="69" t="s">
        <v>67</v>
      </c>
      <c r="D21" s="69" t="s">
        <v>68</v>
      </c>
      <c r="E21" s="19">
        <v>90</v>
      </c>
      <c r="F21" s="20"/>
      <c r="G21" s="20">
        <v>93</v>
      </c>
      <c r="H21" s="20"/>
      <c r="I21" s="20">
        <v>88</v>
      </c>
      <c r="J21" s="20"/>
      <c r="K21" s="20">
        <v>89</v>
      </c>
      <c r="L21" s="21"/>
      <c r="M21" s="19">
        <v>95</v>
      </c>
      <c r="N21" s="20"/>
      <c r="O21" s="20">
        <v>95</v>
      </c>
      <c r="P21" s="20"/>
      <c r="Q21" s="20">
        <v>90</v>
      </c>
      <c r="R21" s="20"/>
      <c r="S21" s="20">
        <v>91</v>
      </c>
      <c r="T21" s="21"/>
      <c r="U21" s="19">
        <v>90</v>
      </c>
      <c r="V21" s="20"/>
      <c r="W21" s="20">
        <v>90</v>
      </c>
      <c r="X21" s="20"/>
      <c r="Y21" s="20">
        <v>90</v>
      </c>
      <c r="Z21" s="20"/>
      <c r="AA21" s="20">
        <v>90</v>
      </c>
      <c r="AB21" s="21"/>
      <c r="AC21" s="1">
        <v>93</v>
      </c>
      <c r="AD21" s="20"/>
      <c r="AE21" s="20">
        <v>93</v>
      </c>
      <c r="AF21" s="20"/>
      <c r="AG21" s="20">
        <v>88</v>
      </c>
      <c r="AH21" s="20"/>
      <c r="AI21" s="20">
        <v>91</v>
      </c>
      <c r="AJ21" s="3"/>
      <c r="AK21" s="44">
        <f t="shared" si="4"/>
        <v>90</v>
      </c>
      <c r="AL21" s="45">
        <f t="shared" si="5"/>
        <v>92.75</v>
      </c>
      <c r="AM21" s="46">
        <f t="shared" si="6"/>
        <v>90</v>
      </c>
      <c r="AN21" s="47">
        <f t="shared" si="7"/>
        <v>91.25</v>
      </c>
      <c r="AO21" s="48">
        <f t="shared" si="8"/>
        <v>91</v>
      </c>
      <c r="AP21" s="37"/>
      <c r="AR21" s="54" t="str">
        <f t="shared" si="9"/>
        <v/>
      </c>
      <c r="AS21" s="20"/>
      <c r="AT21" s="56">
        <f t="shared" si="10"/>
        <v>0</v>
      </c>
      <c r="AU21" s="57" t="str">
        <f t="shared" si="11"/>
        <v/>
      </c>
      <c r="AV21" s="54" t="str">
        <f t="shared" si="12"/>
        <v/>
      </c>
      <c r="AW21" s="20"/>
      <c r="AX21" s="56">
        <f t="shared" si="13"/>
        <v>0</v>
      </c>
      <c r="AY21" s="60" t="str">
        <f t="shared" si="14"/>
        <v/>
      </c>
      <c r="AZ21" s="54" t="str">
        <f t="shared" si="15"/>
        <v/>
      </c>
      <c r="BA21" s="21"/>
      <c r="BB21" s="62">
        <f t="shared" si="16"/>
        <v>91</v>
      </c>
      <c r="BC21" s="64" t="str">
        <f t="shared" si="17"/>
        <v/>
      </c>
      <c r="BE21" s="20">
        <f t="shared" si="18"/>
        <v>92</v>
      </c>
      <c r="BF21" s="20">
        <f t="shared" si="19"/>
        <v>92.75</v>
      </c>
      <c r="BG21" s="89">
        <f t="shared" si="20"/>
        <v>89</v>
      </c>
      <c r="BH21" s="20">
        <f t="shared" si="21"/>
        <v>90.25</v>
      </c>
      <c r="BI21" s="20">
        <f t="shared" si="22"/>
        <v>91</v>
      </c>
    </row>
    <row r="22" spans="1:61" x14ac:dyDescent="0.2">
      <c r="A22" s="29">
        <v>20</v>
      </c>
      <c r="B22" s="88" t="s">
        <v>131</v>
      </c>
      <c r="C22" s="70" t="s">
        <v>69</v>
      </c>
      <c r="D22" s="70" t="s">
        <v>70</v>
      </c>
      <c r="E22" s="19">
        <v>80</v>
      </c>
      <c r="F22" s="20"/>
      <c r="G22" s="20">
        <v>75</v>
      </c>
      <c r="H22" s="20"/>
      <c r="I22" s="20">
        <v>78</v>
      </c>
      <c r="J22" s="20"/>
      <c r="K22" s="20">
        <v>76</v>
      </c>
      <c r="L22" s="21"/>
      <c r="M22" s="19">
        <v>85</v>
      </c>
      <c r="N22" s="20"/>
      <c r="O22" s="20">
        <v>75</v>
      </c>
      <c r="P22" s="20"/>
      <c r="Q22" s="20">
        <v>78</v>
      </c>
      <c r="R22" s="20"/>
      <c r="S22" s="20">
        <v>78</v>
      </c>
      <c r="T22" s="21"/>
      <c r="U22" s="19">
        <v>80</v>
      </c>
      <c r="V22" s="20"/>
      <c r="W22" s="20">
        <v>80</v>
      </c>
      <c r="X22" s="20"/>
      <c r="Y22" s="20">
        <v>78</v>
      </c>
      <c r="Z22" s="20"/>
      <c r="AA22" s="20">
        <v>78</v>
      </c>
      <c r="AB22" s="21"/>
      <c r="AC22" s="1">
        <v>85</v>
      </c>
      <c r="AD22" s="20"/>
      <c r="AE22" s="20">
        <v>80</v>
      </c>
      <c r="AF22" s="20"/>
      <c r="AG22" s="20">
        <v>80</v>
      </c>
      <c r="AH22" s="20"/>
      <c r="AI22" s="20">
        <v>75</v>
      </c>
      <c r="AJ22" s="3"/>
      <c r="AK22" s="44">
        <f t="shared" si="4"/>
        <v>77.25</v>
      </c>
      <c r="AL22" s="45">
        <f t="shared" si="5"/>
        <v>79</v>
      </c>
      <c r="AM22" s="46">
        <f t="shared" si="6"/>
        <v>79</v>
      </c>
      <c r="AN22" s="47">
        <f t="shared" si="7"/>
        <v>80</v>
      </c>
      <c r="AO22" s="48">
        <f t="shared" si="8"/>
        <v>78.8125</v>
      </c>
      <c r="AP22" s="37"/>
      <c r="AR22" s="54" t="str">
        <f t="shared" si="9"/>
        <v/>
      </c>
      <c r="AS22" s="20"/>
      <c r="AT22" s="56">
        <f t="shared" si="10"/>
        <v>0</v>
      </c>
      <c r="AU22" s="57" t="str">
        <f t="shared" si="11"/>
        <v/>
      </c>
      <c r="AV22" s="54" t="str">
        <f t="shared" si="12"/>
        <v/>
      </c>
      <c r="AW22" s="20"/>
      <c r="AX22" s="56">
        <f t="shared" si="13"/>
        <v>0</v>
      </c>
      <c r="AY22" s="60" t="str">
        <f t="shared" si="14"/>
        <v/>
      </c>
      <c r="AZ22" s="54" t="str">
        <f t="shared" si="15"/>
        <v/>
      </c>
      <c r="BA22" s="21"/>
      <c r="BB22" s="62">
        <f t="shared" si="16"/>
        <v>78.8125</v>
      </c>
      <c r="BC22" s="64" t="str">
        <f t="shared" si="17"/>
        <v/>
      </c>
      <c r="BE22" s="20">
        <f t="shared" si="18"/>
        <v>82.5</v>
      </c>
      <c r="BF22" s="20">
        <f t="shared" si="19"/>
        <v>77.5</v>
      </c>
      <c r="BG22" s="89">
        <f t="shared" si="20"/>
        <v>78.5</v>
      </c>
      <c r="BH22" s="20">
        <f t="shared" si="21"/>
        <v>76.75</v>
      </c>
      <c r="BI22" s="20">
        <f t="shared" si="22"/>
        <v>78.8125</v>
      </c>
    </row>
    <row r="23" spans="1:61" x14ac:dyDescent="0.2">
      <c r="A23" s="29">
        <v>21</v>
      </c>
      <c r="B23" s="88" t="s">
        <v>132</v>
      </c>
      <c r="C23" s="69" t="s">
        <v>71</v>
      </c>
      <c r="D23" s="69" t="s">
        <v>72</v>
      </c>
      <c r="E23" s="19"/>
      <c r="F23" s="19">
        <v>60</v>
      </c>
      <c r="G23" s="19">
        <v>60</v>
      </c>
      <c r="H23" s="20"/>
      <c r="I23" s="20">
        <v>65</v>
      </c>
      <c r="J23" s="20"/>
      <c r="K23" s="20">
        <v>63</v>
      </c>
      <c r="L23" s="20"/>
      <c r="M23" s="20">
        <v>68</v>
      </c>
      <c r="N23" s="19">
        <v>60</v>
      </c>
      <c r="O23" s="19">
        <v>60</v>
      </c>
      <c r="P23" s="20"/>
      <c r="Q23" s="20">
        <v>65</v>
      </c>
      <c r="R23" s="20"/>
      <c r="S23" s="20">
        <v>63</v>
      </c>
      <c r="T23" s="20"/>
      <c r="U23" s="20">
        <v>68</v>
      </c>
      <c r="V23" s="19">
        <v>60</v>
      </c>
      <c r="W23" s="19">
        <v>60</v>
      </c>
      <c r="X23" s="20"/>
      <c r="Y23" s="20">
        <v>65</v>
      </c>
      <c r="Z23" s="20"/>
      <c r="AA23" s="20">
        <v>63</v>
      </c>
      <c r="AB23" s="20"/>
      <c r="AC23" s="20">
        <v>68</v>
      </c>
      <c r="AD23" s="19">
        <v>60</v>
      </c>
      <c r="AE23" s="19">
        <v>60</v>
      </c>
      <c r="AF23" s="20"/>
      <c r="AG23" s="20">
        <v>65</v>
      </c>
      <c r="AH23" s="20"/>
      <c r="AI23" s="20">
        <v>63</v>
      </c>
      <c r="AJ23" s="20"/>
      <c r="AK23" s="20">
        <v>68</v>
      </c>
      <c r="AL23" s="45">
        <f t="shared" si="5"/>
        <v>15</v>
      </c>
      <c r="AM23" s="46">
        <f t="shared" si="6"/>
        <v>15</v>
      </c>
      <c r="AN23" s="47">
        <f t="shared" si="7"/>
        <v>48.25</v>
      </c>
      <c r="AO23" s="48">
        <f t="shared" si="8"/>
        <v>36.5625</v>
      </c>
      <c r="AP23" s="37"/>
      <c r="AR23" s="54">
        <f t="shared" si="9"/>
        <v>18.28125</v>
      </c>
      <c r="AS23" s="20"/>
      <c r="AT23" s="56">
        <f t="shared" si="10"/>
        <v>0</v>
      </c>
      <c r="AU23" s="57" t="str">
        <f t="shared" si="11"/>
        <v/>
      </c>
      <c r="AV23" s="54" t="str">
        <f t="shared" si="12"/>
        <v/>
      </c>
      <c r="AW23" s="20"/>
      <c r="AX23" s="56">
        <f t="shared" si="13"/>
        <v>0</v>
      </c>
      <c r="AY23" s="60" t="str">
        <f t="shared" si="14"/>
        <v/>
      </c>
      <c r="AZ23" s="54" t="str">
        <f t="shared" si="15"/>
        <v/>
      </c>
      <c r="BA23" s="21"/>
      <c r="BB23" s="62" t="str">
        <f t="shared" si="16"/>
        <v/>
      </c>
      <c r="BC23" s="64">
        <f t="shared" si="17"/>
        <v>36.5625</v>
      </c>
      <c r="BE23" s="20">
        <f t="shared" si="18"/>
        <v>51</v>
      </c>
      <c r="BF23" s="20">
        <f t="shared" si="19"/>
        <v>60</v>
      </c>
      <c r="BG23" s="89">
        <f t="shared" si="20"/>
        <v>65</v>
      </c>
      <c r="BH23" s="20">
        <f t="shared" si="21"/>
        <v>63</v>
      </c>
      <c r="BI23" s="20">
        <f t="shared" si="22"/>
        <v>59.75</v>
      </c>
    </row>
    <row r="24" spans="1:61" x14ac:dyDescent="0.2">
      <c r="A24" s="29">
        <v>22</v>
      </c>
      <c r="B24" s="88" t="s">
        <v>133</v>
      </c>
      <c r="C24" s="70" t="s">
        <v>73</v>
      </c>
      <c r="D24" s="70" t="s">
        <v>74</v>
      </c>
      <c r="E24" s="19"/>
      <c r="F24" s="19">
        <v>60</v>
      </c>
      <c r="G24" s="19">
        <v>60</v>
      </c>
      <c r="H24" s="20"/>
      <c r="I24" s="20">
        <v>65</v>
      </c>
      <c r="J24" s="20"/>
      <c r="K24" s="20">
        <v>63</v>
      </c>
      <c r="L24" s="20"/>
      <c r="M24" s="20">
        <v>68</v>
      </c>
      <c r="N24" s="19">
        <v>60</v>
      </c>
      <c r="O24" s="19">
        <v>60</v>
      </c>
      <c r="P24" s="20"/>
      <c r="Q24" s="20">
        <v>65</v>
      </c>
      <c r="R24" s="20"/>
      <c r="S24" s="20">
        <v>63</v>
      </c>
      <c r="T24" s="20"/>
      <c r="U24" s="20">
        <v>68</v>
      </c>
      <c r="V24" s="19">
        <v>60</v>
      </c>
      <c r="W24" s="19">
        <v>60</v>
      </c>
      <c r="X24" s="20"/>
      <c r="Y24" s="20">
        <v>65</v>
      </c>
      <c r="Z24" s="20"/>
      <c r="AA24" s="20">
        <v>63</v>
      </c>
      <c r="AB24" s="20"/>
      <c r="AC24" s="20">
        <v>68</v>
      </c>
      <c r="AD24" s="19">
        <v>60</v>
      </c>
      <c r="AE24" s="19">
        <v>60</v>
      </c>
      <c r="AF24" s="20"/>
      <c r="AG24" s="20">
        <v>65</v>
      </c>
      <c r="AH24" s="20"/>
      <c r="AI24" s="20">
        <v>63</v>
      </c>
      <c r="AJ24" s="20"/>
      <c r="AK24" s="20">
        <v>68</v>
      </c>
      <c r="AL24" s="45">
        <f t="shared" si="5"/>
        <v>15</v>
      </c>
      <c r="AM24" s="46">
        <f t="shared" si="6"/>
        <v>15</v>
      </c>
      <c r="AN24" s="47">
        <f t="shared" si="7"/>
        <v>48.25</v>
      </c>
      <c r="AO24" s="48">
        <f t="shared" si="8"/>
        <v>36.5625</v>
      </c>
      <c r="AP24" s="37"/>
      <c r="AR24" s="54">
        <f t="shared" si="9"/>
        <v>18.28125</v>
      </c>
      <c r="AS24" s="20"/>
      <c r="AT24" s="56">
        <f t="shared" si="10"/>
        <v>0</v>
      </c>
      <c r="AU24" s="57" t="str">
        <f t="shared" si="11"/>
        <v/>
      </c>
      <c r="AV24" s="54" t="str">
        <f t="shared" si="12"/>
        <v/>
      </c>
      <c r="AW24" s="20"/>
      <c r="AX24" s="56">
        <f t="shared" si="13"/>
        <v>0</v>
      </c>
      <c r="AY24" s="60" t="str">
        <f t="shared" si="14"/>
        <v/>
      </c>
      <c r="AZ24" s="54" t="str">
        <f t="shared" si="15"/>
        <v/>
      </c>
      <c r="BA24" s="21"/>
      <c r="BB24" s="62" t="str">
        <f t="shared" si="16"/>
        <v/>
      </c>
      <c r="BC24" s="64">
        <f t="shared" si="17"/>
        <v>36.5625</v>
      </c>
      <c r="BE24" s="20">
        <f t="shared" si="18"/>
        <v>51</v>
      </c>
      <c r="BF24" s="20">
        <f t="shared" si="19"/>
        <v>60</v>
      </c>
      <c r="BG24" s="89">
        <f t="shared" si="20"/>
        <v>65</v>
      </c>
      <c r="BH24" s="20">
        <f t="shared" si="21"/>
        <v>63</v>
      </c>
      <c r="BI24" s="20">
        <f t="shared" si="22"/>
        <v>59.75</v>
      </c>
    </row>
    <row r="25" spans="1:61" x14ac:dyDescent="0.2">
      <c r="A25" s="29">
        <v>23</v>
      </c>
      <c r="B25" s="88" t="s">
        <v>134</v>
      </c>
      <c r="C25" s="69" t="s">
        <v>75</v>
      </c>
      <c r="D25" s="69" t="s">
        <v>76</v>
      </c>
      <c r="E25" s="19">
        <v>80</v>
      </c>
      <c r="F25" s="20"/>
      <c r="G25" s="20">
        <v>82</v>
      </c>
      <c r="H25" s="20"/>
      <c r="I25" s="20">
        <v>80</v>
      </c>
      <c r="J25" s="20"/>
      <c r="K25" s="20">
        <v>81</v>
      </c>
      <c r="L25" s="21"/>
      <c r="M25" s="19">
        <v>81</v>
      </c>
      <c r="N25" s="20"/>
      <c r="O25" s="20">
        <v>82</v>
      </c>
      <c r="P25" s="20"/>
      <c r="Q25" s="20">
        <v>80</v>
      </c>
      <c r="R25" s="20"/>
      <c r="S25" s="20">
        <v>80</v>
      </c>
      <c r="T25" s="21"/>
      <c r="U25" s="19">
        <v>81</v>
      </c>
      <c r="V25" s="20"/>
      <c r="W25" s="20">
        <v>82</v>
      </c>
      <c r="X25" s="20"/>
      <c r="Y25" s="20">
        <v>80</v>
      </c>
      <c r="Z25" s="20"/>
      <c r="AA25" s="20">
        <v>80</v>
      </c>
      <c r="AB25" s="21"/>
      <c r="AC25" s="1">
        <v>84</v>
      </c>
      <c r="AD25" s="20"/>
      <c r="AE25" s="20">
        <v>86</v>
      </c>
      <c r="AF25" s="20"/>
      <c r="AG25" s="20">
        <v>86</v>
      </c>
      <c r="AH25" s="20"/>
      <c r="AI25" s="20">
        <v>87</v>
      </c>
      <c r="AJ25" s="3"/>
      <c r="AK25" s="44">
        <f t="shared" si="4"/>
        <v>80.75</v>
      </c>
      <c r="AL25" s="45">
        <f t="shared" si="5"/>
        <v>80.75</v>
      </c>
      <c r="AM25" s="46">
        <f t="shared" si="6"/>
        <v>80.75</v>
      </c>
      <c r="AN25" s="47">
        <f t="shared" si="7"/>
        <v>85.75</v>
      </c>
      <c r="AO25" s="48">
        <f t="shared" si="8"/>
        <v>82</v>
      </c>
      <c r="AP25" s="37"/>
      <c r="AR25" s="54" t="str">
        <f t="shared" si="9"/>
        <v/>
      </c>
      <c r="AS25" s="20"/>
      <c r="AT25" s="56">
        <f t="shared" si="10"/>
        <v>0</v>
      </c>
      <c r="AU25" s="57" t="str">
        <f t="shared" si="11"/>
        <v/>
      </c>
      <c r="AV25" s="54" t="str">
        <f t="shared" si="12"/>
        <v/>
      </c>
      <c r="AW25" s="20"/>
      <c r="AX25" s="56">
        <f t="shared" si="13"/>
        <v>0</v>
      </c>
      <c r="AY25" s="60" t="str">
        <f t="shared" si="14"/>
        <v/>
      </c>
      <c r="AZ25" s="54" t="str">
        <f t="shared" si="15"/>
        <v/>
      </c>
      <c r="BA25" s="21"/>
      <c r="BB25" s="62">
        <f t="shared" si="16"/>
        <v>82</v>
      </c>
      <c r="BC25" s="64" t="str">
        <f t="shared" si="17"/>
        <v/>
      </c>
      <c r="BE25" s="20">
        <f t="shared" si="18"/>
        <v>81.5</v>
      </c>
      <c r="BF25" s="20">
        <f t="shared" si="19"/>
        <v>83</v>
      </c>
      <c r="BG25" s="89">
        <f t="shared" si="20"/>
        <v>81.5</v>
      </c>
      <c r="BH25" s="20">
        <f t="shared" si="21"/>
        <v>82</v>
      </c>
      <c r="BI25" s="20">
        <f t="shared" si="22"/>
        <v>82</v>
      </c>
    </row>
    <row r="26" spans="1:61" x14ac:dyDescent="0.2">
      <c r="A26" s="29">
        <v>24</v>
      </c>
      <c r="B26" s="88" t="s">
        <v>135</v>
      </c>
      <c r="C26" s="70" t="s">
        <v>77</v>
      </c>
      <c r="D26" s="70" t="s">
        <v>78</v>
      </c>
      <c r="E26" s="19">
        <v>73</v>
      </c>
      <c r="F26" s="20"/>
      <c r="G26" s="20">
        <v>75</v>
      </c>
      <c r="H26" s="20"/>
      <c r="I26" s="20">
        <v>73</v>
      </c>
      <c r="J26" s="20"/>
      <c r="K26" s="20">
        <v>74</v>
      </c>
      <c r="L26" s="21"/>
      <c r="M26" s="19">
        <v>75</v>
      </c>
      <c r="N26" s="20"/>
      <c r="O26" s="20">
        <v>76</v>
      </c>
      <c r="P26" s="20"/>
      <c r="Q26" s="20">
        <v>74</v>
      </c>
      <c r="R26" s="20"/>
      <c r="S26" s="20">
        <v>75</v>
      </c>
      <c r="T26" s="21"/>
      <c r="U26" s="19">
        <v>73</v>
      </c>
      <c r="V26" s="20"/>
      <c r="W26" s="20">
        <v>70</v>
      </c>
      <c r="X26" s="20"/>
      <c r="Y26" s="20">
        <v>75</v>
      </c>
      <c r="Z26" s="20"/>
      <c r="AA26" s="20">
        <v>73</v>
      </c>
      <c r="AB26" s="21"/>
      <c r="AC26" s="1">
        <v>74</v>
      </c>
      <c r="AD26" s="20"/>
      <c r="AE26" s="20">
        <v>75</v>
      </c>
      <c r="AF26" s="20"/>
      <c r="AG26" s="20">
        <v>75</v>
      </c>
      <c r="AH26" s="20"/>
      <c r="AI26" s="20">
        <v>76</v>
      </c>
      <c r="AJ26" s="3"/>
      <c r="AK26" s="44">
        <f t="shared" si="4"/>
        <v>73.75</v>
      </c>
      <c r="AL26" s="45">
        <f t="shared" si="5"/>
        <v>75</v>
      </c>
      <c r="AM26" s="46">
        <f t="shared" si="6"/>
        <v>72.75</v>
      </c>
      <c r="AN26" s="47">
        <f t="shared" si="7"/>
        <v>75</v>
      </c>
      <c r="AO26" s="48">
        <f t="shared" si="8"/>
        <v>74.125</v>
      </c>
      <c r="AP26" s="37"/>
      <c r="AR26" s="54" t="str">
        <f t="shared" si="9"/>
        <v/>
      </c>
      <c r="AS26" s="20"/>
      <c r="AT26" s="56">
        <f t="shared" si="10"/>
        <v>0</v>
      </c>
      <c r="AU26" s="57" t="str">
        <f t="shared" si="11"/>
        <v/>
      </c>
      <c r="AV26" s="54" t="str">
        <f t="shared" si="12"/>
        <v/>
      </c>
      <c r="AW26" s="20"/>
      <c r="AX26" s="56">
        <f t="shared" si="13"/>
        <v>0</v>
      </c>
      <c r="AY26" s="60" t="str">
        <f t="shared" si="14"/>
        <v/>
      </c>
      <c r="AZ26" s="54" t="str">
        <f t="shared" si="15"/>
        <v/>
      </c>
      <c r="BA26" s="21"/>
      <c r="BB26" s="62">
        <f t="shared" si="16"/>
        <v>74.125</v>
      </c>
      <c r="BC26" s="64" t="str">
        <f t="shared" si="17"/>
        <v/>
      </c>
      <c r="BE26" s="20">
        <f t="shared" si="18"/>
        <v>73.75</v>
      </c>
      <c r="BF26" s="20">
        <f t="shared" si="19"/>
        <v>74</v>
      </c>
      <c r="BG26" s="89">
        <f t="shared" si="20"/>
        <v>74.25</v>
      </c>
      <c r="BH26" s="20">
        <f t="shared" si="21"/>
        <v>74.5</v>
      </c>
      <c r="BI26" s="20">
        <f t="shared" si="22"/>
        <v>74.125</v>
      </c>
    </row>
    <row r="27" spans="1:61" x14ac:dyDescent="0.2">
      <c r="A27" s="29">
        <v>25</v>
      </c>
      <c r="B27" s="88" t="s">
        <v>136</v>
      </c>
      <c r="C27" s="69" t="s">
        <v>79</v>
      </c>
      <c r="D27" s="69" t="s">
        <v>80</v>
      </c>
      <c r="E27" s="19"/>
      <c r="F27" s="19">
        <v>60</v>
      </c>
      <c r="G27" s="19">
        <v>60</v>
      </c>
      <c r="H27" s="20"/>
      <c r="I27" s="20">
        <v>65</v>
      </c>
      <c r="J27" s="20"/>
      <c r="K27" s="20">
        <v>63</v>
      </c>
      <c r="L27" s="20"/>
      <c r="M27" s="20">
        <v>68</v>
      </c>
      <c r="N27" s="19">
        <v>60</v>
      </c>
      <c r="O27" s="19">
        <v>60</v>
      </c>
      <c r="P27" s="20"/>
      <c r="Q27" s="20">
        <v>65</v>
      </c>
      <c r="R27" s="20"/>
      <c r="S27" s="20">
        <v>63</v>
      </c>
      <c r="T27" s="20"/>
      <c r="U27" s="20">
        <v>68</v>
      </c>
      <c r="V27" s="19">
        <v>60</v>
      </c>
      <c r="W27" s="19">
        <v>60</v>
      </c>
      <c r="X27" s="20"/>
      <c r="Y27" s="20">
        <v>65</v>
      </c>
      <c r="Z27" s="20"/>
      <c r="AA27" s="20">
        <v>63</v>
      </c>
      <c r="AB27" s="20"/>
      <c r="AC27" s="20">
        <v>68</v>
      </c>
      <c r="AD27" s="19">
        <v>60</v>
      </c>
      <c r="AE27" s="19">
        <v>60</v>
      </c>
      <c r="AF27" s="20"/>
      <c r="AG27" s="20">
        <v>65</v>
      </c>
      <c r="AH27" s="20"/>
      <c r="AI27" s="20">
        <v>63</v>
      </c>
      <c r="AJ27" s="20"/>
      <c r="AK27" s="20">
        <v>68</v>
      </c>
      <c r="AL27" s="45">
        <f t="shared" si="5"/>
        <v>15</v>
      </c>
      <c r="AM27" s="46">
        <f t="shared" si="6"/>
        <v>15</v>
      </c>
      <c r="AN27" s="47">
        <f t="shared" si="7"/>
        <v>48.25</v>
      </c>
      <c r="AO27" s="48">
        <f t="shared" si="8"/>
        <v>36.5625</v>
      </c>
      <c r="AP27" s="37"/>
      <c r="AR27" s="54">
        <f t="shared" si="9"/>
        <v>18.28125</v>
      </c>
      <c r="AS27" s="20"/>
      <c r="AT27" s="56">
        <f t="shared" si="10"/>
        <v>0</v>
      </c>
      <c r="AU27" s="57" t="str">
        <f t="shared" si="11"/>
        <v/>
      </c>
      <c r="AV27" s="54" t="str">
        <f t="shared" si="12"/>
        <v/>
      </c>
      <c r="AW27" s="20"/>
      <c r="AX27" s="56">
        <f t="shared" si="13"/>
        <v>0</v>
      </c>
      <c r="AY27" s="60" t="str">
        <f t="shared" si="14"/>
        <v/>
      </c>
      <c r="AZ27" s="54" t="str">
        <f t="shared" si="15"/>
        <v/>
      </c>
      <c r="BA27" s="21"/>
      <c r="BB27" s="62" t="str">
        <f t="shared" si="16"/>
        <v/>
      </c>
      <c r="BC27" s="64">
        <f t="shared" si="17"/>
        <v>36.5625</v>
      </c>
      <c r="BE27" s="20">
        <f t="shared" si="18"/>
        <v>51</v>
      </c>
      <c r="BF27" s="20">
        <f t="shared" si="19"/>
        <v>60</v>
      </c>
      <c r="BG27" s="89">
        <f t="shared" si="20"/>
        <v>65</v>
      </c>
      <c r="BH27" s="20">
        <f t="shared" si="21"/>
        <v>63</v>
      </c>
      <c r="BI27" s="20">
        <f t="shared" si="22"/>
        <v>59.75</v>
      </c>
    </row>
    <row r="28" spans="1:61" x14ac:dyDescent="0.2">
      <c r="A28" s="29">
        <v>26</v>
      </c>
      <c r="B28" s="88" t="s">
        <v>137</v>
      </c>
      <c r="C28" s="70" t="s">
        <v>81</v>
      </c>
      <c r="D28" s="70" t="s">
        <v>82</v>
      </c>
      <c r="E28" s="19">
        <v>98</v>
      </c>
      <c r="F28" s="20"/>
      <c r="G28" s="20">
        <v>97</v>
      </c>
      <c r="H28" s="20"/>
      <c r="I28" s="20">
        <v>90</v>
      </c>
      <c r="J28" s="20"/>
      <c r="K28" s="20">
        <v>95</v>
      </c>
      <c r="L28" s="21"/>
      <c r="M28" s="19">
        <v>99</v>
      </c>
      <c r="N28" s="20"/>
      <c r="O28" s="20">
        <v>98</v>
      </c>
      <c r="P28" s="20"/>
      <c r="Q28" s="20">
        <v>92</v>
      </c>
      <c r="R28" s="20"/>
      <c r="S28" s="20">
        <v>96</v>
      </c>
      <c r="T28" s="21"/>
      <c r="U28" s="19">
        <v>98</v>
      </c>
      <c r="V28" s="20"/>
      <c r="W28" s="20">
        <v>98</v>
      </c>
      <c r="X28" s="20"/>
      <c r="Y28" s="20">
        <v>92</v>
      </c>
      <c r="Z28" s="20"/>
      <c r="AA28" s="20">
        <v>97</v>
      </c>
      <c r="AB28" s="21"/>
      <c r="AC28" s="1">
        <v>99</v>
      </c>
      <c r="AD28" s="20"/>
      <c r="AE28" s="20">
        <v>99</v>
      </c>
      <c r="AF28" s="20"/>
      <c r="AG28" s="20">
        <v>90</v>
      </c>
      <c r="AH28" s="20"/>
      <c r="AI28" s="20">
        <v>85</v>
      </c>
      <c r="AJ28" s="3"/>
      <c r="AK28" s="44">
        <f t="shared" si="4"/>
        <v>95</v>
      </c>
      <c r="AL28" s="45">
        <f t="shared" si="5"/>
        <v>96.25</v>
      </c>
      <c r="AM28" s="46">
        <f t="shared" si="6"/>
        <v>96.25</v>
      </c>
      <c r="AN28" s="47">
        <f t="shared" si="7"/>
        <v>93.25</v>
      </c>
      <c r="AO28" s="48">
        <f t="shared" si="8"/>
        <v>95.1875</v>
      </c>
      <c r="AP28" s="37"/>
      <c r="AR28" s="54" t="str">
        <f t="shared" si="9"/>
        <v/>
      </c>
      <c r="AS28" s="20"/>
      <c r="AT28" s="56">
        <f t="shared" si="10"/>
        <v>0</v>
      </c>
      <c r="AU28" s="57" t="str">
        <f t="shared" si="11"/>
        <v/>
      </c>
      <c r="AV28" s="54" t="str">
        <f t="shared" si="12"/>
        <v/>
      </c>
      <c r="AW28" s="20"/>
      <c r="AX28" s="56">
        <f t="shared" si="13"/>
        <v>0</v>
      </c>
      <c r="AY28" s="60" t="str">
        <f t="shared" si="14"/>
        <v/>
      </c>
      <c r="AZ28" s="54" t="str">
        <f t="shared" si="15"/>
        <v/>
      </c>
      <c r="BA28" s="21"/>
      <c r="BB28" s="62">
        <f t="shared" si="16"/>
        <v>95.1875</v>
      </c>
      <c r="BC28" s="64" t="str">
        <f t="shared" si="17"/>
        <v/>
      </c>
      <c r="BE28" s="20">
        <f t="shared" si="18"/>
        <v>98.5</v>
      </c>
      <c r="BF28" s="20">
        <f t="shared" si="19"/>
        <v>98</v>
      </c>
      <c r="BG28" s="89">
        <f t="shared" si="20"/>
        <v>91</v>
      </c>
      <c r="BH28" s="20">
        <f t="shared" si="21"/>
        <v>93.25</v>
      </c>
      <c r="BI28" s="20">
        <f t="shared" si="22"/>
        <v>95.1875</v>
      </c>
    </row>
    <row r="29" spans="1:61" x14ac:dyDescent="0.2">
      <c r="A29" s="29">
        <v>27</v>
      </c>
      <c r="B29" s="88" t="s">
        <v>138</v>
      </c>
      <c r="C29" s="69" t="s">
        <v>83</v>
      </c>
      <c r="D29" s="69" t="s">
        <v>84</v>
      </c>
      <c r="E29" s="19">
        <v>88</v>
      </c>
      <c r="F29" s="20"/>
      <c r="G29" s="20">
        <v>80</v>
      </c>
      <c r="H29" s="20"/>
      <c r="I29" s="20">
        <v>81</v>
      </c>
      <c r="J29" s="20"/>
      <c r="K29" s="20">
        <v>80</v>
      </c>
      <c r="L29" s="21"/>
      <c r="M29" s="19">
        <v>80</v>
      </c>
      <c r="N29" s="20"/>
      <c r="O29" s="20">
        <v>81</v>
      </c>
      <c r="P29" s="20"/>
      <c r="Q29" s="20">
        <v>83</v>
      </c>
      <c r="R29" s="20"/>
      <c r="S29" s="20">
        <v>80</v>
      </c>
      <c r="T29" s="21"/>
      <c r="U29" s="19">
        <v>80</v>
      </c>
      <c r="V29" s="20"/>
      <c r="W29" s="20">
        <v>80</v>
      </c>
      <c r="X29" s="20"/>
      <c r="Y29" s="20">
        <v>81</v>
      </c>
      <c r="Z29" s="20"/>
      <c r="AA29" s="20">
        <v>81</v>
      </c>
      <c r="AB29" s="21"/>
      <c r="AC29" s="1">
        <v>80</v>
      </c>
      <c r="AD29" s="20"/>
      <c r="AE29" s="20">
        <v>80</v>
      </c>
      <c r="AF29" s="20"/>
      <c r="AG29" s="20">
        <v>83</v>
      </c>
      <c r="AH29" s="20"/>
      <c r="AI29" s="20">
        <v>82</v>
      </c>
      <c r="AJ29" s="3"/>
      <c r="AK29" s="44">
        <f t="shared" si="4"/>
        <v>82.25</v>
      </c>
      <c r="AL29" s="45">
        <f t="shared" si="5"/>
        <v>81</v>
      </c>
      <c r="AM29" s="46">
        <f t="shared" si="6"/>
        <v>80.5</v>
      </c>
      <c r="AN29" s="47">
        <f t="shared" si="7"/>
        <v>81.25</v>
      </c>
      <c r="AO29" s="48">
        <f t="shared" si="8"/>
        <v>81.25</v>
      </c>
      <c r="AP29" s="37"/>
      <c r="AR29" s="54" t="str">
        <f t="shared" si="9"/>
        <v/>
      </c>
      <c r="AS29" s="20"/>
      <c r="AT29" s="56">
        <f t="shared" si="10"/>
        <v>0</v>
      </c>
      <c r="AU29" s="57" t="str">
        <f t="shared" si="11"/>
        <v/>
      </c>
      <c r="AV29" s="54" t="str">
        <f t="shared" si="12"/>
        <v/>
      </c>
      <c r="AW29" s="20"/>
      <c r="AX29" s="56">
        <f t="shared" si="13"/>
        <v>0</v>
      </c>
      <c r="AY29" s="60" t="str">
        <f t="shared" si="14"/>
        <v/>
      </c>
      <c r="AZ29" s="54" t="str">
        <f t="shared" si="15"/>
        <v/>
      </c>
      <c r="BA29" s="21"/>
      <c r="BB29" s="62">
        <f t="shared" si="16"/>
        <v>81.25</v>
      </c>
      <c r="BC29" s="64" t="str">
        <f t="shared" si="17"/>
        <v/>
      </c>
      <c r="BE29" s="20">
        <f t="shared" si="18"/>
        <v>82</v>
      </c>
      <c r="BF29" s="20">
        <f t="shared" si="19"/>
        <v>80.25</v>
      </c>
      <c r="BG29" s="89">
        <f t="shared" si="20"/>
        <v>82</v>
      </c>
      <c r="BH29" s="20">
        <f t="shared" si="21"/>
        <v>80.75</v>
      </c>
      <c r="BI29" s="20">
        <f t="shared" si="22"/>
        <v>81.25</v>
      </c>
    </row>
    <row r="30" spans="1:61" x14ac:dyDescent="0.2">
      <c r="A30" s="29">
        <v>28</v>
      </c>
      <c r="B30" s="88" t="s">
        <v>139</v>
      </c>
      <c r="C30" s="70" t="s">
        <v>85</v>
      </c>
      <c r="D30" s="70" t="s">
        <v>86</v>
      </c>
      <c r="E30" s="19">
        <v>96</v>
      </c>
      <c r="F30" s="20"/>
      <c r="G30" s="20">
        <v>95</v>
      </c>
      <c r="H30" s="20"/>
      <c r="I30" s="20">
        <v>88</v>
      </c>
      <c r="J30" s="20"/>
      <c r="K30" s="20">
        <v>90</v>
      </c>
      <c r="L30" s="21"/>
      <c r="M30" s="19">
        <v>90</v>
      </c>
      <c r="N30" s="20"/>
      <c r="O30" s="20">
        <v>96</v>
      </c>
      <c r="P30" s="20"/>
      <c r="Q30" s="20">
        <v>90</v>
      </c>
      <c r="R30" s="20"/>
      <c r="S30" s="20">
        <v>88</v>
      </c>
      <c r="T30" s="21"/>
      <c r="U30" s="19">
        <v>90</v>
      </c>
      <c r="V30" s="20"/>
      <c r="W30" s="20">
        <v>90</v>
      </c>
      <c r="X30" s="20"/>
      <c r="Y30" s="20">
        <v>90</v>
      </c>
      <c r="Z30" s="20"/>
      <c r="AA30" s="20">
        <v>90</v>
      </c>
      <c r="AB30" s="21"/>
      <c r="AC30" s="1">
        <v>90</v>
      </c>
      <c r="AD30" s="20"/>
      <c r="AE30" s="20">
        <v>95</v>
      </c>
      <c r="AF30" s="20"/>
      <c r="AG30" s="20">
        <v>88</v>
      </c>
      <c r="AH30" s="20"/>
      <c r="AI30" s="20">
        <v>90</v>
      </c>
      <c r="AJ30" s="3"/>
      <c r="AK30" s="44">
        <f t="shared" si="4"/>
        <v>92.25</v>
      </c>
      <c r="AL30" s="45">
        <f t="shared" si="5"/>
        <v>91</v>
      </c>
      <c r="AM30" s="46">
        <f t="shared" si="6"/>
        <v>90</v>
      </c>
      <c r="AN30" s="47">
        <f t="shared" si="7"/>
        <v>90.75</v>
      </c>
      <c r="AO30" s="48">
        <f t="shared" si="8"/>
        <v>91</v>
      </c>
      <c r="AP30" s="37"/>
      <c r="AR30" s="54" t="str">
        <f t="shared" si="9"/>
        <v/>
      </c>
      <c r="AS30" s="20"/>
      <c r="AT30" s="56">
        <f t="shared" si="10"/>
        <v>0</v>
      </c>
      <c r="AU30" s="57" t="str">
        <f t="shared" si="11"/>
        <v/>
      </c>
      <c r="AV30" s="54" t="str">
        <f t="shared" si="12"/>
        <v/>
      </c>
      <c r="AW30" s="20"/>
      <c r="AX30" s="56">
        <f t="shared" si="13"/>
        <v>0</v>
      </c>
      <c r="AY30" s="60" t="str">
        <f t="shared" si="14"/>
        <v/>
      </c>
      <c r="AZ30" s="54" t="str">
        <f t="shared" si="15"/>
        <v/>
      </c>
      <c r="BA30" s="21"/>
      <c r="BB30" s="62">
        <f t="shared" si="16"/>
        <v>91</v>
      </c>
      <c r="BC30" s="64" t="str">
        <f t="shared" si="17"/>
        <v/>
      </c>
      <c r="BE30" s="20">
        <f t="shared" si="18"/>
        <v>91.5</v>
      </c>
      <c r="BF30" s="20">
        <f t="shared" si="19"/>
        <v>94</v>
      </c>
      <c r="BG30" s="89">
        <f t="shared" si="20"/>
        <v>89</v>
      </c>
      <c r="BH30" s="20">
        <f t="shared" si="21"/>
        <v>89.5</v>
      </c>
      <c r="BI30" s="20">
        <f t="shared" si="22"/>
        <v>91</v>
      </c>
    </row>
    <row r="31" spans="1:61" x14ac:dyDescent="0.2">
      <c r="A31" s="29">
        <v>29</v>
      </c>
      <c r="B31" s="88" t="s">
        <v>140</v>
      </c>
      <c r="C31" s="69" t="s">
        <v>87</v>
      </c>
      <c r="D31" s="69" t="s">
        <v>88</v>
      </c>
      <c r="E31" s="19"/>
      <c r="F31" s="19">
        <v>60</v>
      </c>
      <c r="G31" s="19">
        <v>60</v>
      </c>
      <c r="H31" s="20"/>
      <c r="I31" s="20">
        <v>65</v>
      </c>
      <c r="J31" s="20"/>
      <c r="K31" s="20">
        <v>63</v>
      </c>
      <c r="L31" s="20"/>
      <c r="M31" s="20">
        <v>68</v>
      </c>
      <c r="N31" s="19">
        <v>60</v>
      </c>
      <c r="O31" s="19">
        <v>60</v>
      </c>
      <c r="P31" s="20"/>
      <c r="Q31" s="20">
        <v>65</v>
      </c>
      <c r="R31" s="20"/>
      <c r="S31" s="20">
        <v>63</v>
      </c>
      <c r="T31" s="20"/>
      <c r="U31" s="20">
        <v>68</v>
      </c>
      <c r="V31" s="19">
        <v>60</v>
      </c>
      <c r="W31" s="19">
        <v>60</v>
      </c>
      <c r="X31" s="20"/>
      <c r="Y31" s="20">
        <v>65</v>
      </c>
      <c r="Z31" s="20"/>
      <c r="AA31" s="20">
        <v>63</v>
      </c>
      <c r="AB31" s="20"/>
      <c r="AC31" s="20">
        <v>68</v>
      </c>
      <c r="AD31" s="19">
        <v>60</v>
      </c>
      <c r="AE31" s="19">
        <v>60</v>
      </c>
      <c r="AF31" s="20"/>
      <c r="AG31" s="20">
        <v>65</v>
      </c>
      <c r="AH31" s="20"/>
      <c r="AI31" s="20">
        <v>63</v>
      </c>
      <c r="AJ31" s="20"/>
      <c r="AK31" s="20">
        <v>68</v>
      </c>
      <c r="AL31" s="45">
        <f t="shared" si="5"/>
        <v>15</v>
      </c>
      <c r="AM31" s="46">
        <f t="shared" si="6"/>
        <v>15</v>
      </c>
      <c r="AN31" s="47">
        <f t="shared" si="7"/>
        <v>48.25</v>
      </c>
      <c r="AO31" s="48">
        <f t="shared" si="8"/>
        <v>36.5625</v>
      </c>
      <c r="AP31" s="37"/>
      <c r="AR31" s="54">
        <f t="shared" si="9"/>
        <v>18.28125</v>
      </c>
      <c r="AS31" s="20"/>
      <c r="AT31" s="56">
        <f t="shared" si="10"/>
        <v>0</v>
      </c>
      <c r="AU31" s="57" t="str">
        <f t="shared" si="11"/>
        <v/>
      </c>
      <c r="AV31" s="54" t="str">
        <f t="shared" si="12"/>
        <v/>
      </c>
      <c r="AW31" s="20"/>
      <c r="AX31" s="56">
        <f t="shared" si="13"/>
        <v>0</v>
      </c>
      <c r="AY31" s="60" t="str">
        <f t="shared" si="14"/>
        <v/>
      </c>
      <c r="AZ31" s="54" t="str">
        <f t="shared" si="15"/>
        <v/>
      </c>
      <c r="BA31" s="21"/>
      <c r="BB31" s="62" t="str">
        <f t="shared" si="16"/>
        <v/>
      </c>
      <c r="BC31" s="64">
        <f t="shared" si="17"/>
        <v>36.5625</v>
      </c>
      <c r="BE31" s="20">
        <f t="shared" si="18"/>
        <v>51</v>
      </c>
      <c r="BF31" s="20">
        <f t="shared" si="19"/>
        <v>60</v>
      </c>
      <c r="BG31" s="89">
        <f t="shared" si="20"/>
        <v>65</v>
      </c>
      <c r="BH31" s="20">
        <f t="shared" si="21"/>
        <v>63</v>
      </c>
      <c r="BI31" s="20">
        <f t="shared" si="22"/>
        <v>59.75</v>
      </c>
    </row>
    <row r="32" spans="1:61" x14ac:dyDescent="0.2">
      <c r="A32" s="29">
        <v>30</v>
      </c>
      <c r="B32" s="88" t="s">
        <v>141</v>
      </c>
      <c r="C32" s="70" t="s">
        <v>89</v>
      </c>
      <c r="D32" s="70" t="s">
        <v>90</v>
      </c>
      <c r="E32" s="19">
        <v>78</v>
      </c>
      <c r="F32" s="20"/>
      <c r="G32" s="20">
        <v>82</v>
      </c>
      <c r="H32" s="20"/>
      <c r="I32" s="20">
        <v>75</v>
      </c>
      <c r="J32" s="20"/>
      <c r="K32" s="20">
        <v>80</v>
      </c>
      <c r="L32" s="21"/>
      <c r="M32" s="19">
        <v>81</v>
      </c>
      <c r="N32" s="20"/>
      <c r="O32" s="20">
        <v>79</v>
      </c>
      <c r="P32" s="20"/>
      <c r="Q32" s="20">
        <v>80</v>
      </c>
      <c r="R32" s="20"/>
      <c r="S32" s="20">
        <v>80</v>
      </c>
      <c r="T32" s="21"/>
      <c r="U32" s="19">
        <v>81</v>
      </c>
      <c r="V32" s="20"/>
      <c r="W32" s="20">
        <v>82</v>
      </c>
      <c r="X32" s="20"/>
      <c r="Y32" s="20">
        <v>76</v>
      </c>
      <c r="Z32" s="20"/>
      <c r="AA32" s="20">
        <v>76</v>
      </c>
      <c r="AB32" s="21"/>
      <c r="AC32" s="1">
        <v>78</v>
      </c>
      <c r="AD32" s="20"/>
      <c r="AE32" s="20">
        <v>76</v>
      </c>
      <c r="AF32" s="20"/>
      <c r="AG32" s="20">
        <v>75</v>
      </c>
      <c r="AH32" s="20"/>
      <c r="AI32" s="20">
        <v>75</v>
      </c>
      <c r="AJ32" s="3"/>
      <c r="AK32" s="44">
        <f t="shared" si="4"/>
        <v>78.75</v>
      </c>
      <c r="AL32" s="45">
        <f t="shared" si="5"/>
        <v>80</v>
      </c>
      <c r="AM32" s="46">
        <f t="shared" si="6"/>
        <v>78.75</v>
      </c>
      <c r="AN32" s="47">
        <f t="shared" si="7"/>
        <v>76</v>
      </c>
      <c r="AO32" s="48">
        <f t="shared" si="8"/>
        <v>78.375</v>
      </c>
      <c r="AP32" s="37"/>
      <c r="AR32" s="54" t="str">
        <f t="shared" si="9"/>
        <v/>
      </c>
      <c r="AS32" s="20"/>
      <c r="AT32" s="56">
        <f t="shared" si="10"/>
        <v>0</v>
      </c>
      <c r="AU32" s="57" t="str">
        <f t="shared" si="11"/>
        <v/>
      </c>
      <c r="AV32" s="54" t="str">
        <f t="shared" si="12"/>
        <v/>
      </c>
      <c r="AW32" s="20"/>
      <c r="AX32" s="56">
        <f t="shared" si="13"/>
        <v>0</v>
      </c>
      <c r="AY32" s="60" t="str">
        <f t="shared" si="14"/>
        <v/>
      </c>
      <c r="AZ32" s="54" t="str">
        <f t="shared" si="15"/>
        <v/>
      </c>
      <c r="BA32" s="21"/>
      <c r="BB32" s="62">
        <f t="shared" si="16"/>
        <v>78.375</v>
      </c>
      <c r="BC32" s="64" t="str">
        <f t="shared" si="17"/>
        <v/>
      </c>
      <c r="BE32" s="20">
        <f t="shared" si="18"/>
        <v>79.5</v>
      </c>
      <c r="BF32" s="20">
        <f t="shared" si="19"/>
        <v>79.75</v>
      </c>
      <c r="BG32" s="89">
        <f t="shared" si="20"/>
        <v>76.5</v>
      </c>
      <c r="BH32" s="20">
        <f t="shared" si="21"/>
        <v>77.75</v>
      </c>
      <c r="BI32" s="20">
        <f t="shared" si="22"/>
        <v>78.375</v>
      </c>
    </row>
    <row r="33" spans="1:61" x14ac:dyDescent="0.2">
      <c r="A33" s="29">
        <v>31</v>
      </c>
      <c r="B33" s="88" t="s">
        <v>142</v>
      </c>
      <c r="C33" s="69" t="s">
        <v>91</v>
      </c>
      <c r="D33" s="69" t="s">
        <v>92</v>
      </c>
      <c r="E33" s="19">
        <v>80</v>
      </c>
      <c r="F33" s="20"/>
      <c r="G33" s="20">
        <v>80</v>
      </c>
      <c r="H33" s="20"/>
      <c r="I33" s="20">
        <v>80</v>
      </c>
      <c r="J33" s="20"/>
      <c r="K33" s="20">
        <v>86</v>
      </c>
      <c r="L33" s="21"/>
      <c r="M33" s="19">
        <v>81</v>
      </c>
      <c r="N33" s="20"/>
      <c r="O33" s="20">
        <v>81</v>
      </c>
      <c r="P33" s="20"/>
      <c r="Q33" s="20">
        <v>81</v>
      </c>
      <c r="R33" s="20"/>
      <c r="S33" s="20">
        <v>87</v>
      </c>
      <c r="T33" s="21"/>
      <c r="U33" s="19">
        <v>80</v>
      </c>
      <c r="V33" s="20"/>
      <c r="W33" s="20">
        <v>80</v>
      </c>
      <c r="X33" s="20"/>
      <c r="Y33" s="20">
        <v>80</v>
      </c>
      <c r="Z33" s="20"/>
      <c r="AA33" s="20">
        <v>88</v>
      </c>
      <c r="AB33" s="21"/>
      <c r="AC33" s="1">
        <v>80</v>
      </c>
      <c r="AD33" s="20"/>
      <c r="AE33" s="20">
        <v>81</v>
      </c>
      <c r="AF33" s="20"/>
      <c r="AG33" s="20">
        <v>81</v>
      </c>
      <c r="AH33" s="20"/>
      <c r="AI33" s="20">
        <v>87</v>
      </c>
      <c r="AJ33" s="3"/>
      <c r="AK33" s="44">
        <f t="shared" si="4"/>
        <v>81.5</v>
      </c>
      <c r="AL33" s="45">
        <f t="shared" si="5"/>
        <v>82.5</v>
      </c>
      <c r="AM33" s="46">
        <f t="shared" si="6"/>
        <v>82</v>
      </c>
      <c r="AN33" s="47">
        <f t="shared" si="7"/>
        <v>82.25</v>
      </c>
      <c r="AO33" s="48">
        <f t="shared" si="8"/>
        <v>82.0625</v>
      </c>
      <c r="AP33" s="37"/>
      <c r="AR33" s="54" t="str">
        <f t="shared" si="9"/>
        <v/>
      </c>
      <c r="AS33" s="20"/>
      <c r="AT33" s="56">
        <f t="shared" si="10"/>
        <v>0</v>
      </c>
      <c r="AU33" s="57" t="str">
        <f t="shared" si="11"/>
        <v/>
      </c>
      <c r="AV33" s="54" t="str">
        <f t="shared" si="12"/>
        <v/>
      </c>
      <c r="AW33" s="20"/>
      <c r="AX33" s="56">
        <f t="shared" si="13"/>
        <v>0</v>
      </c>
      <c r="AY33" s="60" t="str">
        <f t="shared" si="14"/>
        <v/>
      </c>
      <c r="AZ33" s="54" t="str">
        <f t="shared" si="15"/>
        <v/>
      </c>
      <c r="BA33" s="21"/>
      <c r="BB33" s="62">
        <f t="shared" si="16"/>
        <v>82.0625</v>
      </c>
      <c r="BC33" s="64" t="str">
        <f t="shared" si="17"/>
        <v/>
      </c>
      <c r="BE33" s="20">
        <f t="shared" si="18"/>
        <v>80.25</v>
      </c>
      <c r="BF33" s="20">
        <f t="shared" si="19"/>
        <v>80.5</v>
      </c>
      <c r="BG33" s="89">
        <f t="shared" si="20"/>
        <v>80.5</v>
      </c>
      <c r="BH33" s="20">
        <f t="shared" si="21"/>
        <v>87</v>
      </c>
      <c r="BI33" s="20">
        <f t="shared" si="22"/>
        <v>82.0625</v>
      </c>
    </row>
    <row r="34" spans="1:61" x14ac:dyDescent="0.2">
      <c r="A34" s="29">
        <v>32</v>
      </c>
      <c r="B34" s="88" t="s">
        <v>143</v>
      </c>
      <c r="C34" s="70" t="s">
        <v>93</v>
      </c>
      <c r="D34" s="70" t="s">
        <v>94</v>
      </c>
      <c r="E34" s="19">
        <v>80</v>
      </c>
      <c r="F34" s="20"/>
      <c r="G34" s="20">
        <v>85</v>
      </c>
      <c r="H34" s="20"/>
      <c r="I34" s="20">
        <v>85</v>
      </c>
      <c r="J34" s="20"/>
      <c r="K34" s="20">
        <v>80</v>
      </c>
      <c r="L34" s="21"/>
      <c r="M34" s="19">
        <v>78</v>
      </c>
      <c r="N34" s="20"/>
      <c r="O34" s="20">
        <v>80</v>
      </c>
      <c r="P34" s="20"/>
      <c r="Q34" s="20">
        <v>82</v>
      </c>
      <c r="R34" s="20"/>
      <c r="S34" s="20">
        <v>80</v>
      </c>
      <c r="T34" s="21"/>
      <c r="U34" s="19">
        <v>80</v>
      </c>
      <c r="V34" s="20"/>
      <c r="W34" s="20">
        <v>81</v>
      </c>
      <c r="X34" s="20"/>
      <c r="Y34" s="20">
        <v>80</v>
      </c>
      <c r="Z34" s="20"/>
      <c r="AA34" s="20">
        <v>82</v>
      </c>
      <c r="AB34" s="21"/>
      <c r="AC34" s="1">
        <v>80</v>
      </c>
      <c r="AD34" s="20"/>
      <c r="AE34" s="20">
        <v>81</v>
      </c>
      <c r="AF34" s="20"/>
      <c r="AG34" s="20">
        <v>81</v>
      </c>
      <c r="AH34" s="20"/>
      <c r="AI34" s="20">
        <v>80</v>
      </c>
      <c r="AJ34" s="3"/>
      <c r="AK34" s="44">
        <f t="shared" si="4"/>
        <v>82.5</v>
      </c>
      <c r="AL34" s="45">
        <f t="shared" si="5"/>
        <v>80</v>
      </c>
      <c r="AM34" s="46">
        <f t="shared" si="6"/>
        <v>80.75</v>
      </c>
      <c r="AN34" s="47">
        <f t="shared" si="7"/>
        <v>80.5</v>
      </c>
      <c r="AO34" s="48">
        <f t="shared" si="8"/>
        <v>80.9375</v>
      </c>
      <c r="AP34" s="37"/>
      <c r="AR34" s="54" t="str">
        <f t="shared" si="9"/>
        <v/>
      </c>
      <c r="AS34" s="20"/>
      <c r="AT34" s="56">
        <f t="shared" si="10"/>
        <v>0</v>
      </c>
      <c r="AU34" s="57" t="str">
        <f t="shared" si="11"/>
        <v/>
      </c>
      <c r="AV34" s="54" t="str">
        <f t="shared" si="12"/>
        <v/>
      </c>
      <c r="AW34" s="20"/>
      <c r="AX34" s="56">
        <f t="shared" si="13"/>
        <v>0</v>
      </c>
      <c r="AY34" s="60" t="str">
        <f t="shared" si="14"/>
        <v/>
      </c>
      <c r="AZ34" s="54" t="str">
        <f t="shared" si="15"/>
        <v/>
      </c>
      <c r="BA34" s="21"/>
      <c r="BB34" s="62">
        <f t="shared" si="16"/>
        <v>80.9375</v>
      </c>
      <c r="BC34" s="64" t="str">
        <f t="shared" si="17"/>
        <v/>
      </c>
      <c r="BE34" s="20">
        <f t="shared" si="18"/>
        <v>79.5</v>
      </c>
      <c r="BF34" s="20">
        <f t="shared" si="19"/>
        <v>81.75</v>
      </c>
      <c r="BG34" s="89">
        <f t="shared" si="20"/>
        <v>82</v>
      </c>
      <c r="BH34" s="20">
        <f t="shared" si="21"/>
        <v>80.5</v>
      </c>
      <c r="BI34" s="20">
        <f t="shared" si="22"/>
        <v>80.9375</v>
      </c>
    </row>
    <row r="35" spans="1:61" x14ac:dyDescent="0.2">
      <c r="A35" s="29">
        <v>33</v>
      </c>
      <c r="B35" s="88" t="s">
        <v>144</v>
      </c>
      <c r="C35" s="71" t="s">
        <v>95</v>
      </c>
      <c r="D35" s="71" t="s">
        <v>96</v>
      </c>
      <c r="E35" s="19">
        <v>90</v>
      </c>
      <c r="F35" s="20"/>
      <c r="G35" s="20">
        <v>88</v>
      </c>
      <c r="H35" s="20"/>
      <c r="I35" s="20">
        <v>90</v>
      </c>
      <c r="J35" s="20"/>
      <c r="K35" s="20">
        <v>90</v>
      </c>
      <c r="L35" s="21"/>
      <c r="M35" s="19">
        <v>95</v>
      </c>
      <c r="N35" s="20"/>
      <c r="O35" s="20">
        <v>90</v>
      </c>
      <c r="P35" s="20"/>
      <c r="Q35" s="20">
        <v>91</v>
      </c>
      <c r="R35" s="20"/>
      <c r="S35" s="20">
        <v>90</v>
      </c>
      <c r="T35" s="21"/>
      <c r="U35" s="19">
        <v>90</v>
      </c>
      <c r="V35" s="20"/>
      <c r="W35" s="20">
        <v>90</v>
      </c>
      <c r="X35" s="20"/>
      <c r="Y35" s="20">
        <v>90</v>
      </c>
      <c r="Z35" s="20"/>
      <c r="AA35" s="20">
        <v>94</v>
      </c>
      <c r="AB35" s="21"/>
      <c r="AC35" s="1">
        <v>90</v>
      </c>
      <c r="AD35" s="20"/>
      <c r="AE35" s="20">
        <v>88</v>
      </c>
      <c r="AF35" s="20"/>
      <c r="AG35" s="20">
        <v>91</v>
      </c>
      <c r="AH35" s="20"/>
      <c r="AI35" s="20">
        <v>94</v>
      </c>
      <c r="AJ35" s="3"/>
      <c r="AK35" s="44">
        <f t="shared" si="4"/>
        <v>89.5</v>
      </c>
      <c r="AL35" s="45">
        <f t="shared" si="5"/>
        <v>91.5</v>
      </c>
      <c r="AM35" s="46">
        <f t="shared" si="6"/>
        <v>91</v>
      </c>
      <c r="AN35" s="47">
        <f t="shared" si="7"/>
        <v>90.75</v>
      </c>
      <c r="AO35" s="48">
        <f t="shared" si="8"/>
        <v>90.6875</v>
      </c>
      <c r="AP35" s="37"/>
      <c r="AR35" s="54" t="str">
        <f t="shared" si="9"/>
        <v/>
      </c>
      <c r="AS35" s="20"/>
      <c r="AT35" s="56">
        <f t="shared" si="10"/>
        <v>0</v>
      </c>
      <c r="AU35" s="57" t="str">
        <f t="shared" si="11"/>
        <v/>
      </c>
      <c r="AV35" s="54" t="str">
        <f t="shared" si="12"/>
        <v/>
      </c>
      <c r="AW35" s="20"/>
      <c r="AX35" s="56">
        <f t="shared" si="13"/>
        <v>0</v>
      </c>
      <c r="AY35" s="60" t="str">
        <f t="shared" si="14"/>
        <v/>
      </c>
      <c r="AZ35" s="54" t="str">
        <f t="shared" si="15"/>
        <v/>
      </c>
      <c r="BA35" s="21"/>
      <c r="BB35" s="62">
        <f t="shared" si="16"/>
        <v>90.6875</v>
      </c>
      <c r="BC35" s="64" t="str">
        <f t="shared" si="17"/>
        <v/>
      </c>
      <c r="BE35" s="20">
        <f t="shared" si="18"/>
        <v>91.25</v>
      </c>
      <c r="BF35" s="20">
        <f t="shared" si="19"/>
        <v>89</v>
      </c>
      <c r="BG35" s="89">
        <f t="shared" si="20"/>
        <v>90.5</v>
      </c>
      <c r="BH35" s="20">
        <f t="shared" si="21"/>
        <v>92</v>
      </c>
      <c r="BI35" s="20">
        <f t="shared" si="22"/>
        <v>90.6875</v>
      </c>
    </row>
    <row r="36" spans="1:61" x14ac:dyDescent="0.2">
      <c r="A36" s="29">
        <v>34</v>
      </c>
      <c r="B36" s="88" t="s">
        <v>145</v>
      </c>
      <c r="C36" s="70" t="s">
        <v>97</v>
      </c>
      <c r="D36" s="70" t="s">
        <v>98</v>
      </c>
      <c r="E36" s="19"/>
      <c r="F36" s="19">
        <v>60</v>
      </c>
      <c r="G36" s="19">
        <v>60</v>
      </c>
      <c r="H36" s="20"/>
      <c r="I36" s="20">
        <v>65</v>
      </c>
      <c r="J36" s="20"/>
      <c r="K36" s="20">
        <v>63</v>
      </c>
      <c r="L36" s="20"/>
      <c r="M36" s="20">
        <v>68</v>
      </c>
      <c r="N36" s="19">
        <v>60</v>
      </c>
      <c r="O36" s="19">
        <v>60</v>
      </c>
      <c r="P36" s="20"/>
      <c r="Q36" s="20">
        <v>65</v>
      </c>
      <c r="R36" s="20"/>
      <c r="S36" s="20">
        <v>63</v>
      </c>
      <c r="T36" s="20"/>
      <c r="U36" s="20">
        <v>68</v>
      </c>
      <c r="V36" s="19">
        <v>60</v>
      </c>
      <c r="W36" s="19">
        <v>60</v>
      </c>
      <c r="X36" s="20"/>
      <c r="Y36" s="20">
        <v>65</v>
      </c>
      <c r="Z36" s="20"/>
      <c r="AA36" s="20">
        <v>63</v>
      </c>
      <c r="AB36" s="20"/>
      <c r="AC36" s="20">
        <v>68</v>
      </c>
      <c r="AD36" s="19">
        <v>60</v>
      </c>
      <c r="AE36" s="19">
        <v>60</v>
      </c>
      <c r="AF36" s="20"/>
      <c r="AG36" s="20">
        <v>65</v>
      </c>
      <c r="AH36" s="20"/>
      <c r="AI36" s="20">
        <v>63</v>
      </c>
      <c r="AJ36" s="20"/>
      <c r="AK36" s="20">
        <v>68</v>
      </c>
      <c r="AL36" s="45">
        <f t="shared" si="5"/>
        <v>15</v>
      </c>
      <c r="AM36" s="46">
        <f t="shared" si="6"/>
        <v>15</v>
      </c>
      <c r="AN36" s="47">
        <f t="shared" si="7"/>
        <v>48.25</v>
      </c>
      <c r="AO36" s="48">
        <f t="shared" si="8"/>
        <v>36.5625</v>
      </c>
      <c r="AP36" s="37"/>
      <c r="AR36" s="54">
        <f t="shared" si="9"/>
        <v>18.28125</v>
      </c>
      <c r="AS36" s="20"/>
      <c r="AT36" s="56">
        <f t="shared" si="10"/>
        <v>0</v>
      </c>
      <c r="AU36" s="57" t="str">
        <f t="shared" si="11"/>
        <v/>
      </c>
      <c r="AV36" s="54" t="str">
        <f t="shared" si="12"/>
        <v/>
      </c>
      <c r="AW36" s="20"/>
      <c r="AX36" s="56">
        <f t="shared" si="13"/>
        <v>0</v>
      </c>
      <c r="AY36" s="60" t="str">
        <f t="shared" si="14"/>
        <v/>
      </c>
      <c r="AZ36" s="54" t="str">
        <f t="shared" si="15"/>
        <v/>
      </c>
      <c r="BA36" s="21"/>
      <c r="BB36" s="62" t="str">
        <f t="shared" si="16"/>
        <v/>
      </c>
      <c r="BC36" s="64">
        <f t="shared" si="17"/>
        <v>36.5625</v>
      </c>
      <c r="BE36" s="20">
        <f t="shared" si="18"/>
        <v>51</v>
      </c>
      <c r="BF36" s="20">
        <f t="shared" si="19"/>
        <v>60</v>
      </c>
      <c r="BG36" s="89">
        <f t="shared" si="20"/>
        <v>65</v>
      </c>
      <c r="BH36" s="20">
        <f t="shared" si="21"/>
        <v>63</v>
      </c>
      <c r="BI36" s="20">
        <f t="shared" si="22"/>
        <v>59.75</v>
      </c>
    </row>
    <row r="37" spans="1:61" x14ac:dyDescent="0.2">
      <c r="A37" s="29">
        <v>35</v>
      </c>
      <c r="B37" s="88" t="s">
        <v>146</v>
      </c>
      <c r="C37" s="69" t="s">
        <v>99</v>
      </c>
      <c r="D37" s="69" t="s">
        <v>100</v>
      </c>
      <c r="E37" s="19">
        <v>80</v>
      </c>
      <c r="F37" s="20"/>
      <c r="G37" s="20">
        <v>85</v>
      </c>
      <c r="H37" s="20"/>
      <c r="I37" s="20">
        <v>80</v>
      </c>
      <c r="J37" s="20"/>
      <c r="K37" s="20">
        <v>87</v>
      </c>
      <c r="L37" s="21"/>
      <c r="M37" s="19">
        <v>81</v>
      </c>
      <c r="N37" s="20"/>
      <c r="O37" s="20">
        <v>84</v>
      </c>
      <c r="P37" s="20"/>
      <c r="Q37" s="20">
        <v>81</v>
      </c>
      <c r="R37" s="20"/>
      <c r="S37" s="20">
        <v>87</v>
      </c>
      <c r="T37" s="3"/>
      <c r="U37" s="19">
        <v>80</v>
      </c>
      <c r="V37" s="20"/>
      <c r="W37" s="20">
        <v>80</v>
      </c>
      <c r="X37" s="20"/>
      <c r="Y37" s="20">
        <v>82</v>
      </c>
      <c r="Z37" s="20"/>
      <c r="AA37" s="20">
        <v>83</v>
      </c>
      <c r="AB37" s="21"/>
      <c r="AC37" s="1">
        <v>80</v>
      </c>
      <c r="AD37" s="20"/>
      <c r="AE37" s="20">
        <v>80</v>
      </c>
      <c r="AF37" s="20"/>
      <c r="AG37" s="20">
        <v>81</v>
      </c>
      <c r="AH37" s="20"/>
      <c r="AI37" s="20">
        <v>84</v>
      </c>
      <c r="AJ37" s="3"/>
      <c r="AK37" s="44">
        <f t="shared" si="4"/>
        <v>83</v>
      </c>
      <c r="AL37" s="45">
        <f t="shared" si="5"/>
        <v>83.25</v>
      </c>
      <c r="AM37" s="46">
        <f t="shared" si="6"/>
        <v>81.25</v>
      </c>
      <c r="AN37" s="47">
        <f t="shared" si="7"/>
        <v>81.25</v>
      </c>
      <c r="AO37" s="48">
        <f t="shared" si="8"/>
        <v>82.1875</v>
      </c>
      <c r="AP37" s="37"/>
      <c r="AR37" s="54" t="str">
        <f t="shared" si="9"/>
        <v/>
      </c>
      <c r="AS37" s="20"/>
      <c r="AT37" s="56">
        <f t="shared" si="10"/>
        <v>0</v>
      </c>
      <c r="AU37" s="57" t="str">
        <f t="shared" si="11"/>
        <v/>
      </c>
      <c r="AV37" s="54" t="str">
        <f t="shared" si="12"/>
        <v/>
      </c>
      <c r="AW37" s="20"/>
      <c r="AX37" s="56">
        <f t="shared" si="13"/>
        <v>0</v>
      </c>
      <c r="AY37" s="60" t="str">
        <f t="shared" si="14"/>
        <v/>
      </c>
      <c r="AZ37" s="54" t="str">
        <f t="shared" si="15"/>
        <v/>
      </c>
      <c r="BA37" s="21"/>
      <c r="BB37" s="62">
        <f t="shared" si="16"/>
        <v>82.1875</v>
      </c>
      <c r="BC37" s="64" t="str">
        <f t="shared" si="17"/>
        <v/>
      </c>
      <c r="BE37" s="20">
        <f t="shared" si="18"/>
        <v>80.25</v>
      </c>
      <c r="BF37" s="20">
        <f t="shared" si="19"/>
        <v>82.25</v>
      </c>
      <c r="BG37" s="89">
        <f t="shared" si="20"/>
        <v>81</v>
      </c>
      <c r="BH37" s="20">
        <f t="shared" si="21"/>
        <v>85.25</v>
      </c>
      <c r="BI37" s="20">
        <f t="shared" si="22"/>
        <v>82.1875</v>
      </c>
    </row>
    <row r="38" spans="1:61" x14ac:dyDescent="0.2">
      <c r="A38" s="29">
        <v>36</v>
      </c>
      <c r="B38" s="88" t="s">
        <v>147</v>
      </c>
      <c r="C38" s="70" t="s">
        <v>101</v>
      </c>
      <c r="D38" s="70" t="s">
        <v>102</v>
      </c>
      <c r="E38" s="19">
        <v>78</v>
      </c>
      <c r="F38" s="20"/>
      <c r="G38" s="20">
        <v>82</v>
      </c>
      <c r="H38" s="20"/>
      <c r="I38" s="20">
        <v>75</v>
      </c>
      <c r="J38" s="20"/>
      <c r="K38" s="20">
        <v>80</v>
      </c>
      <c r="L38" s="21"/>
      <c r="M38" s="19">
        <v>81</v>
      </c>
      <c r="N38" s="20"/>
      <c r="O38" s="20">
        <v>79</v>
      </c>
      <c r="P38" s="20"/>
      <c r="Q38" s="20">
        <v>80</v>
      </c>
      <c r="R38" s="20"/>
      <c r="S38" s="20">
        <v>80</v>
      </c>
      <c r="T38" s="21"/>
      <c r="U38" s="19">
        <v>81</v>
      </c>
      <c r="V38" s="20"/>
      <c r="W38" s="20">
        <v>82</v>
      </c>
      <c r="X38" s="20"/>
      <c r="Y38" s="20">
        <v>76</v>
      </c>
      <c r="Z38" s="20"/>
      <c r="AA38" s="20">
        <v>76</v>
      </c>
      <c r="AB38" s="21"/>
      <c r="AC38" s="1">
        <v>78</v>
      </c>
      <c r="AD38" s="20"/>
      <c r="AE38" s="20">
        <v>76</v>
      </c>
      <c r="AF38" s="20"/>
      <c r="AG38" s="20">
        <v>75</v>
      </c>
      <c r="AH38" s="20"/>
      <c r="AI38" s="20">
        <v>75</v>
      </c>
      <c r="AJ38" s="3"/>
      <c r="AK38" s="44">
        <f t="shared" si="4"/>
        <v>78.75</v>
      </c>
      <c r="AL38" s="45">
        <f t="shared" si="5"/>
        <v>80</v>
      </c>
      <c r="AM38" s="46">
        <f t="shared" si="6"/>
        <v>78.75</v>
      </c>
      <c r="AN38" s="47">
        <f t="shared" si="7"/>
        <v>76</v>
      </c>
      <c r="AO38" s="48">
        <f t="shared" si="8"/>
        <v>78.375</v>
      </c>
      <c r="AP38" s="37"/>
      <c r="AR38" s="54" t="str">
        <f t="shared" si="9"/>
        <v/>
      </c>
      <c r="AS38" s="20"/>
      <c r="AT38" s="56">
        <f t="shared" si="10"/>
        <v>0</v>
      </c>
      <c r="AU38" s="57" t="str">
        <f t="shared" si="11"/>
        <v/>
      </c>
      <c r="AV38" s="54" t="str">
        <f t="shared" si="12"/>
        <v/>
      </c>
      <c r="AW38" s="20"/>
      <c r="AX38" s="56">
        <f t="shared" si="13"/>
        <v>0</v>
      </c>
      <c r="AY38" s="60" t="str">
        <f t="shared" si="14"/>
        <v/>
      </c>
      <c r="AZ38" s="54" t="str">
        <f t="shared" si="15"/>
        <v/>
      </c>
      <c r="BA38" s="21"/>
      <c r="BB38" s="62">
        <f t="shared" si="16"/>
        <v>78.375</v>
      </c>
      <c r="BC38" s="64" t="str">
        <f t="shared" si="17"/>
        <v/>
      </c>
      <c r="BE38" s="20">
        <f t="shared" si="18"/>
        <v>79.5</v>
      </c>
      <c r="BF38" s="20">
        <f t="shared" si="19"/>
        <v>79.75</v>
      </c>
      <c r="BG38" s="89">
        <f t="shared" si="20"/>
        <v>76.5</v>
      </c>
      <c r="BH38" s="20">
        <f t="shared" si="21"/>
        <v>77.75</v>
      </c>
      <c r="BI38" s="20">
        <f t="shared" si="22"/>
        <v>78.375</v>
      </c>
    </row>
    <row r="39" spans="1:61" x14ac:dyDescent="0.2">
      <c r="A39" s="29">
        <v>37</v>
      </c>
      <c r="B39" s="88" t="s">
        <v>148</v>
      </c>
      <c r="C39" s="69" t="s">
        <v>103</v>
      </c>
      <c r="D39" s="69" t="s">
        <v>104</v>
      </c>
      <c r="E39" s="19">
        <v>80</v>
      </c>
      <c r="F39" s="20"/>
      <c r="G39" s="20">
        <v>80</v>
      </c>
      <c r="H39" s="20"/>
      <c r="I39" s="20">
        <v>80</v>
      </c>
      <c r="J39" s="20"/>
      <c r="K39" s="20">
        <v>86</v>
      </c>
      <c r="L39" s="21"/>
      <c r="M39" s="19">
        <v>81</v>
      </c>
      <c r="N39" s="20"/>
      <c r="O39" s="20">
        <v>81</v>
      </c>
      <c r="P39" s="20"/>
      <c r="Q39" s="20">
        <v>81</v>
      </c>
      <c r="R39" s="20"/>
      <c r="S39" s="20">
        <v>87</v>
      </c>
      <c r="T39" s="21"/>
      <c r="U39" s="19">
        <v>80</v>
      </c>
      <c r="V39" s="20"/>
      <c r="W39" s="20">
        <v>80</v>
      </c>
      <c r="X39" s="20"/>
      <c r="Y39" s="20">
        <v>80</v>
      </c>
      <c r="Z39" s="20"/>
      <c r="AA39" s="20">
        <v>88</v>
      </c>
      <c r="AB39" s="21"/>
      <c r="AC39" s="1">
        <v>80</v>
      </c>
      <c r="AD39" s="20"/>
      <c r="AE39" s="20">
        <v>81</v>
      </c>
      <c r="AF39" s="20"/>
      <c r="AG39" s="20">
        <v>81</v>
      </c>
      <c r="AH39" s="20"/>
      <c r="AI39" s="20">
        <v>87</v>
      </c>
      <c r="AJ39" s="3"/>
      <c r="AK39" s="44">
        <f t="shared" si="4"/>
        <v>81.5</v>
      </c>
      <c r="AL39" s="45">
        <f t="shared" si="5"/>
        <v>82.5</v>
      </c>
      <c r="AM39" s="46">
        <f t="shared" si="6"/>
        <v>82</v>
      </c>
      <c r="AN39" s="47">
        <f t="shared" si="7"/>
        <v>82.25</v>
      </c>
      <c r="AO39" s="48">
        <f t="shared" si="8"/>
        <v>82.0625</v>
      </c>
      <c r="AP39" s="37"/>
      <c r="AR39" s="54" t="str">
        <f t="shared" si="9"/>
        <v/>
      </c>
      <c r="AS39" s="20"/>
      <c r="AT39" s="56">
        <f t="shared" si="10"/>
        <v>0</v>
      </c>
      <c r="AU39" s="57" t="str">
        <f t="shared" si="11"/>
        <v/>
      </c>
      <c r="AV39" s="54" t="str">
        <f t="shared" si="12"/>
        <v/>
      </c>
      <c r="AW39" s="20"/>
      <c r="AX39" s="56">
        <f t="shared" si="13"/>
        <v>0</v>
      </c>
      <c r="AY39" s="60" t="str">
        <f t="shared" si="14"/>
        <v/>
      </c>
      <c r="AZ39" s="54" t="str">
        <f t="shared" si="15"/>
        <v/>
      </c>
      <c r="BA39" s="21"/>
      <c r="BB39" s="62">
        <f t="shared" si="16"/>
        <v>82.0625</v>
      </c>
      <c r="BC39" s="64" t="str">
        <f t="shared" si="17"/>
        <v/>
      </c>
      <c r="BE39" s="20">
        <f t="shared" si="18"/>
        <v>80.25</v>
      </c>
      <c r="BF39" s="20">
        <f t="shared" si="19"/>
        <v>80.5</v>
      </c>
      <c r="BG39" s="89">
        <f t="shared" si="20"/>
        <v>80.5</v>
      </c>
      <c r="BH39" s="20">
        <f t="shared" si="21"/>
        <v>87</v>
      </c>
      <c r="BI39" s="20">
        <f t="shared" si="22"/>
        <v>82.0625</v>
      </c>
    </row>
    <row r="40" spans="1:61" x14ac:dyDescent="0.2">
      <c r="A40" s="29">
        <v>38</v>
      </c>
      <c r="B40" s="88" t="s">
        <v>149</v>
      </c>
      <c r="C40" s="70" t="s">
        <v>105</v>
      </c>
      <c r="D40" s="70" t="s">
        <v>106</v>
      </c>
      <c r="E40" s="19">
        <v>80</v>
      </c>
      <c r="F40" s="20"/>
      <c r="G40" s="20">
        <v>85</v>
      </c>
      <c r="H40" s="20"/>
      <c r="I40" s="20">
        <v>85</v>
      </c>
      <c r="J40" s="20"/>
      <c r="K40" s="20">
        <v>80</v>
      </c>
      <c r="L40" s="21"/>
      <c r="M40" s="19">
        <v>78</v>
      </c>
      <c r="N40" s="20"/>
      <c r="O40" s="20">
        <v>80</v>
      </c>
      <c r="P40" s="20"/>
      <c r="Q40" s="20">
        <v>82</v>
      </c>
      <c r="R40" s="20"/>
      <c r="S40" s="20">
        <v>80</v>
      </c>
      <c r="T40" s="21"/>
      <c r="U40" s="19">
        <v>80</v>
      </c>
      <c r="V40" s="20"/>
      <c r="W40" s="20">
        <v>81</v>
      </c>
      <c r="X40" s="20"/>
      <c r="Y40" s="20">
        <v>80</v>
      </c>
      <c r="Z40" s="20"/>
      <c r="AA40" s="20">
        <v>82</v>
      </c>
      <c r="AB40" s="21"/>
      <c r="AC40" s="1">
        <v>80</v>
      </c>
      <c r="AD40" s="20"/>
      <c r="AE40" s="20">
        <v>81</v>
      </c>
      <c r="AF40" s="20"/>
      <c r="AG40" s="20">
        <v>81</v>
      </c>
      <c r="AH40" s="20"/>
      <c r="AI40" s="20">
        <v>80</v>
      </c>
      <c r="AJ40" s="3"/>
      <c r="AK40" s="44">
        <f t="shared" si="4"/>
        <v>82.5</v>
      </c>
      <c r="AL40" s="45">
        <f t="shared" si="5"/>
        <v>80</v>
      </c>
      <c r="AM40" s="46">
        <f t="shared" si="6"/>
        <v>80.75</v>
      </c>
      <c r="AN40" s="47">
        <f t="shared" si="7"/>
        <v>80.5</v>
      </c>
      <c r="AO40" s="48">
        <f t="shared" si="8"/>
        <v>80.9375</v>
      </c>
      <c r="AP40" s="37"/>
      <c r="AR40" s="54" t="str">
        <f t="shared" si="9"/>
        <v/>
      </c>
      <c r="AS40" s="20"/>
      <c r="AT40" s="56">
        <f t="shared" si="10"/>
        <v>0</v>
      </c>
      <c r="AU40" s="57" t="str">
        <f t="shared" si="11"/>
        <v/>
      </c>
      <c r="AV40" s="54" t="str">
        <f t="shared" si="12"/>
        <v/>
      </c>
      <c r="AW40" s="20"/>
      <c r="AX40" s="56">
        <f t="shared" si="13"/>
        <v>0</v>
      </c>
      <c r="AY40" s="60" t="str">
        <f t="shared" si="14"/>
        <v/>
      </c>
      <c r="AZ40" s="54" t="str">
        <f t="shared" si="15"/>
        <v/>
      </c>
      <c r="BA40" s="21"/>
      <c r="BB40" s="62">
        <f t="shared" si="16"/>
        <v>80.9375</v>
      </c>
      <c r="BC40" s="64" t="str">
        <f t="shared" si="17"/>
        <v/>
      </c>
      <c r="BE40" s="20">
        <f t="shared" si="18"/>
        <v>79.5</v>
      </c>
      <c r="BF40" s="20">
        <f t="shared" si="19"/>
        <v>81.75</v>
      </c>
      <c r="BG40" s="89">
        <f t="shared" si="20"/>
        <v>82</v>
      </c>
      <c r="BH40" s="20">
        <f t="shared" si="21"/>
        <v>80.5</v>
      </c>
      <c r="BI40" s="20">
        <f t="shared" si="22"/>
        <v>80.9375</v>
      </c>
    </row>
    <row r="41" spans="1:61" x14ac:dyDescent="0.2">
      <c r="A41" s="29">
        <v>39</v>
      </c>
      <c r="B41" s="88" t="s">
        <v>150</v>
      </c>
      <c r="C41" s="69" t="s">
        <v>107</v>
      </c>
      <c r="D41" s="69" t="s">
        <v>108</v>
      </c>
      <c r="E41" s="19">
        <v>90</v>
      </c>
      <c r="F41" s="20"/>
      <c r="G41" s="20">
        <v>88</v>
      </c>
      <c r="H41" s="20"/>
      <c r="I41" s="20">
        <v>90</v>
      </c>
      <c r="J41" s="20"/>
      <c r="K41" s="20">
        <v>90</v>
      </c>
      <c r="L41" s="21"/>
      <c r="M41" s="19">
        <v>95</v>
      </c>
      <c r="N41" s="20"/>
      <c r="O41" s="20">
        <v>90</v>
      </c>
      <c r="P41" s="20"/>
      <c r="Q41" s="20">
        <v>91</v>
      </c>
      <c r="R41" s="20"/>
      <c r="S41" s="20">
        <v>90</v>
      </c>
      <c r="T41" s="21"/>
      <c r="U41" s="19">
        <v>90</v>
      </c>
      <c r="V41" s="20"/>
      <c r="W41" s="20">
        <v>90</v>
      </c>
      <c r="X41" s="20"/>
      <c r="Y41" s="20">
        <v>90</v>
      </c>
      <c r="Z41" s="20"/>
      <c r="AA41" s="20">
        <v>94</v>
      </c>
      <c r="AB41" s="21"/>
      <c r="AC41" s="1">
        <v>90</v>
      </c>
      <c r="AD41" s="20"/>
      <c r="AE41" s="20">
        <v>88</v>
      </c>
      <c r="AF41" s="20"/>
      <c r="AG41" s="20">
        <v>91</v>
      </c>
      <c r="AH41" s="20"/>
      <c r="AI41" s="20">
        <v>94</v>
      </c>
      <c r="AJ41" s="3"/>
      <c r="AK41" s="44">
        <f t="shared" si="4"/>
        <v>89.5</v>
      </c>
      <c r="AL41" s="45">
        <f t="shared" si="5"/>
        <v>91.5</v>
      </c>
      <c r="AM41" s="46">
        <f t="shared" si="6"/>
        <v>91</v>
      </c>
      <c r="AN41" s="47">
        <f t="shared" si="7"/>
        <v>90.75</v>
      </c>
      <c r="AO41" s="48">
        <f t="shared" si="8"/>
        <v>90.6875</v>
      </c>
      <c r="AP41" s="37"/>
      <c r="AR41" s="54" t="str">
        <f t="shared" si="9"/>
        <v/>
      </c>
      <c r="AS41" s="20"/>
      <c r="AT41" s="56">
        <f t="shared" si="10"/>
        <v>0</v>
      </c>
      <c r="AU41" s="57" t="str">
        <f t="shared" si="11"/>
        <v/>
      </c>
      <c r="AV41" s="54" t="str">
        <f t="shared" si="12"/>
        <v/>
      </c>
      <c r="AW41" s="20"/>
      <c r="AX41" s="56">
        <f t="shared" si="13"/>
        <v>0</v>
      </c>
      <c r="AY41" s="60" t="str">
        <f t="shared" si="14"/>
        <v/>
      </c>
      <c r="AZ41" s="54" t="str">
        <f t="shared" si="15"/>
        <v/>
      </c>
      <c r="BA41" s="21"/>
      <c r="BB41" s="62">
        <f t="shared" si="16"/>
        <v>90.6875</v>
      </c>
      <c r="BC41" s="64" t="str">
        <f t="shared" si="17"/>
        <v/>
      </c>
      <c r="BE41" s="20">
        <f t="shared" si="18"/>
        <v>91.25</v>
      </c>
      <c r="BF41" s="20">
        <f t="shared" si="19"/>
        <v>89</v>
      </c>
      <c r="BG41" s="89">
        <f t="shared" si="20"/>
        <v>90.5</v>
      </c>
      <c r="BH41" s="20">
        <f t="shared" si="21"/>
        <v>92</v>
      </c>
      <c r="BI41" s="20">
        <f t="shared" si="22"/>
        <v>90.6875</v>
      </c>
    </row>
    <row r="42" spans="1:61" x14ac:dyDescent="0.2">
      <c r="A42" s="29">
        <v>40</v>
      </c>
      <c r="B42" s="88" t="s">
        <v>151</v>
      </c>
      <c r="C42" s="70" t="s">
        <v>109</v>
      </c>
      <c r="D42" s="70" t="s">
        <v>110</v>
      </c>
      <c r="E42" s="19">
        <v>90</v>
      </c>
      <c r="F42" s="20"/>
      <c r="G42" s="20">
        <v>88</v>
      </c>
      <c r="H42" s="20"/>
      <c r="I42" s="20">
        <v>90</v>
      </c>
      <c r="J42" s="20"/>
      <c r="K42" s="20">
        <v>90</v>
      </c>
      <c r="L42" s="21"/>
      <c r="M42" s="19">
        <v>95</v>
      </c>
      <c r="N42" s="20"/>
      <c r="O42" s="20">
        <v>90</v>
      </c>
      <c r="P42" s="20"/>
      <c r="Q42" s="20">
        <v>91</v>
      </c>
      <c r="R42" s="20"/>
      <c r="S42" s="20">
        <v>90</v>
      </c>
      <c r="T42" s="21"/>
      <c r="U42" s="19">
        <v>90</v>
      </c>
      <c r="V42" s="20"/>
      <c r="W42" s="20">
        <v>90</v>
      </c>
      <c r="X42" s="20"/>
      <c r="Y42" s="20">
        <v>90</v>
      </c>
      <c r="Z42" s="20"/>
      <c r="AA42" s="20">
        <v>94</v>
      </c>
      <c r="AB42" s="21"/>
      <c r="AC42" s="1">
        <v>90</v>
      </c>
      <c r="AD42" s="20"/>
      <c r="AE42" s="20">
        <v>88</v>
      </c>
      <c r="AF42" s="20"/>
      <c r="AG42" s="20">
        <v>91</v>
      </c>
      <c r="AH42" s="20"/>
      <c r="AI42" s="20">
        <v>94</v>
      </c>
      <c r="AJ42" s="3"/>
      <c r="AK42" s="44">
        <f t="shared" si="4"/>
        <v>89.5</v>
      </c>
      <c r="AL42" s="45">
        <f t="shared" si="5"/>
        <v>91.5</v>
      </c>
      <c r="AM42" s="46">
        <f t="shared" si="6"/>
        <v>91</v>
      </c>
      <c r="AN42" s="47">
        <f t="shared" si="7"/>
        <v>90.75</v>
      </c>
      <c r="AO42" s="48">
        <f t="shared" si="8"/>
        <v>90.6875</v>
      </c>
      <c r="AP42" s="37"/>
      <c r="AR42" s="54" t="str">
        <f t="shared" si="9"/>
        <v/>
      </c>
      <c r="AS42" s="20"/>
      <c r="AT42" s="56">
        <f t="shared" si="10"/>
        <v>0</v>
      </c>
      <c r="AU42" s="57" t="str">
        <f t="shared" si="11"/>
        <v/>
      </c>
      <c r="AV42" s="54" t="str">
        <f t="shared" si="12"/>
        <v/>
      </c>
      <c r="AW42" s="20"/>
      <c r="AX42" s="56">
        <f t="shared" si="13"/>
        <v>0</v>
      </c>
      <c r="AY42" s="60" t="str">
        <f t="shared" si="14"/>
        <v/>
      </c>
      <c r="AZ42" s="54" t="str">
        <f t="shared" si="15"/>
        <v/>
      </c>
      <c r="BA42" s="21"/>
      <c r="BB42" s="62">
        <f t="shared" si="16"/>
        <v>90.6875</v>
      </c>
      <c r="BC42" s="64" t="str">
        <f t="shared" si="17"/>
        <v/>
      </c>
      <c r="BE42" s="20">
        <f t="shared" si="18"/>
        <v>91.25</v>
      </c>
      <c r="BF42" s="20">
        <f t="shared" si="19"/>
        <v>89</v>
      </c>
      <c r="BG42" s="89">
        <f t="shared" si="20"/>
        <v>90.5</v>
      </c>
      <c r="BH42" s="20">
        <f t="shared" si="21"/>
        <v>92</v>
      </c>
      <c r="BI42" s="20">
        <f t="shared" si="22"/>
        <v>90.6875</v>
      </c>
    </row>
    <row r="43" spans="1:61" x14ac:dyDescent="0.2">
      <c r="A43" s="29">
        <v>41</v>
      </c>
      <c r="B43" s="88" t="s">
        <v>152</v>
      </c>
      <c r="C43" s="67"/>
      <c r="D43" s="67"/>
      <c r="E43" s="19"/>
      <c r="F43" s="20"/>
      <c r="G43" s="20"/>
      <c r="H43" s="20"/>
      <c r="I43" s="20"/>
      <c r="J43" s="20"/>
      <c r="K43" s="20"/>
      <c r="L43" s="21"/>
      <c r="M43" s="19"/>
      <c r="N43" s="20"/>
      <c r="O43" s="20"/>
      <c r="P43" s="20"/>
      <c r="Q43" s="20"/>
      <c r="R43" s="20"/>
      <c r="S43" s="20"/>
      <c r="T43" s="3"/>
      <c r="U43" s="19"/>
      <c r="V43" s="20"/>
      <c r="W43" s="20"/>
      <c r="X43" s="20"/>
      <c r="Y43" s="20"/>
      <c r="Z43" s="20"/>
      <c r="AA43" s="20"/>
      <c r="AB43" s="21"/>
      <c r="AC43" s="1"/>
      <c r="AD43" s="20"/>
      <c r="AE43" s="20"/>
      <c r="AF43" s="20"/>
      <c r="AG43" s="20"/>
      <c r="AH43" s="20"/>
      <c r="AI43" s="20"/>
      <c r="AJ43" s="3"/>
      <c r="AK43" s="44">
        <f t="shared" si="4"/>
        <v>0</v>
      </c>
      <c r="AL43" s="45">
        <f t="shared" si="5"/>
        <v>0</v>
      </c>
      <c r="AM43" s="46">
        <f t="shared" si="6"/>
        <v>0</v>
      </c>
      <c r="AN43" s="47">
        <f t="shared" si="7"/>
        <v>0</v>
      </c>
      <c r="AO43" s="48">
        <f t="shared" si="8"/>
        <v>0</v>
      </c>
      <c r="AP43" s="37"/>
      <c r="AR43" s="54">
        <f t="shared" si="9"/>
        <v>0</v>
      </c>
      <c r="AS43" s="20"/>
      <c r="AT43" s="56">
        <f t="shared" si="10"/>
        <v>0</v>
      </c>
      <c r="AU43" s="57" t="str">
        <f t="shared" si="11"/>
        <v/>
      </c>
      <c r="AV43" s="54" t="str">
        <f t="shared" si="12"/>
        <v/>
      </c>
      <c r="AW43" s="20"/>
      <c r="AX43" s="56">
        <f t="shared" si="13"/>
        <v>0</v>
      </c>
      <c r="AY43" s="60" t="str">
        <f t="shared" si="14"/>
        <v/>
      </c>
      <c r="AZ43" s="54" t="str">
        <f t="shared" si="15"/>
        <v/>
      </c>
      <c r="BA43" s="21"/>
      <c r="BB43" s="62" t="str">
        <f t="shared" si="16"/>
        <v/>
      </c>
      <c r="BC43" s="64">
        <f t="shared" si="17"/>
        <v>0</v>
      </c>
      <c r="BE43" s="20">
        <f t="shared" si="18"/>
        <v>0</v>
      </c>
      <c r="BF43" s="20">
        <f t="shared" si="19"/>
        <v>0</v>
      </c>
      <c r="BG43" s="89">
        <f t="shared" si="20"/>
        <v>0</v>
      </c>
      <c r="BH43" s="20">
        <f t="shared" si="21"/>
        <v>0</v>
      </c>
      <c r="BI43" s="20">
        <f t="shared" si="22"/>
        <v>0</v>
      </c>
    </row>
    <row r="44" spans="1:61" x14ac:dyDescent="0.2">
      <c r="A44" s="29">
        <v>42</v>
      </c>
      <c r="B44" s="88" t="s">
        <v>153</v>
      </c>
      <c r="C44" s="68"/>
      <c r="D44" s="68"/>
      <c r="E44" s="19"/>
      <c r="F44" s="20"/>
      <c r="G44" s="20"/>
      <c r="H44" s="20"/>
      <c r="I44" s="20"/>
      <c r="J44" s="20"/>
      <c r="K44" s="20"/>
      <c r="L44" s="21"/>
      <c r="M44" s="19"/>
      <c r="N44" s="20"/>
      <c r="O44" s="20"/>
      <c r="P44" s="20"/>
      <c r="Q44" s="20"/>
      <c r="R44" s="20"/>
      <c r="S44" s="20"/>
      <c r="T44" s="3"/>
      <c r="U44" s="19"/>
      <c r="V44" s="20"/>
      <c r="W44" s="20"/>
      <c r="X44" s="20"/>
      <c r="Y44" s="20"/>
      <c r="Z44" s="20"/>
      <c r="AA44" s="20"/>
      <c r="AB44" s="21"/>
      <c r="AC44" s="1"/>
      <c r="AD44" s="20"/>
      <c r="AE44" s="20"/>
      <c r="AF44" s="20"/>
      <c r="AG44" s="20"/>
      <c r="AH44" s="20"/>
      <c r="AI44" s="20"/>
      <c r="AJ44" s="3"/>
      <c r="AK44" s="44">
        <f t="shared" si="4"/>
        <v>0</v>
      </c>
      <c r="AL44" s="45">
        <f t="shared" si="5"/>
        <v>0</v>
      </c>
      <c r="AM44" s="46">
        <f t="shared" si="6"/>
        <v>0</v>
      </c>
      <c r="AN44" s="47">
        <f t="shared" si="7"/>
        <v>0</v>
      </c>
      <c r="AO44" s="48">
        <f t="shared" si="8"/>
        <v>0</v>
      </c>
      <c r="AP44" s="37"/>
      <c r="AR44" s="54">
        <f t="shared" si="9"/>
        <v>0</v>
      </c>
      <c r="AS44" s="20"/>
      <c r="AT44" s="56">
        <f t="shared" si="10"/>
        <v>0</v>
      </c>
      <c r="AU44" s="57" t="str">
        <f t="shared" si="11"/>
        <v/>
      </c>
      <c r="AV44" s="54" t="str">
        <f t="shared" si="12"/>
        <v/>
      </c>
      <c r="AW44" s="20"/>
      <c r="AX44" s="56">
        <f t="shared" si="13"/>
        <v>0</v>
      </c>
      <c r="AY44" s="60" t="str">
        <f t="shared" si="14"/>
        <v/>
      </c>
      <c r="AZ44" s="54" t="str">
        <f t="shared" si="15"/>
        <v/>
      </c>
      <c r="BA44" s="21"/>
      <c r="BB44" s="62" t="str">
        <f t="shared" si="16"/>
        <v/>
      </c>
      <c r="BC44" s="64">
        <f t="shared" si="17"/>
        <v>0</v>
      </c>
      <c r="BE44" s="20">
        <f t="shared" si="18"/>
        <v>0</v>
      </c>
      <c r="BF44" s="20">
        <f t="shared" si="19"/>
        <v>0</v>
      </c>
      <c r="BG44" s="89">
        <f t="shared" si="20"/>
        <v>0</v>
      </c>
      <c r="BH44" s="20">
        <f t="shared" si="21"/>
        <v>0</v>
      </c>
      <c r="BI44" s="20">
        <f t="shared" si="22"/>
        <v>0</v>
      </c>
    </row>
    <row r="45" spans="1:61" x14ac:dyDescent="0.2">
      <c r="A45" s="29">
        <v>43</v>
      </c>
      <c r="B45" s="88" t="s">
        <v>154</v>
      </c>
      <c r="C45" s="22"/>
      <c r="D45" s="24"/>
      <c r="E45" s="19"/>
      <c r="F45" s="20"/>
      <c r="G45" s="20"/>
      <c r="H45" s="20"/>
      <c r="I45" s="20"/>
      <c r="J45" s="20"/>
      <c r="K45" s="20"/>
      <c r="L45" s="21"/>
      <c r="M45" s="19"/>
      <c r="N45" s="20"/>
      <c r="O45" s="20"/>
      <c r="P45" s="20"/>
      <c r="Q45" s="20"/>
      <c r="R45" s="20"/>
      <c r="S45" s="20"/>
      <c r="T45" s="3"/>
      <c r="U45" s="19"/>
      <c r="V45" s="20"/>
      <c r="W45" s="20"/>
      <c r="X45" s="20"/>
      <c r="Y45" s="20"/>
      <c r="Z45" s="20"/>
      <c r="AA45" s="20"/>
      <c r="AB45" s="21"/>
      <c r="AC45" s="1"/>
      <c r="AD45" s="20"/>
      <c r="AE45" s="20"/>
      <c r="AF45" s="20"/>
      <c r="AG45" s="20"/>
      <c r="AH45" s="20"/>
      <c r="AI45" s="20"/>
      <c r="AJ45" s="3"/>
      <c r="AK45" s="44">
        <f t="shared" si="4"/>
        <v>0</v>
      </c>
      <c r="AL45" s="45">
        <f t="shared" si="5"/>
        <v>0</v>
      </c>
      <c r="AM45" s="46">
        <f t="shared" si="6"/>
        <v>0</v>
      </c>
      <c r="AN45" s="47">
        <f t="shared" si="7"/>
        <v>0</v>
      </c>
      <c r="AO45" s="48">
        <f t="shared" si="8"/>
        <v>0</v>
      </c>
      <c r="AP45" s="37"/>
      <c r="AR45" s="54">
        <f t="shared" si="9"/>
        <v>0</v>
      </c>
      <c r="AS45" s="20"/>
      <c r="AT45" s="56">
        <f t="shared" si="10"/>
        <v>0</v>
      </c>
      <c r="AU45" s="57" t="str">
        <f t="shared" si="11"/>
        <v/>
      </c>
      <c r="AV45" s="54" t="str">
        <f t="shared" si="12"/>
        <v/>
      </c>
      <c r="AW45" s="20"/>
      <c r="AX45" s="56">
        <f t="shared" si="13"/>
        <v>0</v>
      </c>
      <c r="AY45" s="60" t="str">
        <f t="shared" si="14"/>
        <v/>
      </c>
      <c r="AZ45" s="54" t="str">
        <f t="shared" si="15"/>
        <v/>
      </c>
      <c r="BA45" s="21"/>
      <c r="BB45" s="62" t="str">
        <f t="shared" si="16"/>
        <v/>
      </c>
      <c r="BC45" s="64">
        <f t="shared" si="17"/>
        <v>0</v>
      </c>
      <c r="BE45" s="20">
        <f t="shared" si="18"/>
        <v>0</v>
      </c>
      <c r="BF45" s="20">
        <f t="shared" si="19"/>
        <v>0</v>
      </c>
      <c r="BG45" s="89">
        <f t="shared" si="20"/>
        <v>0</v>
      </c>
      <c r="BH45" s="20">
        <f t="shared" si="21"/>
        <v>0</v>
      </c>
      <c r="BI45" s="20">
        <f t="shared" si="22"/>
        <v>0</v>
      </c>
    </row>
    <row r="46" spans="1:61" x14ac:dyDescent="0.2">
      <c r="A46" s="29">
        <v>44</v>
      </c>
      <c r="B46" s="88" t="s">
        <v>155</v>
      </c>
      <c r="C46" s="22"/>
      <c r="D46" s="24"/>
      <c r="E46" s="19"/>
      <c r="F46" s="20"/>
      <c r="G46" s="20"/>
      <c r="H46" s="20"/>
      <c r="I46" s="20"/>
      <c r="J46" s="20"/>
      <c r="K46" s="20"/>
      <c r="L46" s="21"/>
      <c r="M46" s="19"/>
      <c r="N46" s="20"/>
      <c r="O46" s="20"/>
      <c r="P46" s="20"/>
      <c r="Q46" s="20"/>
      <c r="R46" s="20"/>
      <c r="S46" s="20"/>
      <c r="T46" s="3"/>
      <c r="U46" s="19"/>
      <c r="V46" s="20"/>
      <c r="W46" s="20"/>
      <c r="X46" s="20"/>
      <c r="Y46" s="20"/>
      <c r="Z46" s="20"/>
      <c r="AA46" s="20"/>
      <c r="AB46" s="21"/>
      <c r="AC46" s="1"/>
      <c r="AD46" s="20"/>
      <c r="AE46" s="20"/>
      <c r="AF46" s="20"/>
      <c r="AG46" s="20"/>
      <c r="AH46" s="20"/>
      <c r="AI46" s="20"/>
      <c r="AJ46" s="3"/>
      <c r="AK46" s="44">
        <f t="shared" si="4"/>
        <v>0</v>
      </c>
      <c r="AL46" s="45">
        <f t="shared" si="5"/>
        <v>0</v>
      </c>
      <c r="AM46" s="46">
        <f t="shared" si="6"/>
        <v>0</v>
      </c>
      <c r="AN46" s="47">
        <f t="shared" si="7"/>
        <v>0</v>
      </c>
      <c r="AO46" s="48">
        <f t="shared" si="8"/>
        <v>0</v>
      </c>
      <c r="AP46" s="37"/>
      <c r="AR46" s="54">
        <f t="shared" si="9"/>
        <v>0</v>
      </c>
      <c r="AS46" s="20"/>
      <c r="AT46" s="56">
        <f t="shared" si="10"/>
        <v>0</v>
      </c>
      <c r="AU46" s="57" t="str">
        <f t="shared" si="11"/>
        <v/>
      </c>
      <c r="AV46" s="54" t="str">
        <f t="shared" si="12"/>
        <v/>
      </c>
      <c r="AW46" s="20"/>
      <c r="AX46" s="56">
        <f t="shared" si="13"/>
        <v>0</v>
      </c>
      <c r="AY46" s="60" t="str">
        <f t="shared" si="14"/>
        <v/>
      </c>
      <c r="AZ46" s="54" t="str">
        <f t="shared" si="15"/>
        <v/>
      </c>
      <c r="BA46" s="21"/>
      <c r="BB46" s="62" t="str">
        <f t="shared" si="16"/>
        <v/>
      </c>
      <c r="BC46" s="64">
        <f t="shared" si="17"/>
        <v>0</v>
      </c>
      <c r="BE46" s="20">
        <f t="shared" si="18"/>
        <v>0</v>
      </c>
      <c r="BF46" s="20">
        <f t="shared" si="19"/>
        <v>0</v>
      </c>
      <c r="BG46" s="89">
        <f t="shared" si="20"/>
        <v>0</v>
      </c>
      <c r="BH46" s="20">
        <f t="shared" si="21"/>
        <v>0</v>
      </c>
      <c r="BI46" s="20">
        <f t="shared" si="22"/>
        <v>0</v>
      </c>
    </row>
    <row r="47" spans="1:61" ht="16" thickBot="1" x14ac:dyDescent="0.25">
      <c r="A47" s="30">
        <v>45</v>
      </c>
      <c r="B47" s="88" t="s">
        <v>156</v>
      </c>
      <c r="C47" s="23"/>
      <c r="D47" s="25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4"/>
      <c r="U47" s="31"/>
      <c r="V47" s="32"/>
      <c r="W47" s="32"/>
      <c r="X47" s="32"/>
      <c r="Y47" s="32"/>
      <c r="Z47" s="32"/>
      <c r="AA47" s="32"/>
      <c r="AB47" s="33"/>
      <c r="AC47" s="5"/>
      <c r="AD47" s="32"/>
      <c r="AE47" s="32"/>
      <c r="AF47" s="32"/>
      <c r="AG47" s="32"/>
      <c r="AH47" s="32"/>
      <c r="AI47" s="32"/>
      <c r="AJ47" s="4"/>
      <c r="AK47" s="49">
        <f t="shared" si="4"/>
        <v>0</v>
      </c>
      <c r="AL47" s="50">
        <f t="shared" si="5"/>
        <v>0</v>
      </c>
      <c r="AM47" s="51">
        <f t="shared" si="6"/>
        <v>0</v>
      </c>
      <c r="AN47" s="52">
        <f t="shared" si="7"/>
        <v>0</v>
      </c>
      <c r="AO47" s="53">
        <f t="shared" si="8"/>
        <v>0</v>
      </c>
      <c r="AP47" s="38"/>
      <c r="AR47" s="55">
        <f t="shared" si="9"/>
        <v>0</v>
      </c>
      <c r="AS47" s="32"/>
      <c r="AT47" s="58">
        <f t="shared" si="10"/>
        <v>0</v>
      </c>
      <c r="AU47" s="59" t="str">
        <f t="shared" si="11"/>
        <v/>
      </c>
      <c r="AV47" s="55" t="str">
        <f t="shared" si="12"/>
        <v/>
      </c>
      <c r="AW47" s="32"/>
      <c r="AX47" s="58">
        <f t="shared" si="13"/>
        <v>0</v>
      </c>
      <c r="AY47" s="61" t="str">
        <f t="shared" si="14"/>
        <v/>
      </c>
      <c r="AZ47" s="55" t="str">
        <f t="shared" si="15"/>
        <v/>
      </c>
      <c r="BA47" s="33"/>
      <c r="BB47" s="65" t="str">
        <f t="shared" si="16"/>
        <v/>
      </c>
      <c r="BC47" s="66">
        <f t="shared" si="17"/>
        <v>0</v>
      </c>
      <c r="BE47" s="20">
        <f t="shared" si="18"/>
        <v>0</v>
      </c>
      <c r="BF47" s="20">
        <f t="shared" si="19"/>
        <v>0</v>
      </c>
      <c r="BG47" s="89">
        <f t="shared" si="20"/>
        <v>0</v>
      </c>
      <c r="BH47" s="20">
        <f t="shared" si="21"/>
        <v>0</v>
      </c>
      <c r="BI47" s="20">
        <f t="shared" si="22"/>
        <v>0</v>
      </c>
    </row>
  </sheetData>
  <mergeCells count="26">
    <mergeCell ref="AN1:AN2"/>
    <mergeCell ref="AR1:AR2"/>
    <mergeCell ref="AS1:AS2"/>
    <mergeCell ref="U1:AB1"/>
    <mergeCell ref="AC1:AJ1"/>
    <mergeCell ref="AK1:AK2"/>
    <mergeCell ref="AL1:AL2"/>
    <mergeCell ref="AM1:AM2"/>
    <mergeCell ref="AO1:AO2"/>
    <mergeCell ref="AP1:AP2"/>
    <mergeCell ref="A1:A2"/>
    <mergeCell ref="C1:C2"/>
    <mergeCell ref="D1:D2"/>
    <mergeCell ref="E1:L1"/>
    <mergeCell ref="M1:T1"/>
    <mergeCell ref="B1:B2"/>
    <mergeCell ref="AZ1:AZ2"/>
    <mergeCell ref="BA1:BA2"/>
    <mergeCell ref="BB1:BB2"/>
    <mergeCell ref="BC1:BC2"/>
    <mergeCell ref="AT1:AT2"/>
    <mergeCell ref="AU1:AU2"/>
    <mergeCell ref="AV1:AV2"/>
    <mergeCell ref="AW1:AW2"/>
    <mergeCell ref="AX1:AX2"/>
    <mergeCell ref="AY1:AY2"/>
  </mergeCells>
  <conditionalFormatting sqref="E3">
    <cfRule type="cellIs" dxfId="431" priority="83" operator="lessThan">
      <formula>70</formula>
    </cfRule>
  </conditionalFormatting>
  <conditionalFormatting sqref="G4:L11 G14:L15 G17:L22 G25:L26 G28:L30 G32:L33">
    <cfRule type="cellIs" dxfId="430" priority="77" operator="lessThan">
      <formula>70</formula>
    </cfRule>
  </conditionalFormatting>
  <conditionalFormatting sqref="G38:L39">
    <cfRule type="cellIs" dxfId="429" priority="81" operator="lessThan">
      <formula>70</formula>
    </cfRule>
  </conditionalFormatting>
  <conditionalFormatting sqref="O4:AB11 O14:AB15 O17:AB22 O25:AB26 O28:AB30 O32:AB33">
    <cfRule type="cellIs" dxfId="428" priority="73" operator="lessThan">
      <formula>70</formula>
    </cfRule>
  </conditionalFormatting>
  <conditionalFormatting sqref="O38:AB39">
    <cfRule type="cellIs" dxfId="427" priority="80" operator="lessThan">
      <formula>70</formula>
    </cfRule>
  </conditionalFormatting>
  <conditionalFormatting sqref="AE38:AI39">
    <cfRule type="cellIs" dxfId="426" priority="79" operator="lessThan">
      <formula>70</formula>
    </cfRule>
  </conditionalFormatting>
  <conditionalFormatting sqref="AE4:AJ11 AE14:AJ15 AE17:AJ22 AE25:AJ26 AE28:AJ30 AE32:AJ33">
    <cfRule type="cellIs" dxfId="425" priority="71" operator="lessThan">
      <formula>70</formula>
    </cfRule>
  </conditionalFormatting>
  <conditionalFormatting sqref="AK4:AP11 E4:F11 M4:N11 AC4:AD11 E34:AJ35 E38:F39 M38:N39 AC38:AD39 AJ38:AJ41 E40:AI42 E42:AJ47 AC14:AD15 M14:N15 E14:F15 AK14:AP15 AL12:AP13 E13 AK17:AP22 AL16:AP16 E17:F22 E16 M17:N22 AC17:AD22 AC25:AD26 M25:N26 E25:F26 AK25:AP26 AL23:AP24 E23:E24 AK28:AP30 AL27:AP27 E28:F30 E27 M28:N30 AC28:AD30 AC32:AD33 M32:N33 E32:F33 E31 AK32:AP35 AL31:AP31 AK37:AP47 AL36:AP36 E37:AJ37 E36 AL3:AP3">
    <cfRule type="cellIs" dxfId="424" priority="89" operator="lessThan">
      <formula>70</formula>
    </cfRule>
  </conditionalFormatting>
  <conditionalFormatting sqref="AR3:AR47">
    <cfRule type="cellIs" dxfId="423" priority="87" operator="lessThan">
      <formula>70</formula>
    </cfRule>
  </conditionalFormatting>
  <conditionalFormatting sqref="AR3:AY47">
    <cfRule type="cellIs" dxfId="422" priority="88" operator="lessThan">
      <formula>70</formula>
    </cfRule>
  </conditionalFormatting>
  <conditionalFormatting sqref="AZ3:AZ47">
    <cfRule type="cellIs" dxfId="421" priority="82" operator="lessThan">
      <formula>70</formula>
    </cfRule>
  </conditionalFormatting>
  <conditionalFormatting sqref="E12">
    <cfRule type="cellIs" dxfId="259" priority="70" operator="lessThan">
      <formula>70</formula>
    </cfRule>
  </conditionalFormatting>
  <conditionalFormatting sqref="F12:H12 N12:P12 AD12:AF12">
    <cfRule type="cellIs" dxfId="252" priority="63" operator="lessThan">
      <formula>70</formula>
    </cfRule>
  </conditionalFormatting>
  <conditionalFormatting sqref="H12:M12">
    <cfRule type="cellIs" dxfId="251" priority="62" operator="lessThan">
      <formula>70</formula>
    </cfRule>
  </conditionalFormatting>
  <conditionalFormatting sqref="V12">
    <cfRule type="cellIs" dxfId="250" priority="61" operator="lessThan">
      <formula>70</formula>
    </cfRule>
  </conditionalFormatting>
  <conditionalFormatting sqref="P12:U12">
    <cfRule type="cellIs" dxfId="249" priority="60" operator="lessThan">
      <formula>70</formula>
    </cfRule>
  </conditionalFormatting>
  <conditionalFormatting sqref="W12:X12">
    <cfRule type="cellIs" dxfId="248" priority="59" operator="lessThan">
      <formula>70</formula>
    </cfRule>
  </conditionalFormatting>
  <conditionalFormatting sqref="X12:AC12">
    <cfRule type="cellIs" dxfId="247" priority="58" operator="lessThan">
      <formula>70</formula>
    </cfRule>
  </conditionalFormatting>
  <conditionalFormatting sqref="AF12:AK12">
    <cfRule type="cellIs" dxfId="246" priority="57" operator="lessThan">
      <formula>70</formula>
    </cfRule>
  </conditionalFormatting>
  <conditionalFormatting sqref="F13:H13 N13:P13 AD13:AF13">
    <cfRule type="cellIs" dxfId="245" priority="56" operator="lessThan">
      <formula>70</formula>
    </cfRule>
  </conditionalFormatting>
  <conditionalFormatting sqref="H13:M13">
    <cfRule type="cellIs" dxfId="244" priority="55" operator="lessThan">
      <formula>70</formula>
    </cfRule>
  </conditionalFormatting>
  <conditionalFormatting sqref="V13">
    <cfRule type="cellIs" dxfId="243" priority="54" operator="lessThan">
      <formula>70</formula>
    </cfRule>
  </conditionalFormatting>
  <conditionalFormatting sqref="P13:U13">
    <cfRule type="cellIs" dxfId="242" priority="53" operator="lessThan">
      <formula>70</formula>
    </cfRule>
  </conditionalFormatting>
  <conditionalFormatting sqref="W13:X13">
    <cfRule type="cellIs" dxfId="241" priority="52" operator="lessThan">
      <formula>70</formula>
    </cfRule>
  </conditionalFormatting>
  <conditionalFormatting sqref="X13:AC13">
    <cfRule type="cellIs" dxfId="240" priority="51" operator="lessThan">
      <formula>70</formula>
    </cfRule>
  </conditionalFormatting>
  <conditionalFormatting sqref="AF13:AK13">
    <cfRule type="cellIs" dxfId="239" priority="50" operator="lessThan">
      <formula>70</formula>
    </cfRule>
  </conditionalFormatting>
  <conditionalFormatting sqref="F16:H16 N16:P16 AD16:AF16">
    <cfRule type="cellIs" dxfId="238" priority="49" operator="lessThan">
      <formula>70</formula>
    </cfRule>
  </conditionalFormatting>
  <conditionalFormatting sqref="H16:M16">
    <cfRule type="cellIs" dxfId="237" priority="48" operator="lessThan">
      <formula>70</formula>
    </cfRule>
  </conditionalFormatting>
  <conditionalFormatting sqref="V16">
    <cfRule type="cellIs" dxfId="236" priority="47" operator="lessThan">
      <formula>70</formula>
    </cfRule>
  </conditionalFormatting>
  <conditionalFormatting sqref="P16:U16">
    <cfRule type="cellIs" dxfId="235" priority="46" operator="lessThan">
      <formula>70</formula>
    </cfRule>
  </conditionalFormatting>
  <conditionalFormatting sqref="W16:X16">
    <cfRule type="cellIs" dxfId="234" priority="45" operator="lessThan">
      <formula>70</formula>
    </cfRule>
  </conditionalFormatting>
  <conditionalFormatting sqref="X16:AC16">
    <cfRule type="cellIs" dxfId="233" priority="44" operator="lessThan">
      <formula>70</formula>
    </cfRule>
  </conditionalFormatting>
  <conditionalFormatting sqref="AF16:AK16">
    <cfRule type="cellIs" dxfId="232" priority="43" operator="lessThan">
      <formula>70</formula>
    </cfRule>
  </conditionalFormatting>
  <conditionalFormatting sqref="F23:H23 N23:P23 AD23:AF23">
    <cfRule type="cellIs" dxfId="231" priority="42" operator="lessThan">
      <formula>70</formula>
    </cfRule>
  </conditionalFormatting>
  <conditionalFormatting sqref="H23:M23">
    <cfRule type="cellIs" dxfId="230" priority="41" operator="lessThan">
      <formula>70</formula>
    </cfRule>
  </conditionalFormatting>
  <conditionalFormatting sqref="V23">
    <cfRule type="cellIs" dxfId="229" priority="40" operator="lessThan">
      <formula>70</formula>
    </cfRule>
  </conditionalFormatting>
  <conditionalFormatting sqref="P23:U23">
    <cfRule type="cellIs" dxfId="228" priority="39" operator="lessThan">
      <formula>70</formula>
    </cfRule>
  </conditionalFormatting>
  <conditionalFormatting sqref="W23:X23">
    <cfRule type="cellIs" dxfId="227" priority="38" operator="lessThan">
      <formula>70</formula>
    </cfRule>
  </conditionalFormatting>
  <conditionalFormatting sqref="X23:AC23">
    <cfRule type="cellIs" dxfId="226" priority="37" operator="lessThan">
      <formula>70</formula>
    </cfRule>
  </conditionalFormatting>
  <conditionalFormatting sqref="AF23:AK23">
    <cfRule type="cellIs" dxfId="225" priority="36" operator="lessThan">
      <formula>70</formula>
    </cfRule>
  </conditionalFormatting>
  <conditionalFormatting sqref="F24:H24 N24:P24 AD24:AF24">
    <cfRule type="cellIs" dxfId="224" priority="35" operator="lessThan">
      <formula>70</formula>
    </cfRule>
  </conditionalFormatting>
  <conditionalFormatting sqref="H24:M24">
    <cfRule type="cellIs" dxfId="223" priority="34" operator="lessThan">
      <formula>70</formula>
    </cfRule>
  </conditionalFormatting>
  <conditionalFormatting sqref="V24">
    <cfRule type="cellIs" dxfId="222" priority="33" operator="lessThan">
      <formula>70</formula>
    </cfRule>
  </conditionalFormatting>
  <conditionalFormatting sqref="P24:U24">
    <cfRule type="cellIs" dxfId="221" priority="32" operator="lessThan">
      <formula>70</formula>
    </cfRule>
  </conditionalFormatting>
  <conditionalFormatting sqref="W24:X24">
    <cfRule type="cellIs" dxfId="220" priority="31" operator="lessThan">
      <formula>70</formula>
    </cfRule>
  </conditionalFormatting>
  <conditionalFormatting sqref="X24:AC24">
    <cfRule type="cellIs" dxfId="219" priority="30" operator="lessThan">
      <formula>70</formula>
    </cfRule>
  </conditionalFormatting>
  <conditionalFormatting sqref="AF24:AK24">
    <cfRule type="cellIs" dxfId="218" priority="29" operator="lessThan">
      <formula>70</formula>
    </cfRule>
  </conditionalFormatting>
  <conditionalFormatting sqref="F27:H27 N27:P27 AD27:AF27">
    <cfRule type="cellIs" dxfId="217" priority="28" operator="lessThan">
      <formula>70</formula>
    </cfRule>
  </conditionalFormatting>
  <conditionalFormatting sqref="H27:M27">
    <cfRule type="cellIs" dxfId="216" priority="27" operator="lessThan">
      <formula>70</formula>
    </cfRule>
  </conditionalFormatting>
  <conditionalFormatting sqref="V27">
    <cfRule type="cellIs" dxfId="215" priority="26" operator="lessThan">
      <formula>70</formula>
    </cfRule>
  </conditionalFormatting>
  <conditionalFormatting sqref="P27:U27">
    <cfRule type="cellIs" dxfId="214" priority="25" operator="lessThan">
      <formula>70</formula>
    </cfRule>
  </conditionalFormatting>
  <conditionalFormatting sqref="W27:X27">
    <cfRule type="cellIs" dxfId="213" priority="24" operator="lessThan">
      <formula>70</formula>
    </cfRule>
  </conditionalFormatting>
  <conditionalFormatting sqref="X27:AC27">
    <cfRule type="cellIs" dxfId="212" priority="23" operator="lessThan">
      <formula>70</formula>
    </cfRule>
  </conditionalFormatting>
  <conditionalFormatting sqref="AF27:AK27">
    <cfRule type="cellIs" dxfId="211" priority="22" operator="lessThan">
      <formula>70</formula>
    </cfRule>
  </conditionalFormatting>
  <conditionalFormatting sqref="F31:H31 N31:P31 AD31:AF31">
    <cfRule type="cellIs" dxfId="210" priority="21" operator="lessThan">
      <formula>70</formula>
    </cfRule>
  </conditionalFormatting>
  <conditionalFormatting sqref="H31:M31">
    <cfRule type="cellIs" dxfId="209" priority="20" operator="lessThan">
      <formula>70</formula>
    </cfRule>
  </conditionalFormatting>
  <conditionalFormatting sqref="V31">
    <cfRule type="cellIs" dxfId="208" priority="19" operator="lessThan">
      <formula>70</formula>
    </cfRule>
  </conditionalFormatting>
  <conditionalFormatting sqref="P31:U31">
    <cfRule type="cellIs" dxfId="207" priority="18" operator="lessThan">
      <formula>70</formula>
    </cfRule>
  </conditionalFormatting>
  <conditionalFormatting sqref="W31:X31">
    <cfRule type="cellIs" dxfId="206" priority="17" operator="lessThan">
      <formula>70</formula>
    </cfRule>
  </conditionalFormatting>
  <conditionalFormatting sqref="X31:AC31">
    <cfRule type="cellIs" dxfId="205" priority="16" operator="lessThan">
      <formula>70</formula>
    </cfRule>
  </conditionalFormatting>
  <conditionalFormatting sqref="AF31:AK31">
    <cfRule type="cellIs" dxfId="204" priority="15" operator="lessThan">
      <formula>70</formula>
    </cfRule>
  </conditionalFormatting>
  <conditionalFormatting sqref="F36:H36 N36:P36 AD36:AF36">
    <cfRule type="cellIs" dxfId="203" priority="14" operator="lessThan">
      <formula>70</formula>
    </cfRule>
  </conditionalFormatting>
  <conditionalFormatting sqref="H36:M36">
    <cfRule type="cellIs" dxfId="202" priority="13" operator="lessThan">
      <formula>70</formula>
    </cfRule>
  </conditionalFormatting>
  <conditionalFormatting sqref="V36">
    <cfRule type="cellIs" dxfId="201" priority="12" operator="lessThan">
      <formula>70</formula>
    </cfRule>
  </conditionalFormatting>
  <conditionalFormatting sqref="P36:U36">
    <cfRule type="cellIs" dxfId="200" priority="11" operator="lessThan">
      <formula>70</formula>
    </cfRule>
  </conditionalFormatting>
  <conditionalFormatting sqref="W36:X36">
    <cfRule type="cellIs" dxfId="199" priority="10" operator="lessThan">
      <formula>70</formula>
    </cfRule>
  </conditionalFormatting>
  <conditionalFormatting sqref="X36:AC36">
    <cfRule type="cellIs" dxfId="198" priority="9" operator="lessThan">
      <formula>70</formula>
    </cfRule>
  </conditionalFormatting>
  <conditionalFormatting sqref="AF36:AK36">
    <cfRule type="cellIs" dxfId="197" priority="8" operator="lessThan">
      <formula>70</formula>
    </cfRule>
  </conditionalFormatting>
  <conditionalFormatting sqref="F3:H3 N3:P3 AD3:AF3">
    <cfRule type="cellIs" dxfId="196" priority="7" operator="lessThan">
      <formula>70</formula>
    </cfRule>
  </conditionalFormatting>
  <conditionalFormatting sqref="H3:M3">
    <cfRule type="cellIs" dxfId="195" priority="6" operator="lessThan">
      <formula>70</formula>
    </cfRule>
  </conditionalFormatting>
  <conditionalFormatting sqref="V3">
    <cfRule type="cellIs" dxfId="194" priority="5" operator="lessThan">
      <formula>70</formula>
    </cfRule>
  </conditionalFormatting>
  <conditionalFormatting sqref="P3:U3">
    <cfRule type="cellIs" dxfId="193" priority="4" operator="lessThan">
      <formula>70</formula>
    </cfRule>
  </conditionalFormatting>
  <conditionalFormatting sqref="W3:X3">
    <cfRule type="cellIs" dxfId="192" priority="3" operator="lessThan">
      <formula>70</formula>
    </cfRule>
  </conditionalFormatting>
  <conditionalFormatting sqref="X3:AC3">
    <cfRule type="cellIs" dxfId="191" priority="2" operator="lessThan">
      <formula>70</formula>
    </cfRule>
  </conditionalFormatting>
  <conditionalFormatting sqref="AF3:AK3">
    <cfRule type="cellIs" dxfId="190" priority="1" operator="lessThan">
      <formula>70</formula>
    </cfRule>
  </conditionalFormatting>
  <dataValidations count="1">
    <dataValidation type="custom" allowBlank="1" showInputMessage="1" showErrorMessage="1" sqref="E12:AK12 F13:AK13 F16:AK16 F23:AK24 F27:AK27 F31:AK31 F36:AK36 F3:AK3" xr:uid="{3D4BB165-967D-B347-9EE2-572CA5337A07}">
      <formula1>ISNUMBER(E3:E52)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1:BI47"/>
  <sheetViews>
    <sheetView topLeftCell="A7" zoomScaleNormal="100" workbookViewId="0">
      <selection activeCell="K22" sqref="K22"/>
    </sheetView>
  </sheetViews>
  <sheetFormatPr baseColWidth="10" defaultColWidth="11.5" defaultRowHeight="15" x14ac:dyDescent="0.2"/>
  <cols>
    <col min="1" max="1" width="4" style="12" customWidth="1"/>
    <col min="2" max="2" width="17.1640625" style="12" customWidth="1"/>
    <col min="3" max="3" width="21.33203125" style="13" customWidth="1"/>
    <col min="4" max="4" width="19.83203125" style="13" customWidth="1"/>
    <col min="5" max="36" width="4.6640625" style="13" customWidth="1"/>
    <col min="37" max="43" width="5.83203125" style="13" customWidth="1"/>
    <col min="44" max="44" width="7.6640625" style="13" customWidth="1"/>
    <col min="45" max="46" width="5.83203125" style="13" customWidth="1"/>
    <col min="47" max="47" width="6.5" style="13" customWidth="1"/>
    <col min="48" max="51" width="5.83203125" style="13" customWidth="1"/>
    <col min="52" max="53" width="5.33203125" style="13" customWidth="1"/>
    <col min="54" max="55" width="6.1640625" style="13" customWidth="1"/>
    <col min="56" max="56" width="11.5" style="13"/>
    <col min="57" max="58" width="6.33203125" style="13" customWidth="1"/>
    <col min="59" max="59" width="6.33203125" customWidth="1"/>
    <col min="60" max="61" width="6.33203125" style="13" customWidth="1"/>
    <col min="62" max="16384" width="11.5" style="13"/>
  </cols>
  <sheetData>
    <row r="1" spans="1:61" x14ac:dyDescent="0.2">
      <c r="A1" s="105" t="s">
        <v>5</v>
      </c>
      <c r="B1" s="117" t="s">
        <v>111</v>
      </c>
      <c r="C1" s="107" t="s">
        <v>4</v>
      </c>
      <c r="D1" s="109" t="s">
        <v>10</v>
      </c>
      <c r="E1" s="111" t="s">
        <v>18</v>
      </c>
      <c r="F1" s="112"/>
      <c r="G1" s="112"/>
      <c r="H1" s="112"/>
      <c r="I1" s="112"/>
      <c r="J1" s="112"/>
      <c r="K1" s="112"/>
      <c r="L1" s="113"/>
      <c r="M1" s="114" t="s">
        <v>19</v>
      </c>
      <c r="N1" s="115"/>
      <c r="O1" s="115"/>
      <c r="P1" s="115"/>
      <c r="Q1" s="115"/>
      <c r="R1" s="115"/>
      <c r="S1" s="115"/>
      <c r="T1" s="116"/>
      <c r="U1" s="121" t="s">
        <v>20</v>
      </c>
      <c r="V1" s="122"/>
      <c r="W1" s="122"/>
      <c r="X1" s="122"/>
      <c r="Y1" s="122"/>
      <c r="Z1" s="122"/>
      <c r="AA1" s="122"/>
      <c r="AB1" s="123"/>
      <c r="AC1" s="124" t="s">
        <v>21</v>
      </c>
      <c r="AD1" s="125"/>
      <c r="AE1" s="125"/>
      <c r="AF1" s="125"/>
      <c r="AG1" s="125"/>
      <c r="AH1" s="125"/>
      <c r="AI1" s="125"/>
      <c r="AJ1" s="126"/>
      <c r="AK1" s="127" t="s">
        <v>22</v>
      </c>
      <c r="AL1" s="129" t="s">
        <v>23</v>
      </c>
      <c r="AM1" s="131" t="s">
        <v>24</v>
      </c>
      <c r="AN1" s="119" t="s">
        <v>25</v>
      </c>
      <c r="AO1" s="133"/>
      <c r="AP1" s="135"/>
      <c r="AR1" s="99" t="s">
        <v>11</v>
      </c>
      <c r="AS1" s="101" t="s">
        <v>12</v>
      </c>
      <c r="AT1" s="95" t="s">
        <v>13</v>
      </c>
      <c r="AU1" s="97" t="s">
        <v>26</v>
      </c>
      <c r="AV1" s="99" t="s">
        <v>14</v>
      </c>
      <c r="AW1" s="101" t="s">
        <v>29</v>
      </c>
      <c r="AX1" s="95" t="s">
        <v>30</v>
      </c>
      <c r="AY1" s="103" t="s">
        <v>31</v>
      </c>
      <c r="AZ1" s="90" t="s">
        <v>27</v>
      </c>
      <c r="BA1" s="92" t="s">
        <v>28</v>
      </c>
      <c r="BB1" s="91" t="s">
        <v>16</v>
      </c>
      <c r="BC1" s="94" t="s">
        <v>17</v>
      </c>
    </row>
    <row r="2" spans="1:61" ht="16" thickBot="1" x14ac:dyDescent="0.25">
      <c r="A2" s="106"/>
      <c r="B2" s="118"/>
      <c r="C2" s="108"/>
      <c r="D2" s="110"/>
      <c r="E2" s="14" t="s">
        <v>0</v>
      </c>
      <c r="F2" s="15" t="s">
        <v>6</v>
      </c>
      <c r="G2" s="15" t="s">
        <v>1</v>
      </c>
      <c r="H2" s="15" t="s">
        <v>7</v>
      </c>
      <c r="I2" s="15" t="s">
        <v>2</v>
      </c>
      <c r="J2" s="15" t="s">
        <v>8</v>
      </c>
      <c r="K2" s="15" t="s">
        <v>3</v>
      </c>
      <c r="L2" s="16" t="s">
        <v>9</v>
      </c>
      <c r="M2" s="7" t="s">
        <v>0</v>
      </c>
      <c r="N2" s="7" t="s">
        <v>6</v>
      </c>
      <c r="O2" s="7" t="s">
        <v>1</v>
      </c>
      <c r="P2" s="7" t="s">
        <v>7</v>
      </c>
      <c r="Q2" s="7" t="s">
        <v>2</v>
      </c>
      <c r="R2" s="7" t="s">
        <v>8</v>
      </c>
      <c r="S2" s="7" t="s">
        <v>3</v>
      </c>
      <c r="T2" s="8" t="s">
        <v>9</v>
      </c>
      <c r="U2" s="9" t="s">
        <v>0</v>
      </c>
      <c r="V2" s="10" t="s">
        <v>6</v>
      </c>
      <c r="W2" s="10" t="s">
        <v>1</v>
      </c>
      <c r="X2" s="10" t="s">
        <v>8</v>
      </c>
      <c r="Y2" s="10" t="s">
        <v>2</v>
      </c>
      <c r="Z2" s="10" t="s">
        <v>9</v>
      </c>
      <c r="AA2" s="10" t="s">
        <v>3</v>
      </c>
      <c r="AB2" s="11" t="s">
        <v>9</v>
      </c>
      <c r="AC2" s="6" t="s">
        <v>0</v>
      </c>
      <c r="AD2" s="17" t="s">
        <v>6</v>
      </c>
      <c r="AE2" s="17" t="s">
        <v>1</v>
      </c>
      <c r="AF2" s="17" t="s">
        <v>8</v>
      </c>
      <c r="AG2" s="17" t="s">
        <v>2</v>
      </c>
      <c r="AH2" s="17" t="s">
        <v>9</v>
      </c>
      <c r="AI2" s="17" t="s">
        <v>3</v>
      </c>
      <c r="AJ2" s="18" t="s">
        <v>9</v>
      </c>
      <c r="AK2" s="128"/>
      <c r="AL2" s="130"/>
      <c r="AM2" s="132"/>
      <c r="AN2" s="120"/>
      <c r="AO2" s="134"/>
      <c r="AP2" s="136"/>
      <c r="AR2" s="100"/>
      <c r="AS2" s="102"/>
      <c r="AT2" s="96"/>
      <c r="AU2" s="98"/>
      <c r="AV2" s="100"/>
      <c r="AW2" s="102"/>
      <c r="AX2" s="96"/>
      <c r="AY2" s="104"/>
      <c r="AZ2" s="91"/>
      <c r="BA2" s="93"/>
      <c r="BB2" s="91"/>
      <c r="BC2" s="94"/>
      <c r="BE2" s="20" t="s">
        <v>0</v>
      </c>
      <c r="BF2" s="20" t="s">
        <v>1</v>
      </c>
      <c r="BG2" s="89" t="s">
        <v>2</v>
      </c>
      <c r="BH2" s="20" t="s">
        <v>3</v>
      </c>
      <c r="BI2" s="20" t="s">
        <v>15</v>
      </c>
    </row>
    <row r="3" spans="1:61" x14ac:dyDescent="0.2">
      <c r="A3" s="26">
        <v>1</v>
      </c>
      <c r="B3" s="88" t="s">
        <v>112</v>
      </c>
      <c r="C3" s="69" t="s">
        <v>33</v>
      </c>
      <c r="D3" s="69" t="s">
        <v>34</v>
      </c>
      <c r="E3" s="19">
        <v>96</v>
      </c>
      <c r="F3" s="20"/>
      <c r="G3" s="20">
        <v>95</v>
      </c>
      <c r="H3" s="20"/>
      <c r="I3" s="20">
        <v>98</v>
      </c>
      <c r="J3" s="20"/>
      <c r="K3" s="20">
        <v>99</v>
      </c>
      <c r="L3" s="21"/>
      <c r="M3" s="19">
        <v>90</v>
      </c>
      <c r="N3" s="20"/>
      <c r="O3" s="20">
        <v>99</v>
      </c>
      <c r="P3" s="20"/>
      <c r="Q3" s="20">
        <v>99</v>
      </c>
      <c r="R3" s="20"/>
      <c r="S3" s="20">
        <v>100</v>
      </c>
      <c r="T3" s="21"/>
      <c r="U3" s="19">
        <v>96</v>
      </c>
      <c r="V3" s="20"/>
      <c r="W3" s="20">
        <v>97</v>
      </c>
      <c r="X3" s="20"/>
      <c r="Y3" s="20">
        <v>98</v>
      </c>
      <c r="Z3" s="20"/>
      <c r="AA3" s="20">
        <v>100</v>
      </c>
      <c r="AB3" s="21"/>
      <c r="AC3" s="19">
        <v>97</v>
      </c>
      <c r="AD3" s="20"/>
      <c r="AE3" s="20">
        <v>92</v>
      </c>
      <c r="AF3" s="20"/>
      <c r="AG3" s="20">
        <v>93</v>
      </c>
      <c r="AH3" s="20"/>
      <c r="AI3" s="20">
        <v>100</v>
      </c>
      <c r="AJ3" s="28"/>
      <c r="AK3" s="39">
        <f>SUMIF(E3:E3, "&gt;=70") / 4 +SUMIF(G3:G3, "&gt;=70") / 4 +SUMIF(I3:I3, "&gt;=70") / 4 +SUMIF(K3:K3, "&gt;=70") / 4 + SUMIF(F3:F3, "&gt;1") / 4 + SUMIF(H3:H3, "&gt;1") / 4 + SUMIF(J3:J3, "&gt;1") / 4 + SUMIF(L3:L3, "&gt;1") / 4</f>
        <v>97</v>
      </c>
      <c r="AL3" s="40">
        <f>SUMIF(M3:M3, "&gt;=70") / 4 +SUMIF(O3:O3, "&gt;=70") / 4 +SUMIF(Q3:Q3, "&gt;=70") / 4 +SUMIF(S3:S3, "&gt;=70") / 4 + SUMIF(N3:N3, "&gt;1") / 4 + SUMIF(P3:P3, "&gt;1") / 4 + SUMIF(R3:R3, "&gt;1") / 4 + SUMIF(T3:T3, "&gt;1") / 4</f>
        <v>97</v>
      </c>
      <c r="AM3" s="41">
        <f>SUMIF(U3:U3, "&gt;=70") / 4 +SUMIF(W3:W3, "&gt;=70") / 4 +SUMIF(Y3:Y3, "&gt;=70") / 4 +SUMIF(AA3:AA3, "&gt;=70") / 4 + SUMIF(V3:V3, "&gt;1") / 4 + SUMIF(X3:X3, "&gt;1") / 4 + SUMIF(Z3:Z3, "&gt;1") / 4 + SUMIF(AB3:AB3, "&gt;1") / 4</f>
        <v>97.75</v>
      </c>
      <c r="AN3" s="42">
        <f>SUMIF(AC3:AC3, "&gt;=70") / 4 +SUMIF(AE3:AE3, "&gt;=70") / 4 +SUMIF(AG3:AG3, "&gt;=70") / 4 +SUMIF(AI3:AI3, "&gt;=70") / 4 + SUMIF(AD3:AD3, "&gt;1") / 4 + SUMIF(AF3:AF3, "&gt;1") / 4 + SUMIF(AH3:AH3, "&gt;1") / 4 + SUMIF(AJ3:AJ3, "&gt;1") / 4</f>
        <v>95.5</v>
      </c>
      <c r="AO3" s="43">
        <f>AVERAGE(AK3:AN3)</f>
        <v>96.8125</v>
      </c>
      <c r="AP3" s="34"/>
      <c r="AR3" s="54" t="str">
        <f>IF(AO3&lt;70, AO3*0.5, "")</f>
        <v/>
      </c>
      <c r="AS3" s="35"/>
      <c r="AT3" s="56">
        <f>AS3*50%</f>
        <v>0</v>
      </c>
      <c r="AU3" s="57" t="str">
        <f>IF(AS3&lt;&gt;"", IF(AR3="","",AR3+AT3), "")</f>
        <v/>
      </c>
      <c r="AV3" s="54" t="str">
        <f>IF(AU3 &lt; 70, AR3*30%, "")</f>
        <v/>
      </c>
      <c r="AW3" s="36"/>
      <c r="AX3" s="56">
        <f>AW3*70%</f>
        <v>0</v>
      </c>
      <c r="AY3" s="60" t="str">
        <f>IF(AW3&lt;&gt;"", IF(AV3="", "", AV3+AX3), "")</f>
        <v/>
      </c>
      <c r="AZ3" s="54" t="str">
        <f>IF(AND(AU3&lt;70, AY3&lt;70), AO3, "")</f>
        <v/>
      </c>
      <c r="BA3" s="21"/>
      <c r="BB3" s="62">
        <f>IF(AW3&lt;&gt;"", IF(AY3&gt;=70, AY3, IF(AZ3+BA3&gt;=70, AZ3+BA3, "")),
   IF(AS3&lt;&gt;"", IF(AU3&gt;=70, AU3, ""),
   IF(AO3&gt;=70, AO3, "")))</f>
        <v>96.8125</v>
      </c>
      <c r="BC3" s="63" t="str">
        <f>IF(AW3&lt;&gt;"", IF(AY3&lt;70, IF(AZ3+BA3&lt;70, AZ3+BA3, ""), ""), IF(AS3&lt;&gt;"", IF(AU3&lt;70, AU3, ""), IF(AO3&lt;70, AO3, "")))</f>
        <v/>
      </c>
      <c r="BE3" s="20">
        <f t="shared" ref="BE3:BE4" si="0">SUM(E3+M3+U3+AC3)/4</f>
        <v>94.75</v>
      </c>
      <c r="BF3" s="20">
        <f t="shared" ref="BF3:BF4" si="1">SUM(G3+O3+W3+AE3)/4</f>
        <v>95.75</v>
      </c>
      <c r="BG3" s="89">
        <f t="shared" ref="BG3:BG4" si="2">SUM(I3+Q3+Y3+AG3)/4</f>
        <v>97</v>
      </c>
      <c r="BH3" s="20">
        <f t="shared" ref="BH3:BH4" si="3">SUM(K3+S3+AA3+AI3)/4</f>
        <v>99.75</v>
      </c>
      <c r="BI3" s="20">
        <f>AVERAGE(BE3:BH3)</f>
        <v>96.8125</v>
      </c>
    </row>
    <row r="4" spans="1:61" x14ac:dyDescent="0.2">
      <c r="A4" s="29">
        <v>2</v>
      </c>
      <c r="B4" s="88" t="s">
        <v>113</v>
      </c>
      <c r="C4" s="70" t="s">
        <v>35</v>
      </c>
      <c r="D4" s="70" t="s">
        <v>34</v>
      </c>
      <c r="E4" s="19">
        <v>90</v>
      </c>
      <c r="F4" s="20"/>
      <c r="G4" s="20">
        <v>96</v>
      </c>
      <c r="H4" s="20"/>
      <c r="I4" s="20">
        <v>88</v>
      </c>
      <c r="J4" s="20"/>
      <c r="K4" s="20">
        <v>80</v>
      </c>
      <c r="L4" s="21"/>
      <c r="M4" s="19">
        <v>78</v>
      </c>
      <c r="N4" s="20"/>
      <c r="O4" s="20">
        <v>80</v>
      </c>
      <c r="P4" s="20"/>
      <c r="Q4" s="20">
        <v>83</v>
      </c>
      <c r="R4" s="20"/>
      <c r="S4" s="20">
        <v>80</v>
      </c>
      <c r="T4" s="21"/>
      <c r="U4" s="19">
        <v>76</v>
      </c>
      <c r="V4" s="20"/>
      <c r="W4" s="20">
        <v>80</v>
      </c>
      <c r="X4" s="20"/>
      <c r="Y4" s="20">
        <v>86</v>
      </c>
      <c r="Z4" s="20"/>
      <c r="AA4" s="20">
        <v>80</v>
      </c>
      <c r="AB4" s="21"/>
      <c r="AC4" s="19">
        <v>70</v>
      </c>
      <c r="AD4" s="20"/>
      <c r="AE4" s="20">
        <v>79</v>
      </c>
      <c r="AF4" s="20"/>
      <c r="AG4" s="20">
        <v>83</v>
      </c>
      <c r="AH4" s="20"/>
      <c r="AI4" s="20">
        <v>85</v>
      </c>
      <c r="AJ4" s="21"/>
      <c r="AK4" s="44">
        <f t="shared" ref="AK4:AK47" si="4">SUMIF(E4:E4, "&gt;=70") / 4 +SUMIF(G4:G4, "&gt;=70") / 4 +SUMIF(I4:I4, "&gt;=70") / 4 +SUMIF(K4:K4, "&gt;=70") / 4 + SUMIF(F4:F4, "&gt;1") / 4 + SUMIF(H4:H4, "&gt;1") / 4 + SUMIF(J4:J4, "&gt;1") / 4 + SUMIF(L4:L4, "&gt;1") / 4</f>
        <v>88.5</v>
      </c>
      <c r="AL4" s="45">
        <f t="shared" ref="AL4:AL47" si="5">SUMIF(M4:M4, "&gt;=70") / 4 +SUMIF(O4:O4, "&gt;=70") / 4 +SUMIF(Q4:Q4, "&gt;=70") / 4 +SUMIF(S4:S4, "&gt;=70") / 4 + SUMIF(N4:N4, "&gt;1") / 4 + SUMIF(P4:P4, "&gt;1") / 4 + SUMIF(R4:R4, "&gt;1") / 4 + SUMIF(T4:T4, "&gt;1") / 4</f>
        <v>80.25</v>
      </c>
      <c r="AM4" s="46">
        <f t="shared" ref="AM4:AM47" si="6">SUMIF(U4:U4, "&gt;=70") / 4 +SUMIF(W4:W4, "&gt;=70") / 4 +SUMIF(Y4:Y4, "&gt;=70") / 4 +SUMIF(AA4:AA4, "&gt;=70") / 4 + SUMIF(V4:V4, "&gt;1") / 4 + SUMIF(X4:X4, "&gt;1") / 4 + SUMIF(Z4:Z4, "&gt;1") / 4 + SUMIF(AB4:AB4, "&gt;1") / 4</f>
        <v>80.5</v>
      </c>
      <c r="AN4" s="47">
        <f t="shared" ref="AN4:AN47" si="7">SUMIF(AC4:AC4, "&gt;=65") / 4 +SUMIF(AE4:AE4, "&gt;=65") / 4 +SUMIF(AG4:AG4, "&gt;=65") / 4 +SUMIF(AI4:AI4, "&gt;=65") / 4 + SUMIF(AD4:AD4, "&gt;1") / 4 + SUMIF(AF4:AF4, "&gt;1") / 4 + SUMIF(AH4:AH4, "&gt;1") / 4 + SUMIF(AJ4:AJ4, "&gt;1") / 4</f>
        <v>79.25</v>
      </c>
      <c r="AO4" s="48">
        <f t="shared" ref="AO4:AO47" si="8">AVERAGE(AK4:AN4)</f>
        <v>82.125</v>
      </c>
      <c r="AP4" s="37"/>
      <c r="AR4" s="54" t="str">
        <f t="shared" ref="AR4:AR47" si="9">IF(AO4&lt;70, AO4*0.5, "")</f>
        <v/>
      </c>
      <c r="AS4" s="35"/>
      <c r="AT4" s="56">
        <f t="shared" ref="AT4:AT47" si="10">AS4*50%</f>
        <v>0</v>
      </c>
      <c r="AU4" s="57" t="str">
        <f t="shared" ref="AU4:AU47" si="11">IF(AS4&lt;&gt;"", IF(AR4="","",AR4+AT4), "")</f>
        <v/>
      </c>
      <c r="AV4" s="54" t="str">
        <f t="shared" ref="AV4:AV47" si="12">IF(AU4 &lt; 70, AR4*30%, "")</f>
        <v/>
      </c>
      <c r="AW4" s="36"/>
      <c r="AX4" s="56">
        <f t="shared" ref="AX4:AX47" si="13">AW4*70%</f>
        <v>0</v>
      </c>
      <c r="AY4" s="60" t="str">
        <f t="shared" ref="AY4:AY47" si="14">IF(AW4&lt;&gt;"", IF(AV4="", "", AV4+AX4), "")</f>
        <v/>
      </c>
      <c r="AZ4" s="54" t="str">
        <f t="shared" ref="AZ4:AZ47" si="15">IF(AND(AU4&lt;70, AY4&lt;70), AO4, "")</f>
        <v/>
      </c>
      <c r="BA4" s="21"/>
      <c r="BB4" s="62">
        <f t="shared" ref="BB4:BB47" si="16">IF(AW4&lt;&gt;"", IF(AY4&gt;=70, AY4, IF(AZ4+BA4&gt;=70, AZ4+BA4, "")),
   IF(AS4&lt;&gt;"", IF(AU4&gt;=70, AU4, ""),
   IF(AO4&gt;=70, AO4, "")))</f>
        <v>82.125</v>
      </c>
      <c r="BC4" s="64" t="str">
        <f t="shared" ref="BC4:BC47" si="17">IF(AW4&lt;&gt;"", IF(AY4&lt;70, IF(AZ4+BA4&lt;70, AZ4+BA4, ""), ""), IF(AS4&lt;&gt;"", IF(AU4&lt;70, AU4, ""), IF(AO4&lt;70, AO4, "")))</f>
        <v/>
      </c>
      <c r="BE4" s="20">
        <f t="shared" si="0"/>
        <v>78.5</v>
      </c>
      <c r="BF4" s="20">
        <f t="shared" si="1"/>
        <v>83.75</v>
      </c>
      <c r="BG4" s="89">
        <f t="shared" si="2"/>
        <v>85</v>
      </c>
      <c r="BH4" s="20">
        <f t="shared" si="3"/>
        <v>81.25</v>
      </c>
      <c r="BI4" s="20">
        <f>AVERAGE(BE4:BH4)</f>
        <v>82.125</v>
      </c>
    </row>
    <row r="5" spans="1:61" x14ac:dyDescent="0.2">
      <c r="A5" s="29">
        <v>3</v>
      </c>
      <c r="B5" s="88" t="s">
        <v>114</v>
      </c>
      <c r="C5" s="69" t="s">
        <v>36</v>
      </c>
      <c r="D5" s="69" t="s">
        <v>37</v>
      </c>
      <c r="E5" s="19">
        <v>77</v>
      </c>
      <c r="F5" s="20"/>
      <c r="G5" s="20">
        <v>80</v>
      </c>
      <c r="H5" s="20"/>
      <c r="I5" s="20">
        <v>88</v>
      </c>
      <c r="J5" s="20"/>
      <c r="K5" s="20">
        <v>80</v>
      </c>
      <c r="L5" s="21"/>
      <c r="M5" s="19">
        <v>78</v>
      </c>
      <c r="N5" s="20"/>
      <c r="O5" s="20">
        <v>80</v>
      </c>
      <c r="P5" s="20"/>
      <c r="Q5" s="20">
        <v>83</v>
      </c>
      <c r="R5" s="20"/>
      <c r="S5" s="20">
        <v>80</v>
      </c>
      <c r="T5" s="21"/>
      <c r="U5" s="19">
        <v>76</v>
      </c>
      <c r="V5" s="20"/>
      <c r="W5" s="20">
        <v>80</v>
      </c>
      <c r="X5" s="20"/>
      <c r="Y5" s="20">
        <v>86</v>
      </c>
      <c r="Z5" s="20"/>
      <c r="AA5" s="20">
        <v>80</v>
      </c>
      <c r="AB5" s="21"/>
      <c r="AC5" s="19">
        <v>70</v>
      </c>
      <c r="AD5" s="20"/>
      <c r="AE5" s="20">
        <v>79</v>
      </c>
      <c r="AF5" s="20"/>
      <c r="AG5" s="20">
        <v>83</v>
      </c>
      <c r="AH5" s="20"/>
      <c r="AI5" s="20">
        <v>85</v>
      </c>
      <c r="AJ5" s="21"/>
      <c r="AK5" s="44">
        <f t="shared" si="4"/>
        <v>81.25</v>
      </c>
      <c r="AL5" s="45">
        <f t="shared" si="5"/>
        <v>80.25</v>
      </c>
      <c r="AM5" s="46">
        <f t="shared" si="6"/>
        <v>80.5</v>
      </c>
      <c r="AN5" s="47">
        <f t="shared" si="7"/>
        <v>79.25</v>
      </c>
      <c r="AO5" s="48">
        <f t="shared" si="8"/>
        <v>80.3125</v>
      </c>
      <c r="AP5" s="37"/>
      <c r="AR5" s="54" t="str">
        <f t="shared" si="9"/>
        <v/>
      </c>
      <c r="AS5" s="35"/>
      <c r="AT5" s="56">
        <f t="shared" si="10"/>
        <v>0</v>
      </c>
      <c r="AU5" s="57" t="str">
        <f t="shared" si="11"/>
        <v/>
      </c>
      <c r="AV5" s="54" t="str">
        <f t="shared" si="12"/>
        <v/>
      </c>
      <c r="AW5" s="36"/>
      <c r="AX5" s="56">
        <f t="shared" si="13"/>
        <v>0</v>
      </c>
      <c r="AY5" s="60" t="str">
        <f t="shared" si="14"/>
        <v/>
      </c>
      <c r="AZ5" s="54" t="str">
        <f t="shared" si="15"/>
        <v/>
      </c>
      <c r="BA5" s="21"/>
      <c r="BB5" s="62">
        <f t="shared" si="16"/>
        <v>80.3125</v>
      </c>
      <c r="BC5" s="64" t="str">
        <f t="shared" si="17"/>
        <v/>
      </c>
      <c r="BE5" s="20">
        <f>SUM(E5+M5+U5+AC5)/4</f>
        <v>75.25</v>
      </c>
      <c r="BF5" s="20">
        <f>SUM(G5+O5+W5+AE5)/4</f>
        <v>79.75</v>
      </c>
      <c r="BG5" s="89">
        <f>SUM(I5+Q5+Y5+AG5)/4</f>
        <v>85</v>
      </c>
      <c r="BH5" s="20">
        <f>SUM(K5+S5+AA5+AI5)/4</f>
        <v>81.25</v>
      </c>
      <c r="BI5" s="20">
        <f>AVERAGE(BE5:BH5)</f>
        <v>80.3125</v>
      </c>
    </row>
    <row r="6" spans="1:61" x14ac:dyDescent="0.2">
      <c r="A6" s="29">
        <v>4</v>
      </c>
      <c r="B6" s="88" t="s">
        <v>115</v>
      </c>
      <c r="C6" s="70" t="s">
        <v>38</v>
      </c>
      <c r="D6" s="70" t="s">
        <v>39</v>
      </c>
      <c r="E6" s="19">
        <v>90</v>
      </c>
      <c r="F6" s="20"/>
      <c r="G6" s="20">
        <v>92</v>
      </c>
      <c r="H6" s="20"/>
      <c r="I6" s="20">
        <v>85</v>
      </c>
      <c r="J6" s="20"/>
      <c r="K6" s="20">
        <v>90</v>
      </c>
      <c r="L6" s="21"/>
      <c r="M6" s="19">
        <v>89</v>
      </c>
      <c r="N6" s="20"/>
      <c r="O6" s="20">
        <v>90</v>
      </c>
      <c r="P6" s="20"/>
      <c r="Q6" s="20">
        <v>86</v>
      </c>
      <c r="R6" s="20"/>
      <c r="S6" s="20">
        <v>85</v>
      </c>
      <c r="T6" s="21"/>
      <c r="U6" s="19">
        <v>92</v>
      </c>
      <c r="V6" s="20"/>
      <c r="W6" s="20">
        <v>95</v>
      </c>
      <c r="X6" s="20"/>
      <c r="Y6" s="20">
        <v>88</v>
      </c>
      <c r="Z6" s="20"/>
      <c r="AA6" s="20">
        <v>85</v>
      </c>
      <c r="AB6" s="21"/>
      <c r="AC6" s="19">
        <v>90</v>
      </c>
      <c r="AD6" s="20"/>
      <c r="AE6" s="20">
        <v>92</v>
      </c>
      <c r="AF6" s="20"/>
      <c r="AG6" s="20">
        <v>90</v>
      </c>
      <c r="AH6" s="20"/>
      <c r="AI6" s="20">
        <v>85</v>
      </c>
      <c r="AJ6" s="21"/>
      <c r="AK6" s="44">
        <f t="shared" si="4"/>
        <v>89.25</v>
      </c>
      <c r="AL6" s="45">
        <f t="shared" si="5"/>
        <v>87.5</v>
      </c>
      <c r="AM6" s="46">
        <f t="shared" si="6"/>
        <v>90</v>
      </c>
      <c r="AN6" s="47">
        <f t="shared" si="7"/>
        <v>89.25</v>
      </c>
      <c r="AO6" s="48">
        <f t="shared" si="8"/>
        <v>89</v>
      </c>
      <c r="AP6" s="37"/>
      <c r="AR6" s="54" t="str">
        <f t="shared" si="9"/>
        <v/>
      </c>
      <c r="AS6" s="35"/>
      <c r="AT6" s="56">
        <f t="shared" si="10"/>
        <v>0</v>
      </c>
      <c r="AU6" s="57" t="str">
        <f t="shared" si="11"/>
        <v/>
      </c>
      <c r="AV6" s="54" t="str">
        <f t="shared" si="12"/>
        <v/>
      </c>
      <c r="AW6" s="35"/>
      <c r="AX6" s="56">
        <f t="shared" si="13"/>
        <v>0</v>
      </c>
      <c r="AY6" s="60" t="str">
        <f t="shared" si="14"/>
        <v/>
      </c>
      <c r="AZ6" s="54" t="str">
        <f t="shared" si="15"/>
        <v/>
      </c>
      <c r="BA6" s="21"/>
      <c r="BB6" s="62">
        <f t="shared" si="16"/>
        <v>89</v>
      </c>
      <c r="BC6" s="64" t="str">
        <f t="shared" si="17"/>
        <v/>
      </c>
      <c r="BE6" s="20">
        <f t="shared" ref="BE6:BE47" si="18">SUM(E6+M6+U6+AC6)/4</f>
        <v>90.25</v>
      </c>
      <c r="BF6" s="20">
        <f t="shared" ref="BF6:BF47" si="19">SUM(G6+O6+W6+AE6)/4</f>
        <v>92.25</v>
      </c>
      <c r="BG6" s="89">
        <f t="shared" ref="BG6:BG47" si="20">SUM(I6+Q6+Y6+AG6)/4</f>
        <v>87.25</v>
      </c>
      <c r="BH6" s="20">
        <f t="shared" ref="BH6:BH47" si="21">SUM(K6+S6+AA6+AI6)/4</f>
        <v>86.25</v>
      </c>
      <c r="BI6" s="20">
        <f t="shared" ref="BI6:BI47" si="22">AVERAGE(BE6:BH6)</f>
        <v>89</v>
      </c>
    </row>
    <row r="7" spans="1:61" x14ac:dyDescent="0.2">
      <c r="A7" s="29">
        <v>5</v>
      </c>
      <c r="B7" s="88" t="s">
        <v>116</v>
      </c>
      <c r="C7" s="71" t="s">
        <v>32</v>
      </c>
      <c r="D7" s="72" t="s">
        <v>40</v>
      </c>
      <c r="E7" s="19">
        <v>96</v>
      </c>
      <c r="F7" s="20"/>
      <c r="G7" s="20">
        <v>95</v>
      </c>
      <c r="H7" s="20"/>
      <c r="I7" s="20">
        <v>98</v>
      </c>
      <c r="J7" s="20"/>
      <c r="K7" s="20">
        <v>99</v>
      </c>
      <c r="L7" s="21"/>
      <c r="M7" s="19">
        <v>90</v>
      </c>
      <c r="N7" s="20"/>
      <c r="O7" s="20">
        <v>99</v>
      </c>
      <c r="P7" s="20"/>
      <c r="Q7" s="20">
        <v>99</v>
      </c>
      <c r="R7" s="20"/>
      <c r="S7" s="20">
        <v>100</v>
      </c>
      <c r="T7" s="21"/>
      <c r="U7" s="19">
        <v>96</v>
      </c>
      <c r="V7" s="20"/>
      <c r="W7" s="20">
        <v>97</v>
      </c>
      <c r="X7" s="20"/>
      <c r="Y7" s="20">
        <v>98</v>
      </c>
      <c r="Z7" s="20"/>
      <c r="AA7" s="20">
        <v>100</v>
      </c>
      <c r="AB7" s="21"/>
      <c r="AC7" s="19">
        <v>97</v>
      </c>
      <c r="AD7" s="20"/>
      <c r="AE7" s="20">
        <v>92</v>
      </c>
      <c r="AF7" s="20"/>
      <c r="AG7" s="20">
        <v>93</v>
      </c>
      <c r="AH7" s="20"/>
      <c r="AI7" s="20">
        <v>100</v>
      </c>
      <c r="AJ7" s="21"/>
      <c r="AK7" s="44">
        <f t="shared" si="4"/>
        <v>97</v>
      </c>
      <c r="AL7" s="45">
        <f t="shared" si="5"/>
        <v>97</v>
      </c>
      <c r="AM7" s="46">
        <f t="shared" si="6"/>
        <v>97.75</v>
      </c>
      <c r="AN7" s="47">
        <f t="shared" si="7"/>
        <v>95.5</v>
      </c>
      <c r="AO7" s="48">
        <f t="shared" si="8"/>
        <v>96.8125</v>
      </c>
      <c r="AP7" s="37"/>
      <c r="AR7" s="54" t="str">
        <f t="shared" si="9"/>
        <v/>
      </c>
      <c r="AS7" s="35"/>
      <c r="AT7" s="56">
        <f t="shared" si="10"/>
        <v>0</v>
      </c>
      <c r="AU7" s="57" t="str">
        <f t="shared" si="11"/>
        <v/>
      </c>
      <c r="AV7" s="54" t="str">
        <f t="shared" si="12"/>
        <v/>
      </c>
      <c r="AW7" s="35"/>
      <c r="AX7" s="56">
        <f t="shared" si="13"/>
        <v>0</v>
      </c>
      <c r="AY7" s="60" t="str">
        <f t="shared" si="14"/>
        <v/>
      </c>
      <c r="AZ7" s="54" t="str">
        <f t="shared" si="15"/>
        <v/>
      </c>
      <c r="BA7" s="21"/>
      <c r="BB7" s="62">
        <f t="shared" si="16"/>
        <v>96.8125</v>
      </c>
      <c r="BC7" s="64" t="str">
        <f t="shared" si="17"/>
        <v/>
      </c>
      <c r="BE7" s="20">
        <f t="shared" si="18"/>
        <v>94.75</v>
      </c>
      <c r="BF7" s="20">
        <f t="shared" si="19"/>
        <v>95.75</v>
      </c>
      <c r="BG7" s="89">
        <f t="shared" si="20"/>
        <v>97</v>
      </c>
      <c r="BH7" s="20">
        <f t="shared" si="21"/>
        <v>99.75</v>
      </c>
      <c r="BI7" s="20">
        <f t="shared" si="22"/>
        <v>96.8125</v>
      </c>
    </row>
    <row r="8" spans="1:61" x14ac:dyDescent="0.2">
      <c r="A8" s="29">
        <v>6</v>
      </c>
      <c r="B8" s="88" t="s">
        <v>117</v>
      </c>
      <c r="C8" s="70" t="s">
        <v>41</v>
      </c>
      <c r="D8" s="70" t="s">
        <v>42</v>
      </c>
      <c r="E8" s="19">
        <v>85</v>
      </c>
      <c r="F8" s="20"/>
      <c r="G8" s="20">
        <v>70</v>
      </c>
      <c r="H8" s="20"/>
      <c r="I8" s="20">
        <v>60</v>
      </c>
      <c r="J8" s="20">
        <v>73</v>
      </c>
      <c r="K8" s="20">
        <v>70</v>
      </c>
      <c r="L8" s="21"/>
      <c r="M8" s="19">
        <v>80</v>
      </c>
      <c r="N8" s="20"/>
      <c r="O8" s="20">
        <v>78</v>
      </c>
      <c r="P8" s="20"/>
      <c r="Q8" s="20">
        <v>60</v>
      </c>
      <c r="R8" s="20">
        <v>70</v>
      </c>
      <c r="S8" s="20">
        <v>70</v>
      </c>
      <c r="T8" s="21"/>
      <c r="U8" s="19">
        <v>80</v>
      </c>
      <c r="V8" s="20"/>
      <c r="W8" s="20">
        <v>65</v>
      </c>
      <c r="X8" s="20">
        <v>71</v>
      </c>
      <c r="Y8" s="20">
        <v>70</v>
      </c>
      <c r="Z8" s="20"/>
      <c r="AA8" s="20">
        <v>70</v>
      </c>
      <c r="AB8" s="21"/>
      <c r="AC8" s="19">
        <v>78</v>
      </c>
      <c r="AD8" s="20"/>
      <c r="AE8" s="20">
        <v>60</v>
      </c>
      <c r="AF8" s="20">
        <v>72</v>
      </c>
      <c r="AG8" s="20">
        <v>70</v>
      </c>
      <c r="AH8" s="20"/>
      <c r="AI8" s="20">
        <v>70</v>
      </c>
      <c r="AJ8" s="21"/>
      <c r="AK8" s="44">
        <f t="shared" si="4"/>
        <v>74.5</v>
      </c>
      <c r="AL8" s="45">
        <f t="shared" si="5"/>
        <v>74.5</v>
      </c>
      <c r="AM8" s="46">
        <f t="shared" si="6"/>
        <v>72.75</v>
      </c>
      <c r="AN8" s="47">
        <f t="shared" si="7"/>
        <v>72.5</v>
      </c>
      <c r="AO8" s="48">
        <f t="shared" si="8"/>
        <v>73.5625</v>
      </c>
      <c r="AP8" s="37"/>
      <c r="AR8" s="54" t="str">
        <f t="shared" si="9"/>
        <v/>
      </c>
      <c r="AS8" s="35"/>
      <c r="AT8" s="56">
        <f t="shared" si="10"/>
        <v>0</v>
      </c>
      <c r="AU8" s="57" t="str">
        <f t="shared" si="11"/>
        <v/>
      </c>
      <c r="AV8" s="54" t="str">
        <f t="shared" si="12"/>
        <v/>
      </c>
      <c r="AW8" s="35"/>
      <c r="AX8" s="56">
        <f t="shared" si="13"/>
        <v>0</v>
      </c>
      <c r="AY8" s="60" t="str">
        <f t="shared" si="14"/>
        <v/>
      </c>
      <c r="AZ8" s="54" t="str">
        <f t="shared" si="15"/>
        <v/>
      </c>
      <c r="BA8" s="21"/>
      <c r="BB8" s="62">
        <f t="shared" si="16"/>
        <v>73.5625</v>
      </c>
      <c r="BC8" s="64" t="str">
        <f t="shared" si="17"/>
        <v/>
      </c>
      <c r="BE8" s="20">
        <f t="shared" si="18"/>
        <v>80.75</v>
      </c>
      <c r="BF8" s="20">
        <f t="shared" si="19"/>
        <v>68.25</v>
      </c>
      <c r="BG8" s="89">
        <f t="shared" si="20"/>
        <v>65</v>
      </c>
      <c r="BH8" s="20">
        <f t="shared" si="21"/>
        <v>70</v>
      </c>
      <c r="BI8" s="20">
        <f t="shared" si="22"/>
        <v>71</v>
      </c>
    </row>
    <row r="9" spans="1:61" x14ac:dyDescent="0.2">
      <c r="A9" s="29">
        <v>7</v>
      </c>
      <c r="B9" s="88" t="s">
        <v>118</v>
      </c>
      <c r="C9" s="69" t="s">
        <v>43</v>
      </c>
      <c r="D9" s="69" t="s">
        <v>44</v>
      </c>
      <c r="E9" s="19">
        <v>85</v>
      </c>
      <c r="F9" s="20"/>
      <c r="G9" s="20">
        <v>90</v>
      </c>
      <c r="H9" s="20"/>
      <c r="I9" s="20">
        <v>90</v>
      </c>
      <c r="J9" s="20"/>
      <c r="K9" s="20">
        <v>95</v>
      </c>
      <c r="L9" s="21"/>
      <c r="M9" s="19">
        <v>88</v>
      </c>
      <c r="N9" s="20"/>
      <c r="O9" s="20">
        <v>92</v>
      </c>
      <c r="P9" s="20"/>
      <c r="Q9" s="20">
        <v>85</v>
      </c>
      <c r="R9" s="20"/>
      <c r="S9" s="20">
        <v>95</v>
      </c>
      <c r="T9" s="21"/>
      <c r="U9" s="19">
        <v>89</v>
      </c>
      <c r="V9" s="20"/>
      <c r="W9" s="20">
        <v>93</v>
      </c>
      <c r="X9" s="20"/>
      <c r="Y9" s="20">
        <v>88</v>
      </c>
      <c r="Z9" s="20"/>
      <c r="AA9" s="20">
        <v>90</v>
      </c>
      <c r="AB9" s="21"/>
      <c r="AC9" s="19">
        <v>90</v>
      </c>
      <c r="AD9" s="20"/>
      <c r="AE9" s="20">
        <v>95</v>
      </c>
      <c r="AF9" s="20"/>
      <c r="AG9" s="20">
        <v>90</v>
      </c>
      <c r="AH9" s="20"/>
      <c r="AI9" s="20">
        <v>92</v>
      </c>
      <c r="AJ9" s="21"/>
      <c r="AK9" s="44">
        <f t="shared" si="4"/>
        <v>90</v>
      </c>
      <c r="AL9" s="45">
        <f t="shared" si="5"/>
        <v>90</v>
      </c>
      <c r="AM9" s="46">
        <f t="shared" si="6"/>
        <v>90</v>
      </c>
      <c r="AN9" s="47">
        <f t="shared" si="7"/>
        <v>91.75</v>
      </c>
      <c r="AO9" s="48">
        <f t="shared" si="8"/>
        <v>90.4375</v>
      </c>
      <c r="AP9" s="37"/>
      <c r="AR9" s="54" t="str">
        <f t="shared" si="9"/>
        <v/>
      </c>
      <c r="AS9" s="35"/>
      <c r="AT9" s="56">
        <f t="shared" si="10"/>
        <v>0</v>
      </c>
      <c r="AU9" s="57" t="str">
        <f t="shared" si="11"/>
        <v/>
      </c>
      <c r="AV9" s="54" t="str">
        <f t="shared" si="12"/>
        <v/>
      </c>
      <c r="AW9" s="35"/>
      <c r="AX9" s="56">
        <f t="shared" si="13"/>
        <v>0</v>
      </c>
      <c r="AY9" s="60" t="str">
        <f t="shared" si="14"/>
        <v/>
      </c>
      <c r="AZ9" s="54" t="str">
        <f t="shared" si="15"/>
        <v/>
      </c>
      <c r="BA9" s="21"/>
      <c r="BB9" s="62">
        <f t="shared" si="16"/>
        <v>90.4375</v>
      </c>
      <c r="BC9" s="64" t="str">
        <f t="shared" si="17"/>
        <v/>
      </c>
      <c r="BE9" s="20">
        <f t="shared" si="18"/>
        <v>88</v>
      </c>
      <c r="BF9" s="20">
        <f t="shared" si="19"/>
        <v>92.5</v>
      </c>
      <c r="BG9" s="89">
        <f t="shared" si="20"/>
        <v>88.25</v>
      </c>
      <c r="BH9" s="20">
        <f t="shared" si="21"/>
        <v>93</v>
      </c>
      <c r="BI9" s="20">
        <f t="shared" si="22"/>
        <v>90.4375</v>
      </c>
    </row>
    <row r="10" spans="1:61" x14ac:dyDescent="0.2">
      <c r="A10" s="29">
        <v>8</v>
      </c>
      <c r="B10" s="88" t="s">
        <v>119</v>
      </c>
      <c r="C10" s="70" t="s">
        <v>45</v>
      </c>
      <c r="D10" s="70" t="s">
        <v>46</v>
      </c>
      <c r="E10" s="19">
        <v>75</v>
      </c>
      <c r="F10" s="20"/>
      <c r="G10" s="20">
        <v>73</v>
      </c>
      <c r="H10" s="20"/>
      <c r="I10" s="20">
        <v>60</v>
      </c>
      <c r="J10" s="20">
        <v>72</v>
      </c>
      <c r="K10" s="20">
        <v>65</v>
      </c>
      <c r="L10" s="21">
        <v>70</v>
      </c>
      <c r="M10" s="19">
        <v>75</v>
      </c>
      <c r="N10" s="20"/>
      <c r="O10" s="20">
        <v>60</v>
      </c>
      <c r="P10" s="20">
        <v>72</v>
      </c>
      <c r="Q10" s="20">
        <v>60</v>
      </c>
      <c r="R10" s="20">
        <v>75</v>
      </c>
      <c r="S10" s="20">
        <v>70</v>
      </c>
      <c r="T10" s="21"/>
      <c r="U10" s="19">
        <v>70</v>
      </c>
      <c r="V10" s="20"/>
      <c r="W10" s="20">
        <v>65</v>
      </c>
      <c r="X10" s="20">
        <v>75</v>
      </c>
      <c r="Y10" s="20">
        <v>60</v>
      </c>
      <c r="Z10" s="20">
        <v>70</v>
      </c>
      <c r="AA10" s="20">
        <v>70</v>
      </c>
      <c r="AB10" s="21"/>
      <c r="AC10" s="19">
        <v>70</v>
      </c>
      <c r="AD10" s="20"/>
      <c r="AE10" s="20">
        <v>72</v>
      </c>
      <c r="AF10" s="20"/>
      <c r="AG10" s="20">
        <v>65</v>
      </c>
      <c r="AH10" s="20">
        <v>76</v>
      </c>
      <c r="AI10" s="20">
        <v>70</v>
      </c>
      <c r="AJ10" s="21"/>
      <c r="AK10" s="44">
        <f t="shared" si="4"/>
        <v>72.5</v>
      </c>
      <c r="AL10" s="45">
        <f t="shared" si="5"/>
        <v>73</v>
      </c>
      <c r="AM10" s="46">
        <f t="shared" si="6"/>
        <v>71.25</v>
      </c>
      <c r="AN10" s="47">
        <f t="shared" si="7"/>
        <v>88.25</v>
      </c>
      <c r="AO10" s="48">
        <f t="shared" si="8"/>
        <v>76.25</v>
      </c>
      <c r="AP10" s="37"/>
      <c r="AR10" s="54" t="str">
        <f t="shared" si="9"/>
        <v/>
      </c>
      <c r="AS10" s="35"/>
      <c r="AT10" s="56">
        <f t="shared" si="10"/>
        <v>0</v>
      </c>
      <c r="AU10" s="57" t="str">
        <f t="shared" si="11"/>
        <v/>
      </c>
      <c r="AV10" s="54" t="str">
        <f t="shared" si="12"/>
        <v/>
      </c>
      <c r="AW10" s="35"/>
      <c r="AX10" s="56">
        <f t="shared" si="13"/>
        <v>0</v>
      </c>
      <c r="AY10" s="60" t="str">
        <f t="shared" si="14"/>
        <v/>
      </c>
      <c r="AZ10" s="54" t="str">
        <f t="shared" si="15"/>
        <v/>
      </c>
      <c r="BA10" s="21"/>
      <c r="BB10" s="62">
        <f t="shared" si="16"/>
        <v>76.25</v>
      </c>
      <c r="BC10" s="64" t="str">
        <f t="shared" si="17"/>
        <v/>
      </c>
      <c r="BE10" s="20">
        <f t="shared" si="18"/>
        <v>72.5</v>
      </c>
      <c r="BF10" s="20">
        <f t="shared" si="19"/>
        <v>67.5</v>
      </c>
      <c r="BG10" s="89">
        <f t="shared" si="20"/>
        <v>61.25</v>
      </c>
      <c r="BH10" s="20">
        <f t="shared" si="21"/>
        <v>68.75</v>
      </c>
      <c r="BI10" s="20">
        <f t="shared" si="22"/>
        <v>67.5</v>
      </c>
    </row>
    <row r="11" spans="1:61" x14ac:dyDescent="0.2">
      <c r="A11" s="29">
        <v>9</v>
      </c>
      <c r="B11" s="88" t="s">
        <v>120</v>
      </c>
      <c r="C11" s="69" t="s">
        <v>47</v>
      </c>
      <c r="D11" s="69" t="s">
        <v>48</v>
      </c>
      <c r="E11" s="19">
        <v>70</v>
      </c>
      <c r="F11" s="20"/>
      <c r="G11" s="20">
        <v>60</v>
      </c>
      <c r="H11" s="20">
        <v>73</v>
      </c>
      <c r="I11" s="20">
        <v>76</v>
      </c>
      <c r="J11" s="20"/>
      <c r="K11" s="20">
        <v>70</v>
      </c>
      <c r="L11" s="21"/>
      <c r="M11" s="19">
        <v>73</v>
      </c>
      <c r="N11" s="20"/>
      <c r="O11" s="20">
        <v>65</v>
      </c>
      <c r="P11" s="20">
        <v>70</v>
      </c>
      <c r="Q11" s="20">
        <v>73</v>
      </c>
      <c r="R11" s="20"/>
      <c r="S11" s="20">
        <v>70</v>
      </c>
      <c r="T11" s="21"/>
      <c r="U11" s="19">
        <v>75</v>
      </c>
      <c r="V11" s="20"/>
      <c r="W11" s="20">
        <v>60</v>
      </c>
      <c r="X11" s="20">
        <v>72</v>
      </c>
      <c r="Y11" s="20">
        <v>70</v>
      </c>
      <c r="Z11" s="20"/>
      <c r="AA11" s="20">
        <v>72</v>
      </c>
      <c r="AB11" s="21"/>
      <c r="AC11" s="19">
        <v>77</v>
      </c>
      <c r="AD11" s="20"/>
      <c r="AE11" s="20">
        <v>65</v>
      </c>
      <c r="AF11" s="20">
        <v>70</v>
      </c>
      <c r="AG11" s="20">
        <v>70</v>
      </c>
      <c r="AH11" s="20"/>
      <c r="AI11" s="20">
        <v>72</v>
      </c>
      <c r="AJ11" s="21"/>
      <c r="AK11" s="44">
        <f t="shared" si="4"/>
        <v>72.25</v>
      </c>
      <c r="AL11" s="45">
        <f t="shared" si="5"/>
        <v>71.5</v>
      </c>
      <c r="AM11" s="46">
        <f t="shared" si="6"/>
        <v>72.25</v>
      </c>
      <c r="AN11" s="47">
        <f t="shared" si="7"/>
        <v>88.5</v>
      </c>
      <c r="AO11" s="48">
        <f t="shared" si="8"/>
        <v>76.125</v>
      </c>
      <c r="AP11" s="37"/>
      <c r="AR11" s="54" t="str">
        <f t="shared" si="9"/>
        <v/>
      </c>
      <c r="AS11" s="35"/>
      <c r="AT11" s="56">
        <f t="shared" si="10"/>
        <v>0</v>
      </c>
      <c r="AU11" s="57" t="str">
        <f t="shared" si="11"/>
        <v/>
      </c>
      <c r="AV11" s="54" t="str">
        <f t="shared" si="12"/>
        <v/>
      </c>
      <c r="AW11" s="35"/>
      <c r="AX11" s="56">
        <f t="shared" si="13"/>
        <v>0</v>
      </c>
      <c r="AY11" s="60" t="str">
        <f t="shared" si="14"/>
        <v/>
      </c>
      <c r="AZ11" s="54" t="str">
        <f t="shared" si="15"/>
        <v/>
      </c>
      <c r="BA11" s="21"/>
      <c r="BB11" s="62">
        <f t="shared" si="16"/>
        <v>76.125</v>
      </c>
      <c r="BC11" s="64" t="str">
        <f t="shared" si="17"/>
        <v/>
      </c>
      <c r="BE11" s="20">
        <f t="shared" si="18"/>
        <v>73.75</v>
      </c>
      <c r="BF11" s="20">
        <f t="shared" si="19"/>
        <v>62.5</v>
      </c>
      <c r="BG11" s="89">
        <f t="shared" si="20"/>
        <v>72.25</v>
      </c>
      <c r="BH11" s="20">
        <f t="shared" si="21"/>
        <v>71</v>
      </c>
      <c r="BI11" s="20">
        <f t="shared" si="22"/>
        <v>69.875</v>
      </c>
    </row>
    <row r="12" spans="1:61" x14ac:dyDescent="0.2">
      <c r="A12" s="29">
        <v>10</v>
      </c>
      <c r="B12" s="88" t="s">
        <v>121</v>
      </c>
      <c r="C12" s="70" t="s">
        <v>49</v>
      </c>
      <c r="D12" s="70" t="s">
        <v>50</v>
      </c>
      <c r="E12" s="19">
        <v>80</v>
      </c>
      <c r="F12" s="20"/>
      <c r="G12" s="20">
        <v>82</v>
      </c>
      <c r="H12" s="20"/>
      <c r="I12" s="20">
        <v>84</v>
      </c>
      <c r="J12" s="20"/>
      <c r="K12" s="20">
        <v>86</v>
      </c>
      <c r="L12" s="21"/>
      <c r="M12" s="19">
        <v>80</v>
      </c>
      <c r="N12" s="20"/>
      <c r="O12" s="20">
        <v>80</v>
      </c>
      <c r="P12" s="20"/>
      <c r="Q12" s="20">
        <v>85</v>
      </c>
      <c r="R12" s="20"/>
      <c r="S12" s="20">
        <v>82</v>
      </c>
      <c r="T12" s="21"/>
      <c r="U12" s="19">
        <v>76</v>
      </c>
      <c r="V12" s="20"/>
      <c r="W12" s="20">
        <v>81</v>
      </c>
      <c r="X12" s="20"/>
      <c r="Y12" s="20">
        <v>85</v>
      </c>
      <c r="Z12" s="20"/>
      <c r="AA12" s="20">
        <v>80</v>
      </c>
      <c r="AB12" s="21"/>
      <c r="AC12" s="19">
        <v>83</v>
      </c>
      <c r="AD12" s="20"/>
      <c r="AE12" s="20">
        <v>85</v>
      </c>
      <c r="AF12" s="20"/>
      <c r="AG12" s="20">
        <v>90</v>
      </c>
      <c r="AH12" s="20"/>
      <c r="AI12" s="20">
        <v>86</v>
      </c>
      <c r="AJ12" s="21"/>
      <c r="AK12" s="44">
        <f t="shared" si="4"/>
        <v>83</v>
      </c>
      <c r="AL12" s="45">
        <f t="shared" si="5"/>
        <v>81.75</v>
      </c>
      <c r="AM12" s="46">
        <f t="shared" si="6"/>
        <v>80.5</v>
      </c>
      <c r="AN12" s="47">
        <f t="shared" si="7"/>
        <v>86</v>
      </c>
      <c r="AO12" s="48">
        <f t="shared" si="8"/>
        <v>82.8125</v>
      </c>
      <c r="AP12" s="37"/>
      <c r="AR12" s="54" t="str">
        <f t="shared" si="9"/>
        <v/>
      </c>
      <c r="AS12" s="20"/>
      <c r="AT12" s="56">
        <f t="shared" si="10"/>
        <v>0</v>
      </c>
      <c r="AU12" s="57" t="str">
        <f t="shared" si="11"/>
        <v/>
      </c>
      <c r="AV12" s="54" t="str">
        <f t="shared" si="12"/>
        <v/>
      </c>
      <c r="AW12" s="20"/>
      <c r="AX12" s="56">
        <f t="shared" si="13"/>
        <v>0</v>
      </c>
      <c r="AY12" s="60" t="str">
        <f t="shared" si="14"/>
        <v/>
      </c>
      <c r="AZ12" s="54" t="str">
        <f t="shared" si="15"/>
        <v/>
      </c>
      <c r="BA12" s="21"/>
      <c r="BB12" s="62">
        <f t="shared" si="16"/>
        <v>82.8125</v>
      </c>
      <c r="BC12" s="64" t="str">
        <f t="shared" si="17"/>
        <v/>
      </c>
      <c r="BE12" s="20">
        <f t="shared" si="18"/>
        <v>79.75</v>
      </c>
      <c r="BF12" s="20">
        <f t="shared" si="19"/>
        <v>82</v>
      </c>
      <c r="BG12" s="89">
        <f t="shared" si="20"/>
        <v>86</v>
      </c>
      <c r="BH12" s="20">
        <f t="shared" si="21"/>
        <v>83.5</v>
      </c>
      <c r="BI12" s="20">
        <f t="shared" si="22"/>
        <v>82.8125</v>
      </c>
    </row>
    <row r="13" spans="1:61" x14ac:dyDescent="0.2">
      <c r="A13" s="29">
        <v>11</v>
      </c>
      <c r="B13" s="88" t="s">
        <v>122</v>
      </c>
      <c r="C13" s="69" t="s">
        <v>51</v>
      </c>
      <c r="D13" s="69" t="s">
        <v>52</v>
      </c>
      <c r="E13" s="19">
        <v>80</v>
      </c>
      <c r="F13" s="20"/>
      <c r="G13" s="20">
        <v>82</v>
      </c>
      <c r="H13" s="20"/>
      <c r="I13" s="20">
        <v>84</v>
      </c>
      <c r="J13" s="20"/>
      <c r="K13" s="20">
        <v>86</v>
      </c>
      <c r="L13" s="21"/>
      <c r="M13" s="19">
        <v>80</v>
      </c>
      <c r="N13" s="20"/>
      <c r="O13" s="20">
        <v>80</v>
      </c>
      <c r="P13" s="20"/>
      <c r="Q13" s="20">
        <v>85</v>
      </c>
      <c r="R13" s="20"/>
      <c r="S13" s="20">
        <v>82</v>
      </c>
      <c r="T13" s="21"/>
      <c r="U13" s="19">
        <v>76</v>
      </c>
      <c r="V13" s="20"/>
      <c r="W13" s="20">
        <v>81</v>
      </c>
      <c r="X13" s="20"/>
      <c r="Y13" s="20">
        <v>85</v>
      </c>
      <c r="Z13" s="20"/>
      <c r="AA13" s="20">
        <v>80</v>
      </c>
      <c r="AB13" s="21"/>
      <c r="AC13" s="19">
        <v>83</v>
      </c>
      <c r="AD13" s="20"/>
      <c r="AE13" s="20">
        <v>85</v>
      </c>
      <c r="AF13" s="20"/>
      <c r="AG13" s="20">
        <v>90</v>
      </c>
      <c r="AH13" s="20"/>
      <c r="AI13" s="20">
        <v>86</v>
      </c>
      <c r="AJ13" s="21"/>
      <c r="AK13" s="44">
        <f t="shared" si="4"/>
        <v>83</v>
      </c>
      <c r="AL13" s="45">
        <f t="shared" si="5"/>
        <v>81.75</v>
      </c>
      <c r="AM13" s="46">
        <f t="shared" si="6"/>
        <v>80.5</v>
      </c>
      <c r="AN13" s="47">
        <f t="shared" si="7"/>
        <v>86</v>
      </c>
      <c r="AO13" s="48">
        <f t="shared" si="8"/>
        <v>82.8125</v>
      </c>
      <c r="AP13" s="37"/>
      <c r="AR13" s="54" t="str">
        <f t="shared" si="9"/>
        <v/>
      </c>
      <c r="AS13" s="20"/>
      <c r="AT13" s="56">
        <f t="shared" si="10"/>
        <v>0</v>
      </c>
      <c r="AU13" s="57" t="str">
        <f t="shared" si="11"/>
        <v/>
      </c>
      <c r="AV13" s="54" t="str">
        <f t="shared" si="12"/>
        <v/>
      </c>
      <c r="AW13" s="20"/>
      <c r="AX13" s="56">
        <f t="shared" si="13"/>
        <v>0</v>
      </c>
      <c r="AY13" s="60" t="str">
        <f t="shared" si="14"/>
        <v/>
      </c>
      <c r="AZ13" s="54" t="str">
        <f t="shared" si="15"/>
        <v/>
      </c>
      <c r="BA13" s="21"/>
      <c r="BB13" s="62">
        <f t="shared" si="16"/>
        <v>82.8125</v>
      </c>
      <c r="BC13" s="64" t="str">
        <f t="shared" si="17"/>
        <v/>
      </c>
      <c r="BE13" s="20">
        <f t="shared" si="18"/>
        <v>79.75</v>
      </c>
      <c r="BF13" s="20">
        <f t="shared" si="19"/>
        <v>82</v>
      </c>
      <c r="BG13" s="89">
        <f t="shared" si="20"/>
        <v>86</v>
      </c>
      <c r="BH13" s="20">
        <f t="shared" si="21"/>
        <v>83.5</v>
      </c>
      <c r="BI13" s="20">
        <f t="shared" si="22"/>
        <v>82.8125</v>
      </c>
    </row>
    <row r="14" spans="1:61" x14ac:dyDescent="0.2">
      <c r="A14" s="29">
        <v>12</v>
      </c>
      <c r="B14" s="88" t="s">
        <v>123</v>
      </c>
      <c r="C14" s="70" t="s">
        <v>53</v>
      </c>
      <c r="D14" s="70" t="s">
        <v>54</v>
      </c>
      <c r="E14" s="19">
        <v>90</v>
      </c>
      <c r="F14" s="20"/>
      <c r="G14" s="20">
        <v>96</v>
      </c>
      <c r="H14" s="20"/>
      <c r="I14" s="20">
        <v>80</v>
      </c>
      <c r="J14" s="20"/>
      <c r="K14" s="20">
        <v>87</v>
      </c>
      <c r="L14" s="21"/>
      <c r="M14" s="19">
        <v>95</v>
      </c>
      <c r="N14" s="20"/>
      <c r="O14" s="20">
        <v>97</v>
      </c>
      <c r="P14" s="20"/>
      <c r="Q14" s="20">
        <v>90</v>
      </c>
      <c r="R14" s="20"/>
      <c r="S14" s="20">
        <v>90</v>
      </c>
      <c r="T14" s="21"/>
      <c r="U14" s="19">
        <v>90</v>
      </c>
      <c r="V14" s="20"/>
      <c r="W14" s="20">
        <v>96</v>
      </c>
      <c r="X14" s="20"/>
      <c r="Y14" s="20">
        <v>80</v>
      </c>
      <c r="Z14" s="20"/>
      <c r="AA14" s="20">
        <v>89</v>
      </c>
      <c r="AB14" s="21"/>
      <c r="AC14" s="19">
        <v>95</v>
      </c>
      <c r="AD14" s="20"/>
      <c r="AE14" s="20">
        <v>93</v>
      </c>
      <c r="AF14" s="20"/>
      <c r="AG14" s="20">
        <v>85</v>
      </c>
      <c r="AH14" s="20"/>
      <c r="AI14" s="20">
        <v>95</v>
      </c>
      <c r="AJ14" s="21"/>
      <c r="AK14" s="44">
        <f t="shared" si="4"/>
        <v>88.25</v>
      </c>
      <c r="AL14" s="45">
        <f t="shared" si="5"/>
        <v>93</v>
      </c>
      <c r="AM14" s="46">
        <f t="shared" si="6"/>
        <v>88.75</v>
      </c>
      <c r="AN14" s="47">
        <f t="shared" si="7"/>
        <v>92</v>
      </c>
      <c r="AO14" s="48">
        <f t="shared" si="8"/>
        <v>90.5</v>
      </c>
      <c r="AP14" s="37"/>
      <c r="AR14" s="54" t="str">
        <f t="shared" si="9"/>
        <v/>
      </c>
      <c r="AS14" s="20"/>
      <c r="AT14" s="56">
        <f t="shared" si="10"/>
        <v>0</v>
      </c>
      <c r="AU14" s="57" t="str">
        <f t="shared" si="11"/>
        <v/>
      </c>
      <c r="AV14" s="54" t="str">
        <f t="shared" si="12"/>
        <v/>
      </c>
      <c r="AW14" s="20"/>
      <c r="AX14" s="56">
        <f t="shared" si="13"/>
        <v>0</v>
      </c>
      <c r="AY14" s="60" t="str">
        <f t="shared" si="14"/>
        <v/>
      </c>
      <c r="AZ14" s="54" t="str">
        <f t="shared" si="15"/>
        <v/>
      </c>
      <c r="BA14" s="21"/>
      <c r="BB14" s="62">
        <f t="shared" si="16"/>
        <v>90.5</v>
      </c>
      <c r="BC14" s="64" t="str">
        <f t="shared" si="17"/>
        <v/>
      </c>
      <c r="BE14" s="20">
        <f t="shared" si="18"/>
        <v>92.5</v>
      </c>
      <c r="BF14" s="20">
        <f t="shared" si="19"/>
        <v>95.5</v>
      </c>
      <c r="BG14" s="89">
        <f t="shared" si="20"/>
        <v>83.75</v>
      </c>
      <c r="BH14" s="20">
        <f t="shared" si="21"/>
        <v>90.25</v>
      </c>
      <c r="BI14" s="20">
        <f t="shared" si="22"/>
        <v>90.5</v>
      </c>
    </row>
    <row r="15" spans="1:61" x14ac:dyDescent="0.2">
      <c r="A15" s="29">
        <v>13</v>
      </c>
      <c r="B15" s="88" t="s">
        <v>124</v>
      </c>
      <c r="C15" s="69" t="s">
        <v>55</v>
      </c>
      <c r="D15" s="69" t="s">
        <v>56</v>
      </c>
      <c r="E15" s="19">
        <v>80</v>
      </c>
      <c r="F15" s="20"/>
      <c r="G15" s="20">
        <v>75</v>
      </c>
      <c r="H15" s="20"/>
      <c r="I15" s="20">
        <v>85</v>
      </c>
      <c r="J15" s="20"/>
      <c r="K15" s="20">
        <v>90</v>
      </c>
      <c r="L15" s="21"/>
      <c r="M15" s="19">
        <v>78</v>
      </c>
      <c r="N15" s="20"/>
      <c r="O15" s="20">
        <v>82</v>
      </c>
      <c r="P15" s="20"/>
      <c r="Q15" s="20">
        <v>89</v>
      </c>
      <c r="R15" s="20"/>
      <c r="S15" s="20">
        <v>95</v>
      </c>
      <c r="T15" s="21"/>
      <c r="U15" s="19">
        <v>85</v>
      </c>
      <c r="V15" s="20"/>
      <c r="W15" s="20">
        <v>80</v>
      </c>
      <c r="X15" s="20"/>
      <c r="Y15" s="20">
        <v>89</v>
      </c>
      <c r="Z15" s="20"/>
      <c r="AA15" s="20">
        <v>90</v>
      </c>
      <c r="AB15" s="21"/>
      <c r="AC15" s="19">
        <v>80</v>
      </c>
      <c r="AD15" s="20"/>
      <c r="AE15" s="20">
        <v>79</v>
      </c>
      <c r="AF15" s="20"/>
      <c r="AG15" s="20">
        <v>87</v>
      </c>
      <c r="AH15" s="20"/>
      <c r="AI15" s="20">
        <v>90</v>
      </c>
      <c r="AJ15" s="21"/>
      <c r="AK15" s="44">
        <f t="shared" si="4"/>
        <v>82.5</v>
      </c>
      <c r="AL15" s="45">
        <f t="shared" si="5"/>
        <v>86</v>
      </c>
      <c r="AM15" s="46">
        <f t="shared" si="6"/>
        <v>86</v>
      </c>
      <c r="AN15" s="47">
        <f t="shared" si="7"/>
        <v>84</v>
      </c>
      <c r="AO15" s="48">
        <f t="shared" si="8"/>
        <v>84.625</v>
      </c>
      <c r="AP15" s="37"/>
      <c r="AR15" s="54" t="str">
        <f t="shared" si="9"/>
        <v/>
      </c>
      <c r="AS15" s="20"/>
      <c r="AT15" s="56">
        <f t="shared" si="10"/>
        <v>0</v>
      </c>
      <c r="AU15" s="57" t="str">
        <f t="shared" si="11"/>
        <v/>
      </c>
      <c r="AV15" s="54" t="str">
        <f t="shared" si="12"/>
        <v/>
      </c>
      <c r="AW15" s="20"/>
      <c r="AX15" s="56">
        <f t="shared" si="13"/>
        <v>0</v>
      </c>
      <c r="AY15" s="60" t="str">
        <f t="shared" si="14"/>
        <v/>
      </c>
      <c r="AZ15" s="54" t="str">
        <f t="shared" si="15"/>
        <v/>
      </c>
      <c r="BA15" s="21"/>
      <c r="BB15" s="62">
        <f t="shared" si="16"/>
        <v>84.625</v>
      </c>
      <c r="BC15" s="64" t="str">
        <f t="shared" si="17"/>
        <v/>
      </c>
      <c r="BE15" s="20">
        <f t="shared" si="18"/>
        <v>80.75</v>
      </c>
      <c r="BF15" s="20">
        <f t="shared" si="19"/>
        <v>79</v>
      </c>
      <c r="BG15" s="89">
        <f t="shared" si="20"/>
        <v>87.5</v>
      </c>
      <c r="BH15" s="20">
        <f t="shared" si="21"/>
        <v>91.25</v>
      </c>
      <c r="BI15" s="20">
        <f t="shared" si="22"/>
        <v>84.625</v>
      </c>
    </row>
    <row r="16" spans="1:61" x14ac:dyDescent="0.2">
      <c r="A16" s="29">
        <v>14</v>
      </c>
      <c r="B16" s="88" t="s">
        <v>125</v>
      </c>
      <c r="C16" s="70" t="s">
        <v>57</v>
      </c>
      <c r="D16" s="70" t="s">
        <v>58</v>
      </c>
      <c r="E16" s="19">
        <v>80</v>
      </c>
      <c r="F16" s="20"/>
      <c r="G16" s="20">
        <v>82</v>
      </c>
      <c r="H16" s="20"/>
      <c r="I16" s="20">
        <v>84</v>
      </c>
      <c r="J16" s="20"/>
      <c r="K16" s="20">
        <v>86</v>
      </c>
      <c r="L16" s="21"/>
      <c r="M16" s="19">
        <v>80</v>
      </c>
      <c r="N16" s="20"/>
      <c r="O16" s="20">
        <v>80</v>
      </c>
      <c r="P16" s="20"/>
      <c r="Q16" s="20">
        <v>85</v>
      </c>
      <c r="R16" s="20"/>
      <c r="S16" s="20">
        <v>82</v>
      </c>
      <c r="T16" s="21"/>
      <c r="U16" s="19">
        <v>76</v>
      </c>
      <c r="V16" s="20"/>
      <c r="W16" s="20">
        <v>81</v>
      </c>
      <c r="X16" s="20"/>
      <c r="Y16" s="20">
        <v>85</v>
      </c>
      <c r="Z16" s="20"/>
      <c r="AA16" s="20">
        <v>80</v>
      </c>
      <c r="AB16" s="21"/>
      <c r="AC16" s="19">
        <v>83</v>
      </c>
      <c r="AD16" s="20"/>
      <c r="AE16" s="20">
        <v>85</v>
      </c>
      <c r="AF16" s="20"/>
      <c r="AG16" s="20">
        <v>90</v>
      </c>
      <c r="AH16" s="20"/>
      <c r="AI16" s="20">
        <v>86</v>
      </c>
      <c r="AJ16" s="21"/>
      <c r="AK16" s="44">
        <f t="shared" si="4"/>
        <v>83</v>
      </c>
      <c r="AL16" s="45">
        <f t="shared" si="5"/>
        <v>81.75</v>
      </c>
      <c r="AM16" s="46">
        <f t="shared" si="6"/>
        <v>80.5</v>
      </c>
      <c r="AN16" s="47">
        <f t="shared" si="7"/>
        <v>86</v>
      </c>
      <c r="AO16" s="48">
        <f t="shared" si="8"/>
        <v>82.8125</v>
      </c>
      <c r="AP16" s="37"/>
      <c r="AR16" s="54" t="str">
        <f t="shared" si="9"/>
        <v/>
      </c>
      <c r="AS16" s="20"/>
      <c r="AT16" s="56">
        <f t="shared" si="10"/>
        <v>0</v>
      </c>
      <c r="AU16" s="57" t="str">
        <f t="shared" si="11"/>
        <v/>
      </c>
      <c r="AV16" s="54" t="str">
        <f t="shared" si="12"/>
        <v/>
      </c>
      <c r="AW16" s="20"/>
      <c r="AX16" s="56">
        <f t="shared" si="13"/>
        <v>0</v>
      </c>
      <c r="AY16" s="60" t="str">
        <f t="shared" si="14"/>
        <v/>
      </c>
      <c r="AZ16" s="54" t="str">
        <f t="shared" si="15"/>
        <v/>
      </c>
      <c r="BA16" s="21"/>
      <c r="BB16" s="62">
        <f t="shared" si="16"/>
        <v>82.8125</v>
      </c>
      <c r="BC16" s="64" t="str">
        <f t="shared" si="17"/>
        <v/>
      </c>
      <c r="BE16" s="20">
        <f t="shared" si="18"/>
        <v>79.75</v>
      </c>
      <c r="BF16" s="20">
        <f t="shared" si="19"/>
        <v>82</v>
      </c>
      <c r="BG16" s="89">
        <f t="shared" si="20"/>
        <v>86</v>
      </c>
      <c r="BH16" s="20">
        <f t="shared" si="21"/>
        <v>83.5</v>
      </c>
      <c r="BI16" s="20">
        <f t="shared" si="22"/>
        <v>82.8125</v>
      </c>
    </row>
    <row r="17" spans="1:61" x14ac:dyDescent="0.2">
      <c r="A17" s="29">
        <v>15</v>
      </c>
      <c r="B17" s="88" t="s">
        <v>126</v>
      </c>
      <c r="C17" s="69" t="s">
        <v>59</v>
      </c>
      <c r="D17" s="69" t="s">
        <v>60</v>
      </c>
      <c r="E17" s="19">
        <v>70</v>
      </c>
      <c r="F17" s="20"/>
      <c r="G17" s="20">
        <v>78</v>
      </c>
      <c r="H17" s="20"/>
      <c r="I17" s="20">
        <v>70</v>
      </c>
      <c r="J17" s="20"/>
      <c r="K17" s="20">
        <v>76</v>
      </c>
      <c r="L17" s="21"/>
      <c r="M17" s="19">
        <v>86</v>
      </c>
      <c r="N17" s="20"/>
      <c r="O17" s="20">
        <v>80</v>
      </c>
      <c r="P17" s="20"/>
      <c r="Q17" s="20">
        <v>75</v>
      </c>
      <c r="R17" s="20"/>
      <c r="S17" s="20">
        <v>70</v>
      </c>
      <c r="T17" s="21"/>
      <c r="U17" s="19">
        <v>75</v>
      </c>
      <c r="V17" s="20"/>
      <c r="W17" s="20">
        <v>79</v>
      </c>
      <c r="X17" s="20"/>
      <c r="Y17" s="20">
        <v>80</v>
      </c>
      <c r="Z17" s="20"/>
      <c r="AA17" s="20">
        <v>72</v>
      </c>
      <c r="AB17" s="21"/>
      <c r="AC17" s="19">
        <v>77</v>
      </c>
      <c r="AD17" s="20"/>
      <c r="AE17" s="20">
        <v>80</v>
      </c>
      <c r="AF17" s="20"/>
      <c r="AG17" s="20">
        <v>85</v>
      </c>
      <c r="AH17" s="20"/>
      <c r="AI17" s="20">
        <v>88</v>
      </c>
      <c r="AJ17" s="21"/>
      <c r="AK17" s="44">
        <f t="shared" si="4"/>
        <v>73.5</v>
      </c>
      <c r="AL17" s="45">
        <f t="shared" si="5"/>
        <v>77.75</v>
      </c>
      <c r="AM17" s="46">
        <f t="shared" si="6"/>
        <v>76.5</v>
      </c>
      <c r="AN17" s="47">
        <f t="shared" si="7"/>
        <v>82.5</v>
      </c>
      <c r="AO17" s="48">
        <f t="shared" si="8"/>
        <v>77.5625</v>
      </c>
      <c r="AP17" s="37"/>
      <c r="AR17" s="54" t="str">
        <f t="shared" si="9"/>
        <v/>
      </c>
      <c r="AS17" s="20"/>
      <c r="AT17" s="56">
        <f t="shared" si="10"/>
        <v>0</v>
      </c>
      <c r="AU17" s="57" t="str">
        <f t="shared" si="11"/>
        <v/>
      </c>
      <c r="AV17" s="54" t="str">
        <f t="shared" si="12"/>
        <v/>
      </c>
      <c r="AW17" s="20"/>
      <c r="AX17" s="56">
        <f t="shared" si="13"/>
        <v>0</v>
      </c>
      <c r="AY17" s="60" t="str">
        <f t="shared" si="14"/>
        <v/>
      </c>
      <c r="AZ17" s="54" t="str">
        <f t="shared" si="15"/>
        <v/>
      </c>
      <c r="BA17" s="21"/>
      <c r="BB17" s="62">
        <f t="shared" si="16"/>
        <v>77.5625</v>
      </c>
      <c r="BC17" s="64" t="str">
        <f t="shared" si="17"/>
        <v/>
      </c>
      <c r="BE17" s="20">
        <f t="shared" si="18"/>
        <v>77</v>
      </c>
      <c r="BF17" s="20">
        <f t="shared" si="19"/>
        <v>79.25</v>
      </c>
      <c r="BG17" s="89">
        <f t="shared" si="20"/>
        <v>77.5</v>
      </c>
      <c r="BH17" s="20">
        <f t="shared" si="21"/>
        <v>76.5</v>
      </c>
      <c r="BI17" s="20">
        <f t="shared" si="22"/>
        <v>77.5625</v>
      </c>
    </row>
    <row r="18" spans="1:61" x14ac:dyDescent="0.2">
      <c r="A18" s="29">
        <v>16</v>
      </c>
      <c r="B18" s="88" t="s">
        <v>127</v>
      </c>
      <c r="C18" s="70" t="s">
        <v>61</v>
      </c>
      <c r="D18" s="70" t="s">
        <v>62</v>
      </c>
      <c r="E18" s="19">
        <v>85</v>
      </c>
      <c r="F18" s="20"/>
      <c r="G18" s="20">
        <v>90</v>
      </c>
      <c r="H18" s="20"/>
      <c r="I18" s="20">
        <v>90</v>
      </c>
      <c r="J18" s="20"/>
      <c r="K18" s="20">
        <v>89</v>
      </c>
      <c r="L18" s="21"/>
      <c r="M18" s="19">
        <v>90</v>
      </c>
      <c r="N18" s="20"/>
      <c r="O18" s="20">
        <v>80</v>
      </c>
      <c r="P18" s="20"/>
      <c r="Q18" s="20">
        <v>86</v>
      </c>
      <c r="R18" s="20"/>
      <c r="S18" s="20">
        <v>89</v>
      </c>
      <c r="T18" s="21"/>
      <c r="U18" s="19">
        <v>90</v>
      </c>
      <c r="V18" s="20"/>
      <c r="W18" s="20">
        <v>87</v>
      </c>
      <c r="X18" s="20"/>
      <c r="Y18" s="20">
        <v>91</v>
      </c>
      <c r="Z18" s="20"/>
      <c r="AA18" s="20">
        <v>93</v>
      </c>
      <c r="AB18" s="21"/>
      <c r="AC18" s="19">
        <v>95</v>
      </c>
      <c r="AD18" s="20"/>
      <c r="AE18" s="20">
        <v>89</v>
      </c>
      <c r="AF18" s="20"/>
      <c r="AG18" s="20">
        <v>99</v>
      </c>
      <c r="AH18" s="20"/>
      <c r="AI18" s="20">
        <v>95</v>
      </c>
      <c r="AJ18" s="21"/>
      <c r="AK18" s="44">
        <f t="shared" si="4"/>
        <v>88.5</v>
      </c>
      <c r="AL18" s="45">
        <f t="shared" si="5"/>
        <v>86.25</v>
      </c>
      <c r="AM18" s="46">
        <f t="shared" si="6"/>
        <v>90.25</v>
      </c>
      <c r="AN18" s="47">
        <f t="shared" si="7"/>
        <v>94.5</v>
      </c>
      <c r="AO18" s="48">
        <f t="shared" si="8"/>
        <v>89.875</v>
      </c>
      <c r="AP18" s="37"/>
      <c r="AR18" s="54" t="str">
        <f t="shared" si="9"/>
        <v/>
      </c>
      <c r="AS18" s="20"/>
      <c r="AT18" s="56">
        <f t="shared" si="10"/>
        <v>0</v>
      </c>
      <c r="AU18" s="57" t="str">
        <f t="shared" si="11"/>
        <v/>
      </c>
      <c r="AV18" s="54" t="str">
        <f t="shared" si="12"/>
        <v/>
      </c>
      <c r="AW18" s="20"/>
      <c r="AX18" s="56">
        <f t="shared" si="13"/>
        <v>0</v>
      </c>
      <c r="AY18" s="60" t="str">
        <f t="shared" si="14"/>
        <v/>
      </c>
      <c r="AZ18" s="54" t="str">
        <f t="shared" si="15"/>
        <v/>
      </c>
      <c r="BA18" s="21"/>
      <c r="BB18" s="62">
        <f t="shared" si="16"/>
        <v>89.875</v>
      </c>
      <c r="BC18" s="64" t="str">
        <f t="shared" si="17"/>
        <v/>
      </c>
      <c r="BE18" s="20">
        <f t="shared" si="18"/>
        <v>90</v>
      </c>
      <c r="BF18" s="20">
        <f t="shared" si="19"/>
        <v>86.5</v>
      </c>
      <c r="BG18" s="89">
        <f t="shared" si="20"/>
        <v>91.5</v>
      </c>
      <c r="BH18" s="20">
        <f t="shared" si="21"/>
        <v>91.5</v>
      </c>
      <c r="BI18" s="20">
        <f t="shared" si="22"/>
        <v>89.875</v>
      </c>
    </row>
    <row r="19" spans="1:61" x14ac:dyDescent="0.2">
      <c r="A19" s="29">
        <v>17</v>
      </c>
      <c r="B19" s="88" t="s">
        <v>128</v>
      </c>
      <c r="C19" s="69" t="s">
        <v>63</v>
      </c>
      <c r="D19" s="69" t="s">
        <v>64</v>
      </c>
      <c r="E19" s="19">
        <v>95</v>
      </c>
      <c r="F19" s="20"/>
      <c r="G19" s="20">
        <v>85</v>
      </c>
      <c r="H19" s="20"/>
      <c r="I19" s="20">
        <v>98</v>
      </c>
      <c r="J19" s="20"/>
      <c r="K19" s="20">
        <v>99</v>
      </c>
      <c r="L19" s="21"/>
      <c r="M19" s="19">
        <v>90</v>
      </c>
      <c r="N19" s="20"/>
      <c r="O19" s="20">
        <v>88</v>
      </c>
      <c r="P19" s="20"/>
      <c r="Q19" s="20">
        <v>90</v>
      </c>
      <c r="R19" s="20"/>
      <c r="S19" s="20">
        <v>99</v>
      </c>
      <c r="T19" s="21"/>
      <c r="U19" s="19">
        <v>89</v>
      </c>
      <c r="V19" s="20"/>
      <c r="W19" s="20">
        <v>90</v>
      </c>
      <c r="X19" s="20"/>
      <c r="Y19" s="20">
        <v>90</v>
      </c>
      <c r="Z19" s="20"/>
      <c r="AA19" s="20">
        <v>99</v>
      </c>
      <c r="AB19" s="21"/>
      <c r="AC19" s="19">
        <v>95</v>
      </c>
      <c r="AD19" s="20"/>
      <c r="AE19" s="20">
        <v>90</v>
      </c>
      <c r="AF19" s="20"/>
      <c r="AG19" s="20">
        <v>90</v>
      </c>
      <c r="AH19" s="20"/>
      <c r="AI19" s="20">
        <v>99</v>
      </c>
      <c r="AJ19" s="21"/>
      <c r="AK19" s="44">
        <f t="shared" si="4"/>
        <v>94.25</v>
      </c>
      <c r="AL19" s="45">
        <f t="shared" si="5"/>
        <v>91.75</v>
      </c>
      <c r="AM19" s="46">
        <f t="shared" si="6"/>
        <v>92</v>
      </c>
      <c r="AN19" s="47">
        <f t="shared" si="7"/>
        <v>93.5</v>
      </c>
      <c r="AO19" s="48">
        <f t="shared" si="8"/>
        <v>92.875</v>
      </c>
      <c r="AP19" s="37"/>
      <c r="AR19" s="54" t="str">
        <f t="shared" si="9"/>
        <v/>
      </c>
      <c r="AS19" s="20"/>
      <c r="AT19" s="56">
        <f t="shared" si="10"/>
        <v>0</v>
      </c>
      <c r="AU19" s="57" t="str">
        <f t="shared" si="11"/>
        <v/>
      </c>
      <c r="AV19" s="54" t="str">
        <f t="shared" si="12"/>
        <v/>
      </c>
      <c r="AW19" s="20"/>
      <c r="AX19" s="56">
        <f t="shared" si="13"/>
        <v>0</v>
      </c>
      <c r="AY19" s="60" t="str">
        <f t="shared" si="14"/>
        <v/>
      </c>
      <c r="AZ19" s="54" t="str">
        <f t="shared" si="15"/>
        <v/>
      </c>
      <c r="BA19" s="21"/>
      <c r="BB19" s="62">
        <f t="shared" si="16"/>
        <v>92.875</v>
      </c>
      <c r="BC19" s="64" t="str">
        <f t="shared" si="17"/>
        <v/>
      </c>
      <c r="BE19" s="20">
        <f t="shared" si="18"/>
        <v>92.25</v>
      </c>
      <c r="BF19" s="20">
        <f t="shared" si="19"/>
        <v>88.25</v>
      </c>
      <c r="BG19" s="89">
        <f t="shared" si="20"/>
        <v>92</v>
      </c>
      <c r="BH19" s="20">
        <f t="shared" si="21"/>
        <v>99</v>
      </c>
      <c r="BI19" s="20">
        <f t="shared" si="22"/>
        <v>92.875</v>
      </c>
    </row>
    <row r="20" spans="1:61" x14ac:dyDescent="0.2">
      <c r="A20" s="29">
        <v>18</v>
      </c>
      <c r="B20" s="88" t="s">
        <v>129</v>
      </c>
      <c r="C20" s="70" t="s">
        <v>65</v>
      </c>
      <c r="D20" s="70" t="s">
        <v>66</v>
      </c>
      <c r="E20" s="19">
        <v>80</v>
      </c>
      <c r="F20" s="20"/>
      <c r="G20" s="20">
        <v>85</v>
      </c>
      <c r="H20" s="20"/>
      <c r="I20" s="20">
        <v>99</v>
      </c>
      <c r="J20" s="20"/>
      <c r="K20" s="20">
        <v>98</v>
      </c>
      <c r="L20" s="21"/>
      <c r="M20" s="19">
        <v>85</v>
      </c>
      <c r="N20" s="20"/>
      <c r="O20" s="20">
        <v>90</v>
      </c>
      <c r="P20" s="20"/>
      <c r="Q20" s="20">
        <v>95</v>
      </c>
      <c r="R20" s="20"/>
      <c r="S20" s="20">
        <v>90</v>
      </c>
      <c r="T20" s="21"/>
      <c r="U20" s="19">
        <v>89</v>
      </c>
      <c r="V20" s="20"/>
      <c r="W20" s="20">
        <v>96</v>
      </c>
      <c r="X20" s="20"/>
      <c r="Y20" s="20">
        <v>95</v>
      </c>
      <c r="Z20" s="20"/>
      <c r="AA20" s="20">
        <v>98</v>
      </c>
      <c r="AB20" s="21"/>
      <c r="AC20" s="19">
        <v>95</v>
      </c>
      <c r="AD20" s="20"/>
      <c r="AE20" s="20">
        <v>98</v>
      </c>
      <c r="AF20" s="20"/>
      <c r="AG20" s="20">
        <v>95</v>
      </c>
      <c r="AH20" s="20"/>
      <c r="AI20" s="20">
        <v>99</v>
      </c>
      <c r="AJ20" s="21"/>
      <c r="AK20" s="44">
        <f t="shared" si="4"/>
        <v>90.5</v>
      </c>
      <c r="AL20" s="45">
        <f t="shared" si="5"/>
        <v>90</v>
      </c>
      <c r="AM20" s="46">
        <f t="shared" si="6"/>
        <v>94.5</v>
      </c>
      <c r="AN20" s="47">
        <f t="shared" si="7"/>
        <v>96.75</v>
      </c>
      <c r="AO20" s="48">
        <f t="shared" si="8"/>
        <v>92.9375</v>
      </c>
      <c r="AP20" s="37"/>
      <c r="AR20" s="54" t="str">
        <f t="shared" si="9"/>
        <v/>
      </c>
      <c r="AS20" s="20"/>
      <c r="AT20" s="56">
        <f t="shared" si="10"/>
        <v>0</v>
      </c>
      <c r="AU20" s="57" t="str">
        <f t="shared" si="11"/>
        <v/>
      </c>
      <c r="AV20" s="54" t="str">
        <f t="shared" si="12"/>
        <v/>
      </c>
      <c r="AW20" s="20"/>
      <c r="AX20" s="56">
        <f t="shared" si="13"/>
        <v>0</v>
      </c>
      <c r="AY20" s="60" t="str">
        <f t="shared" si="14"/>
        <v/>
      </c>
      <c r="AZ20" s="54" t="str">
        <f t="shared" si="15"/>
        <v/>
      </c>
      <c r="BA20" s="21"/>
      <c r="BB20" s="62">
        <f t="shared" si="16"/>
        <v>92.9375</v>
      </c>
      <c r="BC20" s="64" t="str">
        <f t="shared" si="17"/>
        <v/>
      </c>
      <c r="BE20" s="20">
        <f t="shared" si="18"/>
        <v>87.25</v>
      </c>
      <c r="BF20" s="20">
        <f t="shared" si="19"/>
        <v>92.25</v>
      </c>
      <c r="BG20" s="89">
        <f t="shared" si="20"/>
        <v>96</v>
      </c>
      <c r="BH20" s="20">
        <f t="shared" si="21"/>
        <v>96.25</v>
      </c>
      <c r="BI20" s="20">
        <f t="shared" si="22"/>
        <v>92.9375</v>
      </c>
    </row>
    <row r="21" spans="1:61" x14ac:dyDescent="0.2">
      <c r="A21" s="29">
        <v>19</v>
      </c>
      <c r="B21" s="88" t="s">
        <v>130</v>
      </c>
      <c r="C21" s="69" t="s">
        <v>67</v>
      </c>
      <c r="D21" s="69" t="s">
        <v>68</v>
      </c>
      <c r="E21" s="19">
        <v>90</v>
      </c>
      <c r="F21" s="20"/>
      <c r="G21" s="20">
        <v>85</v>
      </c>
      <c r="H21" s="20"/>
      <c r="I21" s="20">
        <v>83</v>
      </c>
      <c r="J21" s="20"/>
      <c r="K21" s="20">
        <v>87</v>
      </c>
      <c r="L21" s="21"/>
      <c r="M21" s="19">
        <v>92</v>
      </c>
      <c r="N21" s="20"/>
      <c r="O21" s="20">
        <v>80</v>
      </c>
      <c r="P21" s="20"/>
      <c r="Q21" s="20">
        <v>80</v>
      </c>
      <c r="R21" s="20"/>
      <c r="S21" s="20">
        <v>85</v>
      </c>
      <c r="T21" s="21"/>
      <c r="U21" s="19">
        <v>80</v>
      </c>
      <c r="V21" s="20"/>
      <c r="W21" s="20">
        <v>88</v>
      </c>
      <c r="X21" s="20"/>
      <c r="Y21" s="20">
        <v>80</v>
      </c>
      <c r="Z21" s="20"/>
      <c r="AA21" s="20">
        <v>85</v>
      </c>
      <c r="AB21" s="21"/>
      <c r="AC21" s="19">
        <v>90</v>
      </c>
      <c r="AD21" s="20"/>
      <c r="AE21" s="20">
        <v>90</v>
      </c>
      <c r="AF21" s="20"/>
      <c r="AG21" s="20">
        <v>90</v>
      </c>
      <c r="AH21" s="20"/>
      <c r="AI21" s="20">
        <v>89</v>
      </c>
      <c r="AJ21" s="21"/>
      <c r="AK21" s="44">
        <f t="shared" si="4"/>
        <v>86.25</v>
      </c>
      <c r="AL21" s="45">
        <f t="shared" si="5"/>
        <v>84.25</v>
      </c>
      <c r="AM21" s="46">
        <f t="shared" si="6"/>
        <v>83.25</v>
      </c>
      <c r="AN21" s="47">
        <f t="shared" si="7"/>
        <v>89.75</v>
      </c>
      <c r="AO21" s="48">
        <f t="shared" si="8"/>
        <v>85.875</v>
      </c>
      <c r="AP21" s="37"/>
      <c r="AR21" s="54" t="str">
        <f t="shared" si="9"/>
        <v/>
      </c>
      <c r="AS21" s="20"/>
      <c r="AT21" s="56">
        <f t="shared" si="10"/>
        <v>0</v>
      </c>
      <c r="AU21" s="57" t="str">
        <f t="shared" si="11"/>
        <v/>
      </c>
      <c r="AV21" s="54" t="str">
        <f t="shared" si="12"/>
        <v/>
      </c>
      <c r="AW21" s="20"/>
      <c r="AX21" s="56">
        <f t="shared" si="13"/>
        <v>0</v>
      </c>
      <c r="AY21" s="60" t="str">
        <f t="shared" si="14"/>
        <v/>
      </c>
      <c r="AZ21" s="54" t="str">
        <f t="shared" si="15"/>
        <v/>
      </c>
      <c r="BA21" s="21"/>
      <c r="BB21" s="62">
        <f t="shared" si="16"/>
        <v>85.875</v>
      </c>
      <c r="BC21" s="64" t="str">
        <f t="shared" si="17"/>
        <v/>
      </c>
      <c r="BE21" s="20">
        <f t="shared" si="18"/>
        <v>88</v>
      </c>
      <c r="BF21" s="20">
        <f t="shared" si="19"/>
        <v>85.75</v>
      </c>
      <c r="BG21" s="89">
        <f t="shared" si="20"/>
        <v>83.25</v>
      </c>
      <c r="BH21" s="20">
        <f t="shared" si="21"/>
        <v>86.5</v>
      </c>
      <c r="BI21" s="20">
        <f t="shared" si="22"/>
        <v>85.875</v>
      </c>
    </row>
    <row r="22" spans="1:61" x14ac:dyDescent="0.2">
      <c r="A22" s="29">
        <v>20</v>
      </c>
      <c r="B22" s="88" t="s">
        <v>131</v>
      </c>
      <c r="C22" s="70" t="s">
        <v>69</v>
      </c>
      <c r="D22" s="70" t="s">
        <v>70</v>
      </c>
      <c r="E22" s="19">
        <v>76</v>
      </c>
      <c r="F22" s="20"/>
      <c r="G22" s="20">
        <v>80</v>
      </c>
      <c r="H22" s="20"/>
      <c r="I22" s="20">
        <v>79</v>
      </c>
      <c r="J22" s="20"/>
      <c r="K22" s="20">
        <v>90</v>
      </c>
      <c r="L22" s="21"/>
      <c r="M22" s="19">
        <v>74</v>
      </c>
      <c r="N22" s="20"/>
      <c r="O22" s="20">
        <v>78</v>
      </c>
      <c r="P22" s="20"/>
      <c r="Q22" s="20">
        <v>80</v>
      </c>
      <c r="R22" s="20"/>
      <c r="S22" s="20">
        <v>85</v>
      </c>
      <c r="T22" s="21"/>
      <c r="U22" s="19">
        <v>75</v>
      </c>
      <c r="V22" s="20"/>
      <c r="W22" s="20">
        <v>79</v>
      </c>
      <c r="X22" s="20"/>
      <c r="Y22" s="20">
        <v>80</v>
      </c>
      <c r="Z22" s="20"/>
      <c r="AA22" s="20">
        <v>89</v>
      </c>
      <c r="AB22" s="21"/>
      <c r="AC22" s="19">
        <v>76</v>
      </c>
      <c r="AD22" s="20"/>
      <c r="AE22" s="20">
        <v>75</v>
      </c>
      <c r="AF22" s="20"/>
      <c r="AG22" s="20">
        <v>80</v>
      </c>
      <c r="AH22" s="20"/>
      <c r="AI22" s="20">
        <v>87</v>
      </c>
      <c r="AJ22" s="21"/>
      <c r="AK22" s="44">
        <f t="shared" si="4"/>
        <v>81.25</v>
      </c>
      <c r="AL22" s="45">
        <f t="shared" si="5"/>
        <v>79.25</v>
      </c>
      <c r="AM22" s="46">
        <f t="shared" si="6"/>
        <v>80.75</v>
      </c>
      <c r="AN22" s="47">
        <f t="shared" si="7"/>
        <v>79.5</v>
      </c>
      <c r="AO22" s="48">
        <f t="shared" si="8"/>
        <v>80.1875</v>
      </c>
      <c r="AP22" s="37"/>
      <c r="AR22" s="54" t="str">
        <f t="shared" si="9"/>
        <v/>
      </c>
      <c r="AS22" s="20"/>
      <c r="AT22" s="56">
        <f t="shared" si="10"/>
        <v>0</v>
      </c>
      <c r="AU22" s="57" t="str">
        <f t="shared" si="11"/>
        <v/>
      </c>
      <c r="AV22" s="54" t="str">
        <f t="shared" si="12"/>
        <v/>
      </c>
      <c r="AW22" s="20"/>
      <c r="AX22" s="56">
        <f t="shared" si="13"/>
        <v>0</v>
      </c>
      <c r="AY22" s="60" t="str">
        <f t="shared" si="14"/>
        <v/>
      </c>
      <c r="AZ22" s="54" t="str">
        <f t="shared" si="15"/>
        <v/>
      </c>
      <c r="BA22" s="21"/>
      <c r="BB22" s="62">
        <f t="shared" si="16"/>
        <v>80.1875</v>
      </c>
      <c r="BC22" s="64" t="str">
        <f t="shared" si="17"/>
        <v/>
      </c>
      <c r="BE22" s="20">
        <f t="shared" si="18"/>
        <v>75.25</v>
      </c>
      <c r="BF22" s="20">
        <f t="shared" si="19"/>
        <v>78</v>
      </c>
      <c r="BG22" s="89">
        <f t="shared" si="20"/>
        <v>79.75</v>
      </c>
      <c r="BH22" s="20">
        <f t="shared" si="21"/>
        <v>87.75</v>
      </c>
      <c r="BI22" s="20">
        <f t="shared" si="22"/>
        <v>80.1875</v>
      </c>
    </row>
    <row r="23" spans="1:61" x14ac:dyDescent="0.2">
      <c r="A23" s="29">
        <v>21</v>
      </c>
      <c r="B23" s="88" t="s">
        <v>132</v>
      </c>
      <c r="C23" s="69" t="s">
        <v>71</v>
      </c>
      <c r="D23" s="69" t="s">
        <v>72</v>
      </c>
      <c r="E23" s="19">
        <v>70</v>
      </c>
      <c r="F23" s="20"/>
      <c r="G23" s="20">
        <v>78</v>
      </c>
      <c r="H23" s="20"/>
      <c r="I23" s="20">
        <v>70</v>
      </c>
      <c r="J23" s="20"/>
      <c r="K23" s="20">
        <v>76</v>
      </c>
      <c r="L23" s="21"/>
      <c r="M23" s="19">
        <v>86</v>
      </c>
      <c r="N23" s="20"/>
      <c r="O23" s="20">
        <v>80</v>
      </c>
      <c r="P23" s="20"/>
      <c r="Q23" s="20">
        <v>75</v>
      </c>
      <c r="R23" s="20"/>
      <c r="S23" s="20">
        <v>70</v>
      </c>
      <c r="T23" s="21"/>
      <c r="U23" s="19">
        <v>75</v>
      </c>
      <c r="V23" s="20"/>
      <c r="W23" s="20">
        <v>79</v>
      </c>
      <c r="X23" s="20"/>
      <c r="Y23" s="20">
        <v>80</v>
      </c>
      <c r="Z23" s="20"/>
      <c r="AA23" s="20">
        <v>72</v>
      </c>
      <c r="AB23" s="21"/>
      <c r="AC23" s="19">
        <v>77</v>
      </c>
      <c r="AD23" s="20"/>
      <c r="AE23" s="20">
        <v>80</v>
      </c>
      <c r="AF23" s="20"/>
      <c r="AG23" s="20">
        <v>85</v>
      </c>
      <c r="AH23" s="20"/>
      <c r="AI23" s="20">
        <v>88</v>
      </c>
      <c r="AJ23" s="21"/>
      <c r="AK23" s="44">
        <f t="shared" si="4"/>
        <v>73.5</v>
      </c>
      <c r="AL23" s="45">
        <f t="shared" si="5"/>
        <v>77.75</v>
      </c>
      <c r="AM23" s="46">
        <f t="shared" si="6"/>
        <v>76.5</v>
      </c>
      <c r="AN23" s="47">
        <f t="shared" si="7"/>
        <v>82.5</v>
      </c>
      <c r="AO23" s="48">
        <f t="shared" si="8"/>
        <v>77.5625</v>
      </c>
      <c r="AP23" s="37"/>
      <c r="AR23" s="54" t="str">
        <f t="shared" si="9"/>
        <v/>
      </c>
      <c r="AS23" s="20"/>
      <c r="AT23" s="56">
        <f t="shared" si="10"/>
        <v>0</v>
      </c>
      <c r="AU23" s="57" t="str">
        <f t="shared" si="11"/>
        <v/>
      </c>
      <c r="AV23" s="54" t="str">
        <f t="shared" si="12"/>
        <v/>
      </c>
      <c r="AW23" s="20"/>
      <c r="AX23" s="56">
        <f t="shared" si="13"/>
        <v>0</v>
      </c>
      <c r="AY23" s="60" t="str">
        <f t="shared" si="14"/>
        <v/>
      </c>
      <c r="AZ23" s="54" t="str">
        <f t="shared" si="15"/>
        <v/>
      </c>
      <c r="BA23" s="21"/>
      <c r="BB23" s="62">
        <f t="shared" si="16"/>
        <v>77.5625</v>
      </c>
      <c r="BC23" s="64" t="str">
        <f t="shared" si="17"/>
        <v/>
      </c>
      <c r="BE23" s="20">
        <f t="shared" si="18"/>
        <v>77</v>
      </c>
      <c r="BF23" s="20">
        <f t="shared" si="19"/>
        <v>79.25</v>
      </c>
      <c r="BG23" s="89">
        <f t="shared" si="20"/>
        <v>77.5</v>
      </c>
      <c r="BH23" s="20">
        <f t="shared" si="21"/>
        <v>76.5</v>
      </c>
      <c r="BI23" s="20">
        <f t="shared" si="22"/>
        <v>77.5625</v>
      </c>
    </row>
    <row r="24" spans="1:61" x14ac:dyDescent="0.2">
      <c r="A24" s="29">
        <v>22</v>
      </c>
      <c r="B24" s="88" t="s">
        <v>133</v>
      </c>
      <c r="C24" s="70" t="s">
        <v>73</v>
      </c>
      <c r="D24" s="70" t="s">
        <v>74</v>
      </c>
      <c r="E24" s="19">
        <v>85</v>
      </c>
      <c r="F24" s="20"/>
      <c r="G24" s="20">
        <v>90</v>
      </c>
      <c r="H24" s="20"/>
      <c r="I24" s="20">
        <v>90</v>
      </c>
      <c r="J24" s="20"/>
      <c r="K24" s="20">
        <v>89</v>
      </c>
      <c r="L24" s="21"/>
      <c r="M24" s="19">
        <v>90</v>
      </c>
      <c r="N24" s="20"/>
      <c r="O24" s="20">
        <v>80</v>
      </c>
      <c r="P24" s="20"/>
      <c r="Q24" s="20">
        <v>86</v>
      </c>
      <c r="R24" s="20"/>
      <c r="S24" s="20">
        <v>89</v>
      </c>
      <c r="T24" s="21"/>
      <c r="U24" s="19">
        <v>90</v>
      </c>
      <c r="V24" s="20"/>
      <c r="W24" s="20">
        <v>87</v>
      </c>
      <c r="X24" s="20"/>
      <c r="Y24" s="20">
        <v>91</v>
      </c>
      <c r="Z24" s="20"/>
      <c r="AA24" s="20">
        <v>93</v>
      </c>
      <c r="AB24" s="21"/>
      <c r="AC24" s="19">
        <v>95</v>
      </c>
      <c r="AD24" s="20"/>
      <c r="AE24" s="20">
        <v>89</v>
      </c>
      <c r="AF24" s="20"/>
      <c r="AG24" s="20">
        <v>99</v>
      </c>
      <c r="AH24" s="20"/>
      <c r="AI24" s="20">
        <v>95</v>
      </c>
      <c r="AJ24" s="21"/>
      <c r="AK24" s="44">
        <f t="shared" si="4"/>
        <v>88.5</v>
      </c>
      <c r="AL24" s="45">
        <f t="shared" si="5"/>
        <v>86.25</v>
      </c>
      <c r="AM24" s="46">
        <f t="shared" si="6"/>
        <v>90.25</v>
      </c>
      <c r="AN24" s="47">
        <f t="shared" si="7"/>
        <v>94.5</v>
      </c>
      <c r="AO24" s="48">
        <f t="shared" si="8"/>
        <v>89.875</v>
      </c>
      <c r="AP24" s="37"/>
      <c r="AR24" s="54" t="str">
        <f t="shared" si="9"/>
        <v/>
      </c>
      <c r="AS24" s="20"/>
      <c r="AT24" s="56">
        <f t="shared" si="10"/>
        <v>0</v>
      </c>
      <c r="AU24" s="57" t="str">
        <f t="shared" si="11"/>
        <v/>
      </c>
      <c r="AV24" s="54" t="str">
        <f t="shared" si="12"/>
        <v/>
      </c>
      <c r="AW24" s="20"/>
      <c r="AX24" s="56">
        <f t="shared" si="13"/>
        <v>0</v>
      </c>
      <c r="AY24" s="60" t="str">
        <f t="shared" si="14"/>
        <v/>
      </c>
      <c r="AZ24" s="54" t="str">
        <f t="shared" si="15"/>
        <v/>
      </c>
      <c r="BA24" s="21"/>
      <c r="BB24" s="62">
        <f t="shared" si="16"/>
        <v>89.875</v>
      </c>
      <c r="BC24" s="64" t="str">
        <f t="shared" si="17"/>
        <v/>
      </c>
      <c r="BE24" s="20">
        <f t="shared" si="18"/>
        <v>90</v>
      </c>
      <c r="BF24" s="20">
        <f t="shared" si="19"/>
        <v>86.5</v>
      </c>
      <c r="BG24" s="89">
        <f t="shared" si="20"/>
        <v>91.5</v>
      </c>
      <c r="BH24" s="20">
        <f t="shared" si="21"/>
        <v>91.5</v>
      </c>
      <c r="BI24" s="20">
        <f t="shared" si="22"/>
        <v>89.875</v>
      </c>
    </row>
    <row r="25" spans="1:61" x14ac:dyDescent="0.2">
      <c r="A25" s="29">
        <v>23</v>
      </c>
      <c r="B25" s="88" t="s">
        <v>134</v>
      </c>
      <c r="C25" s="69" t="s">
        <v>75</v>
      </c>
      <c r="D25" s="69" t="s">
        <v>76</v>
      </c>
      <c r="E25" s="19">
        <v>95</v>
      </c>
      <c r="F25" s="20"/>
      <c r="G25" s="20">
        <v>85</v>
      </c>
      <c r="H25" s="20"/>
      <c r="I25" s="20">
        <v>98</v>
      </c>
      <c r="J25" s="20"/>
      <c r="K25" s="20">
        <v>99</v>
      </c>
      <c r="L25" s="21"/>
      <c r="M25" s="19">
        <v>90</v>
      </c>
      <c r="N25" s="20"/>
      <c r="O25" s="20">
        <v>88</v>
      </c>
      <c r="P25" s="20"/>
      <c r="Q25" s="20">
        <v>90</v>
      </c>
      <c r="R25" s="20"/>
      <c r="S25" s="20">
        <v>99</v>
      </c>
      <c r="T25" s="21"/>
      <c r="U25" s="19">
        <v>89</v>
      </c>
      <c r="V25" s="20"/>
      <c r="W25" s="20">
        <v>90</v>
      </c>
      <c r="X25" s="20"/>
      <c r="Y25" s="20">
        <v>90</v>
      </c>
      <c r="Z25" s="20"/>
      <c r="AA25" s="20">
        <v>99</v>
      </c>
      <c r="AB25" s="21"/>
      <c r="AC25" s="19">
        <v>95</v>
      </c>
      <c r="AD25" s="20"/>
      <c r="AE25" s="20">
        <v>90</v>
      </c>
      <c r="AF25" s="20"/>
      <c r="AG25" s="20">
        <v>90</v>
      </c>
      <c r="AH25" s="20"/>
      <c r="AI25" s="20">
        <v>99</v>
      </c>
      <c r="AJ25" s="21"/>
      <c r="AK25" s="44">
        <f t="shared" si="4"/>
        <v>94.25</v>
      </c>
      <c r="AL25" s="45">
        <f t="shared" si="5"/>
        <v>91.75</v>
      </c>
      <c r="AM25" s="46">
        <f t="shared" si="6"/>
        <v>92</v>
      </c>
      <c r="AN25" s="47">
        <f t="shared" si="7"/>
        <v>93.5</v>
      </c>
      <c r="AO25" s="48">
        <f t="shared" si="8"/>
        <v>92.875</v>
      </c>
      <c r="AP25" s="37"/>
      <c r="AR25" s="54" t="str">
        <f t="shared" si="9"/>
        <v/>
      </c>
      <c r="AS25" s="20"/>
      <c r="AT25" s="56">
        <f t="shared" si="10"/>
        <v>0</v>
      </c>
      <c r="AU25" s="57" t="str">
        <f t="shared" si="11"/>
        <v/>
      </c>
      <c r="AV25" s="54" t="str">
        <f t="shared" si="12"/>
        <v/>
      </c>
      <c r="AW25" s="20"/>
      <c r="AX25" s="56">
        <f t="shared" si="13"/>
        <v>0</v>
      </c>
      <c r="AY25" s="60" t="str">
        <f t="shared" si="14"/>
        <v/>
      </c>
      <c r="AZ25" s="54" t="str">
        <f t="shared" si="15"/>
        <v/>
      </c>
      <c r="BA25" s="21"/>
      <c r="BB25" s="62">
        <f t="shared" si="16"/>
        <v>92.875</v>
      </c>
      <c r="BC25" s="64" t="str">
        <f t="shared" si="17"/>
        <v/>
      </c>
      <c r="BE25" s="20">
        <f t="shared" si="18"/>
        <v>92.25</v>
      </c>
      <c r="BF25" s="20">
        <f t="shared" si="19"/>
        <v>88.25</v>
      </c>
      <c r="BG25" s="89">
        <f t="shared" si="20"/>
        <v>92</v>
      </c>
      <c r="BH25" s="20">
        <f t="shared" si="21"/>
        <v>99</v>
      </c>
      <c r="BI25" s="20">
        <f t="shared" si="22"/>
        <v>92.875</v>
      </c>
    </row>
    <row r="26" spans="1:61" x14ac:dyDescent="0.2">
      <c r="A26" s="29">
        <v>24</v>
      </c>
      <c r="B26" s="88" t="s">
        <v>135</v>
      </c>
      <c r="C26" s="70" t="s">
        <v>77</v>
      </c>
      <c r="D26" s="70" t="s">
        <v>78</v>
      </c>
      <c r="E26" s="19">
        <v>80</v>
      </c>
      <c r="F26" s="20"/>
      <c r="G26" s="20">
        <v>85</v>
      </c>
      <c r="H26" s="20"/>
      <c r="I26" s="20">
        <v>99</v>
      </c>
      <c r="J26" s="20"/>
      <c r="K26" s="20">
        <v>98</v>
      </c>
      <c r="L26" s="21"/>
      <c r="M26" s="19">
        <v>85</v>
      </c>
      <c r="N26" s="20"/>
      <c r="O26" s="20">
        <v>90</v>
      </c>
      <c r="P26" s="20"/>
      <c r="Q26" s="20">
        <v>95</v>
      </c>
      <c r="R26" s="20"/>
      <c r="S26" s="20">
        <v>90</v>
      </c>
      <c r="T26" s="21"/>
      <c r="U26" s="19">
        <v>89</v>
      </c>
      <c r="V26" s="20"/>
      <c r="W26" s="20">
        <v>96</v>
      </c>
      <c r="X26" s="20"/>
      <c r="Y26" s="20">
        <v>95</v>
      </c>
      <c r="Z26" s="20"/>
      <c r="AA26" s="20">
        <v>98</v>
      </c>
      <c r="AB26" s="21"/>
      <c r="AC26" s="19">
        <v>95</v>
      </c>
      <c r="AD26" s="20"/>
      <c r="AE26" s="20">
        <v>98</v>
      </c>
      <c r="AF26" s="20"/>
      <c r="AG26" s="20">
        <v>95</v>
      </c>
      <c r="AH26" s="20"/>
      <c r="AI26" s="20">
        <v>99</v>
      </c>
      <c r="AJ26" s="21"/>
      <c r="AK26" s="44">
        <f t="shared" si="4"/>
        <v>90.5</v>
      </c>
      <c r="AL26" s="45">
        <f t="shared" si="5"/>
        <v>90</v>
      </c>
      <c r="AM26" s="46">
        <f t="shared" si="6"/>
        <v>94.5</v>
      </c>
      <c r="AN26" s="47">
        <f t="shared" si="7"/>
        <v>96.75</v>
      </c>
      <c r="AO26" s="48">
        <f t="shared" si="8"/>
        <v>92.9375</v>
      </c>
      <c r="AP26" s="37"/>
      <c r="AR26" s="54" t="str">
        <f t="shared" si="9"/>
        <v/>
      </c>
      <c r="AS26" s="20"/>
      <c r="AT26" s="56">
        <f t="shared" si="10"/>
        <v>0</v>
      </c>
      <c r="AU26" s="57" t="str">
        <f t="shared" si="11"/>
        <v/>
      </c>
      <c r="AV26" s="54" t="str">
        <f t="shared" si="12"/>
        <v/>
      </c>
      <c r="AW26" s="20"/>
      <c r="AX26" s="56">
        <f t="shared" si="13"/>
        <v>0</v>
      </c>
      <c r="AY26" s="60" t="str">
        <f t="shared" si="14"/>
        <v/>
      </c>
      <c r="AZ26" s="54" t="str">
        <f t="shared" si="15"/>
        <v/>
      </c>
      <c r="BA26" s="21"/>
      <c r="BB26" s="62">
        <f t="shared" si="16"/>
        <v>92.9375</v>
      </c>
      <c r="BC26" s="64" t="str">
        <f t="shared" si="17"/>
        <v/>
      </c>
      <c r="BE26" s="20">
        <f t="shared" si="18"/>
        <v>87.25</v>
      </c>
      <c r="BF26" s="20">
        <f t="shared" si="19"/>
        <v>92.25</v>
      </c>
      <c r="BG26" s="89">
        <f t="shared" si="20"/>
        <v>96</v>
      </c>
      <c r="BH26" s="20">
        <f t="shared" si="21"/>
        <v>96.25</v>
      </c>
      <c r="BI26" s="20">
        <f t="shared" si="22"/>
        <v>92.9375</v>
      </c>
    </row>
    <row r="27" spans="1:61" x14ac:dyDescent="0.2">
      <c r="A27" s="29">
        <v>25</v>
      </c>
      <c r="B27" s="88" t="s">
        <v>136</v>
      </c>
      <c r="C27" s="69" t="s">
        <v>79</v>
      </c>
      <c r="D27" s="69" t="s">
        <v>80</v>
      </c>
      <c r="E27" s="19">
        <v>90</v>
      </c>
      <c r="F27" s="20"/>
      <c r="G27" s="20">
        <v>85</v>
      </c>
      <c r="H27" s="20"/>
      <c r="I27" s="20">
        <v>83</v>
      </c>
      <c r="J27" s="20"/>
      <c r="K27" s="20">
        <v>87</v>
      </c>
      <c r="L27" s="21"/>
      <c r="M27" s="19">
        <v>92</v>
      </c>
      <c r="N27" s="20"/>
      <c r="O27" s="20">
        <v>80</v>
      </c>
      <c r="P27" s="20"/>
      <c r="Q27" s="20">
        <v>80</v>
      </c>
      <c r="R27" s="20"/>
      <c r="S27" s="20">
        <v>85</v>
      </c>
      <c r="T27" s="21"/>
      <c r="U27" s="19">
        <v>80</v>
      </c>
      <c r="V27" s="20"/>
      <c r="W27" s="20">
        <v>88</v>
      </c>
      <c r="X27" s="20"/>
      <c r="Y27" s="20">
        <v>80</v>
      </c>
      <c r="Z27" s="20"/>
      <c r="AA27" s="20">
        <v>85</v>
      </c>
      <c r="AB27" s="21"/>
      <c r="AC27" s="19">
        <v>90</v>
      </c>
      <c r="AD27" s="20"/>
      <c r="AE27" s="20">
        <v>90</v>
      </c>
      <c r="AF27" s="20"/>
      <c r="AG27" s="20">
        <v>90</v>
      </c>
      <c r="AH27" s="20"/>
      <c r="AI27" s="20">
        <v>89</v>
      </c>
      <c r="AJ27" s="21"/>
      <c r="AK27" s="44">
        <f t="shared" si="4"/>
        <v>86.25</v>
      </c>
      <c r="AL27" s="45">
        <f t="shared" si="5"/>
        <v>84.25</v>
      </c>
      <c r="AM27" s="46">
        <f t="shared" si="6"/>
        <v>83.25</v>
      </c>
      <c r="AN27" s="47">
        <f t="shared" si="7"/>
        <v>89.75</v>
      </c>
      <c r="AO27" s="48">
        <f t="shared" si="8"/>
        <v>85.875</v>
      </c>
      <c r="AP27" s="37"/>
      <c r="AR27" s="54" t="str">
        <f t="shared" si="9"/>
        <v/>
      </c>
      <c r="AS27" s="20"/>
      <c r="AT27" s="56">
        <f t="shared" si="10"/>
        <v>0</v>
      </c>
      <c r="AU27" s="57" t="str">
        <f t="shared" si="11"/>
        <v/>
      </c>
      <c r="AV27" s="54" t="str">
        <f t="shared" si="12"/>
        <v/>
      </c>
      <c r="AW27" s="20"/>
      <c r="AX27" s="56">
        <f t="shared" si="13"/>
        <v>0</v>
      </c>
      <c r="AY27" s="60" t="str">
        <f t="shared" si="14"/>
        <v/>
      </c>
      <c r="AZ27" s="54" t="str">
        <f t="shared" si="15"/>
        <v/>
      </c>
      <c r="BA27" s="21"/>
      <c r="BB27" s="62">
        <f t="shared" si="16"/>
        <v>85.875</v>
      </c>
      <c r="BC27" s="64" t="str">
        <f t="shared" si="17"/>
        <v/>
      </c>
      <c r="BE27" s="20">
        <f t="shared" si="18"/>
        <v>88</v>
      </c>
      <c r="BF27" s="20">
        <f t="shared" si="19"/>
        <v>85.75</v>
      </c>
      <c r="BG27" s="89">
        <f t="shared" si="20"/>
        <v>83.25</v>
      </c>
      <c r="BH27" s="20">
        <f t="shared" si="21"/>
        <v>86.5</v>
      </c>
      <c r="BI27" s="20">
        <f t="shared" si="22"/>
        <v>85.875</v>
      </c>
    </row>
    <row r="28" spans="1:61" x14ac:dyDescent="0.2">
      <c r="A28" s="29">
        <v>26</v>
      </c>
      <c r="B28" s="88" t="s">
        <v>137</v>
      </c>
      <c r="C28" s="70" t="s">
        <v>81</v>
      </c>
      <c r="D28" s="70" t="s">
        <v>82</v>
      </c>
      <c r="E28" s="19">
        <v>76</v>
      </c>
      <c r="F28" s="20"/>
      <c r="G28" s="20">
        <v>80</v>
      </c>
      <c r="H28" s="20"/>
      <c r="I28" s="20">
        <v>79</v>
      </c>
      <c r="J28" s="20"/>
      <c r="K28" s="20">
        <v>90</v>
      </c>
      <c r="L28" s="21"/>
      <c r="M28" s="19">
        <v>74</v>
      </c>
      <c r="N28" s="20"/>
      <c r="O28" s="20">
        <v>78</v>
      </c>
      <c r="P28" s="20"/>
      <c r="Q28" s="20">
        <v>80</v>
      </c>
      <c r="R28" s="20"/>
      <c r="S28" s="20">
        <v>85</v>
      </c>
      <c r="T28" s="21"/>
      <c r="U28" s="19">
        <v>75</v>
      </c>
      <c r="V28" s="20"/>
      <c r="W28" s="20">
        <v>79</v>
      </c>
      <c r="X28" s="20"/>
      <c r="Y28" s="20">
        <v>80</v>
      </c>
      <c r="Z28" s="20"/>
      <c r="AA28" s="20">
        <v>89</v>
      </c>
      <c r="AB28" s="21"/>
      <c r="AC28" s="19">
        <v>76</v>
      </c>
      <c r="AD28" s="20"/>
      <c r="AE28" s="20">
        <v>75</v>
      </c>
      <c r="AF28" s="20"/>
      <c r="AG28" s="20">
        <v>80</v>
      </c>
      <c r="AH28" s="20"/>
      <c r="AI28" s="20">
        <v>87</v>
      </c>
      <c r="AJ28" s="21"/>
      <c r="AK28" s="44">
        <f t="shared" si="4"/>
        <v>81.25</v>
      </c>
      <c r="AL28" s="45">
        <f t="shared" si="5"/>
        <v>79.25</v>
      </c>
      <c r="AM28" s="46">
        <f t="shared" si="6"/>
        <v>80.75</v>
      </c>
      <c r="AN28" s="47">
        <f t="shared" si="7"/>
        <v>79.5</v>
      </c>
      <c r="AO28" s="48">
        <f t="shared" si="8"/>
        <v>80.1875</v>
      </c>
      <c r="AP28" s="37"/>
      <c r="AR28" s="54" t="str">
        <f t="shared" si="9"/>
        <v/>
      </c>
      <c r="AS28" s="20"/>
      <c r="AT28" s="56">
        <f t="shared" si="10"/>
        <v>0</v>
      </c>
      <c r="AU28" s="57" t="str">
        <f t="shared" si="11"/>
        <v/>
      </c>
      <c r="AV28" s="54" t="str">
        <f t="shared" si="12"/>
        <v/>
      </c>
      <c r="AW28" s="20"/>
      <c r="AX28" s="56">
        <f t="shared" si="13"/>
        <v>0</v>
      </c>
      <c r="AY28" s="60" t="str">
        <f t="shared" si="14"/>
        <v/>
      </c>
      <c r="AZ28" s="54" t="str">
        <f t="shared" si="15"/>
        <v/>
      </c>
      <c r="BA28" s="21"/>
      <c r="BB28" s="62">
        <f t="shared" si="16"/>
        <v>80.1875</v>
      </c>
      <c r="BC28" s="64" t="str">
        <f t="shared" si="17"/>
        <v/>
      </c>
      <c r="BE28" s="20">
        <f t="shared" si="18"/>
        <v>75.25</v>
      </c>
      <c r="BF28" s="20">
        <f t="shared" si="19"/>
        <v>78</v>
      </c>
      <c r="BG28" s="89">
        <f t="shared" si="20"/>
        <v>79.75</v>
      </c>
      <c r="BH28" s="20">
        <f t="shared" si="21"/>
        <v>87.75</v>
      </c>
      <c r="BI28" s="20">
        <f t="shared" si="22"/>
        <v>80.1875</v>
      </c>
    </row>
    <row r="29" spans="1:61" x14ac:dyDescent="0.2">
      <c r="A29" s="29">
        <v>27</v>
      </c>
      <c r="B29" s="88" t="s">
        <v>138</v>
      </c>
      <c r="C29" s="69" t="s">
        <v>83</v>
      </c>
      <c r="D29" s="69" t="s">
        <v>84</v>
      </c>
      <c r="E29" s="19">
        <v>80</v>
      </c>
      <c r="F29" s="20"/>
      <c r="G29" s="20">
        <v>82</v>
      </c>
      <c r="H29" s="20"/>
      <c r="I29" s="20">
        <v>84</v>
      </c>
      <c r="J29" s="20"/>
      <c r="K29" s="20">
        <v>86</v>
      </c>
      <c r="L29" s="21"/>
      <c r="M29" s="19">
        <v>80</v>
      </c>
      <c r="N29" s="20"/>
      <c r="O29" s="20">
        <v>80</v>
      </c>
      <c r="P29" s="20"/>
      <c r="Q29" s="20">
        <v>85</v>
      </c>
      <c r="R29" s="20"/>
      <c r="S29" s="20">
        <v>82</v>
      </c>
      <c r="T29" s="21"/>
      <c r="U29" s="19">
        <v>76</v>
      </c>
      <c r="V29" s="20"/>
      <c r="W29" s="20">
        <v>81</v>
      </c>
      <c r="X29" s="20"/>
      <c r="Y29" s="20">
        <v>85</v>
      </c>
      <c r="Z29" s="20"/>
      <c r="AA29" s="20">
        <v>80</v>
      </c>
      <c r="AB29" s="21"/>
      <c r="AC29" s="19">
        <v>83</v>
      </c>
      <c r="AD29" s="20"/>
      <c r="AE29" s="20">
        <v>85</v>
      </c>
      <c r="AF29" s="20"/>
      <c r="AG29" s="20">
        <v>90</v>
      </c>
      <c r="AH29" s="20"/>
      <c r="AI29" s="20">
        <v>86</v>
      </c>
      <c r="AJ29" s="21"/>
      <c r="AK29" s="44">
        <f t="shared" si="4"/>
        <v>83</v>
      </c>
      <c r="AL29" s="45">
        <f t="shared" si="5"/>
        <v>81.75</v>
      </c>
      <c r="AM29" s="46">
        <f t="shared" si="6"/>
        <v>80.5</v>
      </c>
      <c r="AN29" s="47">
        <f t="shared" si="7"/>
        <v>86</v>
      </c>
      <c r="AO29" s="48">
        <f t="shared" si="8"/>
        <v>82.8125</v>
      </c>
      <c r="AP29" s="37"/>
      <c r="AR29" s="54" t="str">
        <f t="shared" si="9"/>
        <v/>
      </c>
      <c r="AS29" s="20"/>
      <c r="AT29" s="56">
        <f t="shared" si="10"/>
        <v>0</v>
      </c>
      <c r="AU29" s="57" t="str">
        <f t="shared" si="11"/>
        <v/>
      </c>
      <c r="AV29" s="54" t="str">
        <f t="shared" si="12"/>
        <v/>
      </c>
      <c r="AW29" s="20"/>
      <c r="AX29" s="56">
        <f t="shared" si="13"/>
        <v>0</v>
      </c>
      <c r="AY29" s="60" t="str">
        <f t="shared" si="14"/>
        <v/>
      </c>
      <c r="AZ29" s="54" t="str">
        <f t="shared" si="15"/>
        <v/>
      </c>
      <c r="BA29" s="21"/>
      <c r="BB29" s="62">
        <f t="shared" si="16"/>
        <v>82.8125</v>
      </c>
      <c r="BC29" s="64" t="str">
        <f t="shared" si="17"/>
        <v/>
      </c>
      <c r="BE29" s="20">
        <f t="shared" si="18"/>
        <v>79.75</v>
      </c>
      <c r="BF29" s="20">
        <f t="shared" si="19"/>
        <v>82</v>
      </c>
      <c r="BG29" s="89">
        <f t="shared" si="20"/>
        <v>86</v>
      </c>
      <c r="BH29" s="20">
        <f t="shared" si="21"/>
        <v>83.5</v>
      </c>
      <c r="BI29" s="20">
        <f t="shared" si="22"/>
        <v>82.8125</v>
      </c>
    </row>
    <row r="30" spans="1:61" x14ac:dyDescent="0.2">
      <c r="A30" s="29">
        <v>28</v>
      </c>
      <c r="B30" s="88" t="s">
        <v>139</v>
      </c>
      <c r="C30" s="70" t="s">
        <v>85</v>
      </c>
      <c r="D30" s="70" t="s">
        <v>86</v>
      </c>
      <c r="E30" s="19">
        <v>86</v>
      </c>
      <c r="F30" s="20"/>
      <c r="G30" s="20">
        <v>89</v>
      </c>
      <c r="H30" s="20"/>
      <c r="I30" s="20">
        <v>95</v>
      </c>
      <c r="J30" s="20"/>
      <c r="K30" s="20">
        <v>99</v>
      </c>
      <c r="L30" s="21"/>
      <c r="M30" s="19">
        <v>85</v>
      </c>
      <c r="N30" s="20"/>
      <c r="O30" s="20">
        <v>88</v>
      </c>
      <c r="P30" s="20"/>
      <c r="Q30" s="20">
        <v>98</v>
      </c>
      <c r="R30" s="20"/>
      <c r="S30" s="20">
        <v>95</v>
      </c>
      <c r="T30" s="21"/>
      <c r="U30" s="19">
        <v>89</v>
      </c>
      <c r="V30" s="20"/>
      <c r="W30" s="20">
        <v>90</v>
      </c>
      <c r="X30" s="20"/>
      <c r="Y30" s="20">
        <v>95</v>
      </c>
      <c r="Z30" s="20"/>
      <c r="AA30" s="20">
        <v>90</v>
      </c>
      <c r="AB30" s="21"/>
      <c r="AC30" s="19">
        <v>87</v>
      </c>
      <c r="AD30" s="20"/>
      <c r="AE30" s="20">
        <v>90</v>
      </c>
      <c r="AF30" s="20"/>
      <c r="AG30" s="20">
        <v>97</v>
      </c>
      <c r="AH30" s="20"/>
      <c r="AI30" s="20">
        <v>99</v>
      </c>
      <c r="AJ30" s="21"/>
      <c r="AK30" s="44">
        <f t="shared" si="4"/>
        <v>92.25</v>
      </c>
      <c r="AL30" s="45">
        <f t="shared" si="5"/>
        <v>91.5</v>
      </c>
      <c r="AM30" s="46">
        <f t="shared" si="6"/>
        <v>91</v>
      </c>
      <c r="AN30" s="47">
        <f t="shared" si="7"/>
        <v>93.25</v>
      </c>
      <c r="AO30" s="48">
        <f t="shared" si="8"/>
        <v>92</v>
      </c>
      <c r="AP30" s="37"/>
      <c r="AR30" s="54" t="str">
        <f t="shared" si="9"/>
        <v/>
      </c>
      <c r="AS30" s="20"/>
      <c r="AT30" s="56">
        <f t="shared" si="10"/>
        <v>0</v>
      </c>
      <c r="AU30" s="57" t="str">
        <f t="shared" si="11"/>
        <v/>
      </c>
      <c r="AV30" s="54" t="str">
        <f t="shared" si="12"/>
        <v/>
      </c>
      <c r="AW30" s="20"/>
      <c r="AX30" s="56">
        <f t="shared" si="13"/>
        <v>0</v>
      </c>
      <c r="AY30" s="60" t="str">
        <f t="shared" si="14"/>
        <v/>
      </c>
      <c r="AZ30" s="54" t="str">
        <f t="shared" si="15"/>
        <v/>
      </c>
      <c r="BA30" s="21"/>
      <c r="BB30" s="62">
        <f t="shared" si="16"/>
        <v>92</v>
      </c>
      <c r="BC30" s="64" t="str">
        <f t="shared" si="17"/>
        <v/>
      </c>
      <c r="BE30" s="20">
        <f t="shared" si="18"/>
        <v>86.75</v>
      </c>
      <c r="BF30" s="20">
        <f t="shared" si="19"/>
        <v>89.25</v>
      </c>
      <c r="BG30" s="89">
        <f t="shared" si="20"/>
        <v>96.25</v>
      </c>
      <c r="BH30" s="20">
        <f t="shared" si="21"/>
        <v>95.75</v>
      </c>
      <c r="BI30" s="20">
        <f t="shared" si="22"/>
        <v>92</v>
      </c>
    </row>
    <row r="31" spans="1:61" x14ac:dyDescent="0.2">
      <c r="A31" s="29">
        <v>29</v>
      </c>
      <c r="B31" s="88" t="s">
        <v>140</v>
      </c>
      <c r="C31" s="69" t="s">
        <v>87</v>
      </c>
      <c r="D31" s="69" t="s">
        <v>88</v>
      </c>
      <c r="E31" s="19">
        <v>80</v>
      </c>
      <c r="F31" s="20"/>
      <c r="G31" s="20">
        <v>82</v>
      </c>
      <c r="H31" s="20"/>
      <c r="I31" s="20">
        <v>84</v>
      </c>
      <c r="J31" s="20"/>
      <c r="K31" s="20">
        <v>86</v>
      </c>
      <c r="L31" s="21"/>
      <c r="M31" s="19">
        <v>80</v>
      </c>
      <c r="N31" s="20"/>
      <c r="O31" s="20">
        <v>80</v>
      </c>
      <c r="P31" s="20"/>
      <c r="Q31" s="20">
        <v>85</v>
      </c>
      <c r="R31" s="20"/>
      <c r="S31" s="20">
        <v>82</v>
      </c>
      <c r="T31" s="21"/>
      <c r="U31" s="19">
        <v>76</v>
      </c>
      <c r="V31" s="20"/>
      <c r="W31" s="20">
        <v>81</v>
      </c>
      <c r="X31" s="20"/>
      <c r="Y31" s="20">
        <v>85</v>
      </c>
      <c r="Z31" s="20"/>
      <c r="AA31" s="20">
        <v>80</v>
      </c>
      <c r="AB31" s="21"/>
      <c r="AC31" s="19">
        <v>83</v>
      </c>
      <c r="AD31" s="20"/>
      <c r="AE31" s="20">
        <v>85</v>
      </c>
      <c r="AF31" s="20"/>
      <c r="AG31" s="20">
        <v>90</v>
      </c>
      <c r="AH31" s="20"/>
      <c r="AI31" s="20">
        <v>86</v>
      </c>
      <c r="AJ31" s="21"/>
      <c r="AK31" s="44">
        <f t="shared" si="4"/>
        <v>83</v>
      </c>
      <c r="AL31" s="45">
        <f t="shared" si="5"/>
        <v>81.75</v>
      </c>
      <c r="AM31" s="46">
        <f t="shared" si="6"/>
        <v>80.5</v>
      </c>
      <c r="AN31" s="47">
        <f t="shared" si="7"/>
        <v>86</v>
      </c>
      <c r="AO31" s="48">
        <f t="shared" si="8"/>
        <v>82.8125</v>
      </c>
      <c r="AP31" s="37"/>
      <c r="AR31" s="54" t="str">
        <f t="shared" si="9"/>
        <v/>
      </c>
      <c r="AS31" s="20"/>
      <c r="AT31" s="56">
        <f t="shared" si="10"/>
        <v>0</v>
      </c>
      <c r="AU31" s="57" t="str">
        <f t="shared" si="11"/>
        <v/>
      </c>
      <c r="AV31" s="54" t="str">
        <f t="shared" si="12"/>
        <v/>
      </c>
      <c r="AW31" s="20"/>
      <c r="AX31" s="56">
        <f t="shared" si="13"/>
        <v>0</v>
      </c>
      <c r="AY31" s="60" t="str">
        <f t="shared" si="14"/>
        <v/>
      </c>
      <c r="AZ31" s="54" t="str">
        <f t="shared" si="15"/>
        <v/>
      </c>
      <c r="BA31" s="21"/>
      <c r="BB31" s="62">
        <f t="shared" si="16"/>
        <v>82.8125</v>
      </c>
      <c r="BC31" s="64" t="str">
        <f t="shared" si="17"/>
        <v/>
      </c>
      <c r="BE31" s="20">
        <f t="shared" si="18"/>
        <v>79.75</v>
      </c>
      <c r="BF31" s="20">
        <f t="shared" si="19"/>
        <v>82</v>
      </c>
      <c r="BG31" s="89">
        <f t="shared" si="20"/>
        <v>86</v>
      </c>
      <c r="BH31" s="20">
        <f t="shared" si="21"/>
        <v>83.5</v>
      </c>
      <c r="BI31" s="20">
        <f t="shared" si="22"/>
        <v>82.8125</v>
      </c>
    </row>
    <row r="32" spans="1:61" x14ac:dyDescent="0.2">
      <c r="A32" s="29">
        <v>30</v>
      </c>
      <c r="B32" s="88" t="s">
        <v>141</v>
      </c>
      <c r="C32" s="70" t="s">
        <v>89</v>
      </c>
      <c r="D32" s="70" t="s">
        <v>90</v>
      </c>
      <c r="E32" s="19">
        <v>80</v>
      </c>
      <c r="F32" s="20"/>
      <c r="G32" s="20">
        <v>82</v>
      </c>
      <c r="H32" s="20"/>
      <c r="I32" s="20">
        <v>84</v>
      </c>
      <c r="J32" s="20"/>
      <c r="K32" s="20">
        <v>86</v>
      </c>
      <c r="L32" s="21"/>
      <c r="M32" s="19">
        <v>80</v>
      </c>
      <c r="N32" s="20"/>
      <c r="O32" s="20">
        <v>80</v>
      </c>
      <c r="P32" s="20"/>
      <c r="Q32" s="20">
        <v>85</v>
      </c>
      <c r="R32" s="20"/>
      <c r="S32" s="20">
        <v>82</v>
      </c>
      <c r="T32" s="21"/>
      <c r="U32" s="19">
        <v>76</v>
      </c>
      <c r="V32" s="20"/>
      <c r="W32" s="20">
        <v>81</v>
      </c>
      <c r="X32" s="20"/>
      <c r="Y32" s="20">
        <v>85</v>
      </c>
      <c r="Z32" s="20"/>
      <c r="AA32" s="20">
        <v>80</v>
      </c>
      <c r="AB32" s="21"/>
      <c r="AC32" s="19">
        <v>83</v>
      </c>
      <c r="AD32" s="20"/>
      <c r="AE32" s="20">
        <v>85</v>
      </c>
      <c r="AF32" s="20"/>
      <c r="AG32" s="20">
        <v>90</v>
      </c>
      <c r="AH32" s="20"/>
      <c r="AI32" s="20">
        <v>86</v>
      </c>
      <c r="AJ32" s="21"/>
      <c r="AK32" s="44">
        <f t="shared" si="4"/>
        <v>83</v>
      </c>
      <c r="AL32" s="45">
        <f t="shared" si="5"/>
        <v>81.75</v>
      </c>
      <c r="AM32" s="46">
        <f t="shared" si="6"/>
        <v>80.5</v>
      </c>
      <c r="AN32" s="47">
        <f t="shared" si="7"/>
        <v>86</v>
      </c>
      <c r="AO32" s="48">
        <f t="shared" si="8"/>
        <v>82.8125</v>
      </c>
      <c r="AP32" s="37"/>
      <c r="AR32" s="54" t="str">
        <f t="shared" si="9"/>
        <v/>
      </c>
      <c r="AS32" s="20"/>
      <c r="AT32" s="56">
        <f t="shared" si="10"/>
        <v>0</v>
      </c>
      <c r="AU32" s="57" t="str">
        <f t="shared" si="11"/>
        <v/>
      </c>
      <c r="AV32" s="54" t="str">
        <f t="shared" si="12"/>
        <v/>
      </c>
      <c r="AW32" s="20"/>
      <c r="AX32" s="56">
        <f t="shared" si="13"/>
        <v>0</v>
      </c>
      <c r="AY32" s="60" t="str">
        <f t="shared" si="14"/>
        <v/>
      </c>
      <c r="AZ32" s="54" t="str">
        <f t="shared" si="15"/>
        <v/>
      </c>
      <c r="BA32" s="21"/>
      <c r="BB32" s="62">
        <f t="shared" si="16"/>
        <v>82.8125</v>
      </c>
      <c r="BC32" s="64" t="str">
        <f t="shared" si="17"/>
        <v/>
      </c>
      <c r="BE32" s="20">
        <f t="shared" si="18"/>
        <v>79.75</v>
      </c>
      <c r="BF32" s="20">
        <f t="shared" si="19"/>
        <v>82</v>
      </c>
      <c r="BG32" s="89">
        <f t="shared" si="20"/>
        <v>86</v>
      </c>
      <c r="BH32" s="20">
        <f t="shared" si="21"/>
        <v>83.5</v>
      </c>
      <c r="BI32" s="20">
        <f t="shared" si="22"/>
        <v>82.8125</v>
      </c>
    </row>
    <row r="33" spans="1:61" x14ac:dyDescent="0.2">
      <c r="A33" s="29">
        <v>31</v>
      </c>
      <c r="B33" s="88" t="s">
        <v>142</v>
      </c>
      <c r="C33" s="69" t="s">
        <v>91</v>
      </c>
      <c r="D33" s="69" t="s">
        <v>92</v>
      </c>
      <c r="E33" s="19">
        <v>85</v>
      </c>
      <c r="F33" s="20"/>
      <c r="G33" s="20">
        <v>88</v>
      </c>
      <c r="H33" s="20"/>
      <c r="I33" s="20">
        <v>90</v>
      </c>
      <c r="J33" s="20"/>
      <c r="K33" s="20">
        <v>93</v>
      </c>
      <c r="L33" s="21"/>
      <c r="M33" s="19">
        <v>90</v>
      </c>
      <c r="N33" s="20"/>
      <c r="O33" s="20">
        <v>89</v>
      </c>
      <c r="P33" s="20"/>
      <c r="Q33" s="20">
        <v>90</v>
      </c>
      <c r="R33" s="20"/>
      <c r="S33" s="20">
        <v>90</v>
      </c>
      <c r="T33" s="21"/>
      <c r="U33" s="19">
        <v>90</v>
      </c>
      <c r="V33" s="20"/>
      <c r="W33" s="20">
        <v>85</v>
      </c>
      <c r="X33" s="20"/>
      <c r="Y33" s="20">
        <v>90</v>
      </c>
      <c r="Z33" s="20"/>
      <c r="AA33" s="20">
        <v>93</v>
      </c>
      <c r="AB33" s="21"/>
      <c r="AC33" s="19">
        <v>91</v>
      </c>
      <c r="AD33" s="20"/>
      <c r="AE33" s="20">
        <v>89</v>
      </c>
      <c r="AF33" s="20"/>
      <c r="AG33" s="20">
        <v>95</v>
      </c>
      <c r="AH33" s="20"/>
      <c r="AI33" s="20">
        <v>97</v>
      </c>
      <c r="AJ33" s="21"/>
      <c r="AK33" s="44">
        <f t="shared" si="4"/>
        <v>89</v>
      </c>
      <c r="AL33" s="45">
        <f t="shared" si="5"/>
        <v>89.75</v>
      </c>
      <c r="AM33" s="46">
        <f t="shared" si="6"/>
        <v>89.5</v>
      </c>
      <c r="AN33" s="47">
        <f t="shared" si="7"/>
        <v>93</v>
      </c>
      <c r="AO33" s="48">
        <f t="shared" si="8"/>
        <v>90.3125</v>
      </c>
      <c r="AP33" s="37"/>
      <c r="AR33" s="54" t="str">
        <f t="shared" si="9"/>
        <v/>
      </c>
      <c r="AS33" s="20"/>
      <c r="AT33" s="56">
        <f t="shared" si="10"/>
        <v>0</v>
      </c>
      <c r="AU33" s="57" t="str">
        <f t="shared" si="11"/>
        <v/>
      </c>
      <c r="AV33" s="54" t="str">
        <f t="shared" si="12"/>
        <v/>
      </c>
      <c r="AW33" s="20"/>
      <c r="AX33" s="56">
        <f t="shared" si="13"/>
        <v>0</v>
      </c>
      <c r="AY33" s="60" t="str">
        <f t="shared" si="14"/>
        <v/>
      </c>
      <c r="AZ33" s="54" t="str">
        <f t="shared" si="15"/>
        <v/>
      </c>
      <c r="BA33" s="21"/>
      <c r="BB33" s="62">
        <f t="shared" si="16"/>
        <v>90.3125</v>
      </c>
      <c r="BC33" s="64" t="str">
        <f t="shared" si="17"/>
        <v/>
      </c>
      <c r="BE33" s="20">
        <f t="shared" si="18"/>
        <v>89</v>
      </c>
      <c r="BF33" s="20">
        <f t="shared" si="19"/>
        <v>87.75</v>
      </c>
      <c r="BG33" s="89">
        <f t="shared" si="20"/>
        <v>91.25</v>
      </c>
      <c r="BH33" s="20">
        <f t="shared" si="21"/>
        <v>93.25</v>
      </c>
      <c r="BI33" s="20">
        <f t="shared" si="22"/>
        <v>90.3125</v>
      </c>
    </row>
    <row r="34" spans="1:61" x14ac:dyDescent="0.2">
      <c r="A34" s="29">
        <v>32</v>
      </c>
      <c r="B34" s="88" t="s">
        <v>143</v>
      </c>
      <c r="C34" s="70" t="s">
        <v>93</v>
      </c>
      <c r="D34" s="70" t="s">
        <v>94</v>
      </c>
      <c r="E34" s="19">
        <v>80</v>
      </c>
      <c r="F34" s="20"/>
      <c r="G34" s="20">
        <v>82</v>
      </c>
      <c r="H34" s="20"/>
      <c r="I34" s="20">
        <v>84</v>
      </c>
      <c r="J34" s="20"/>
      <c r="K34" s="20">
        <v>86</v>
      </c>
      <c r="L34" s="21"/>
      <c r="M34" s="19">
        <v>80</v>
      </c>
      <c r="N34" s="20"/>
      <c r="O34" s="20">
        <v>80</v>
      </c>
      <c r="P34" s="20"/>
      <c r="Q34" s="20">
        <v>85</v>
      </c>
      <c r="R34" s="20"/>
      <c r="S34" s="20">
        <v>82</v>
      </c>
      <c r="T34" s="21"/>
      <c r="U34" s="19">
        <v>76</v>
      </c>
      <c r="V34" s="20"/>
      <c r="W34" s="20">
        <v>81</v>
      </c>
      <c r="X34" s="20"/>
      <c r="Y34" s="20">
        <v>85</v>
      </c>
      <c r="Z34" s="20"/>
      <c r="AA34" s="20">
        <v>80</v>
      </c>
      <c r="AB34" s="21"/>
      <c r="AC34" s="19">
        <v>83</v>
      </c>
      <c r="AD34" s="20"/>
      <c r="AE34" s="20">
        <v>85</v>
      </c>
      <c r="AF34" s="20"/>
      <c r="AG34" s="20">
        <v>90</v>
      </c>
      <c r="AH34" s="20"/>
      <c r="AI34" s="20">
        <v>86</v>
      </c>
      <c r="AJ34" s="21"/>
      <c r="AK34" s="44">
        <f t="shared" si="4"/>
        <v>83</v>
      </c>
      <c r="AL34" s="45">
        <f t="shared" si="5"/>
        <v>81.75</v>
      </c>
      <c r="AM34" s="46">
        <f t="shared" si="6"/>
        <v>80.5</v>
      </c>
      <c r="AN34" s="47">
        <f t="shared" si="7"/>
        <v>86</v>
      </c>
      <c r="AO34" s="48">
        <f t="shared" si="8"/>
        <v>82.8125</v>
      </c>
      <c r="AP34" s="37"/>
      <c r="AR34" s="54" t="str">
        <f t="shared" si="9"/>
        <v/>
      </c>
      <c r="AS34" s="20"/>
      <c r="AT34" s="56">
        <f t="shared" si="10"/>
        <v>0</v>
      </c>
      <c r="AU34" s="57" t="str">
        <f t="shared" si="11"/>
        <v/>
      </c>
      <c r="AV34" s="54" t="str">
        <f t="shared" si="12"/>
        <v/>
      </c>
      <c r="AW34" s="20"/>
      <c r="AX34" s="56">
        <f t="shared" si="13"/>
        <v>0</v>
      </c>
      <c r="AY34" s="60" t="str">
        <f t="shared" si="14"/>
        <v/>
      </c>
      <c r="AZ34" s="54" t="str">
        <f t="shared" si="15"/>
        <v/>
      </c>
      <c r="BA34" s="21"/>
      <c r="BB34" s="62">
        <f t="shared" si="16"/>
        <v>82.8125</v>
      </c>
      <c r="BC34" s="64" t="str">
        <f t="shared" si="17"/>
        <v/>
      </c>
      <c r="BE34" s="20">
        <f t="shared" si="18"/>
        <v>79.75</v>
      </c>
      <c r="BF34" s="20">
        <f t="shared" si="19"/>
        <v>82</v>
      </c>
      <c r="BG34" s="89">
        <f t="shared" si="20"/>
        <v>86</v>
      </c>
      <c r="BH34" s="20">
        <f t="shared" si="21"/>
        <v>83.5</v>
      </c>
      <c r="BI34" s="20">
        <f t="shared" si="22"/>
        <v>82.8125</v>
      </c>
    </row>
    <row r="35" spans="1:61" x14ac:dyDescent="0.2">
      <c r="A35" s="29">
        <v>33</v>
      </c>
      <c r="B35" s="88" t="s">
        <v>144</v>
      </c>
      <c r="C35" s="71" t="s">
        <v>95</v>
      </c>
      <c r="D35" s="71" t="s">
        <v>96</v>
      </c>
      <c r="E35" s="19">
        <v>90</v>
      </c>
      <c r="F35" s="20"/>
      <c r="G35" s="20">
        <v>95</v>
      </c>
      <c r="H35" s="20"/>
      <c r="I35" s="20">
        <v>98</v>
      </c>
      <c r="J35" s="20"/>
      <c r="K35" s="20">
        <v>85</v>
      </c>
      <c r="L35" s="21"/>
      <c r="M35" s="19">
        <v>96</v>
      </c>
      <c r="N35" s="20"/>
      <c r="O35" s="20">
        <v>90</v>
      </c>
      <c r="P35" s="20"/>
      <c r="Q35" s="20">
        <v>89</v>
      </c>
      <c r="R35" s="20"/>
      <c r="S35" s="20">
        <v>90</v>
      </c>
      <c r="T35" s="21"/>
      <c r="U35" s="19">
        <v>95</v>
      </c>
      <c r="V35" s="20"/>
      <c r="W35" s="20">
        <v>99</v>
      </c>
      <c r="X35" s="20"/>
      <c r="Y35" s="20">
        <v>92</v>
      </c>
      <c r="Z35" s="20"/>
      <c r="AA35" s="20">
        <v>90</v>
      </c>
      <c r="AB35" s="21"/>
      <c r="AC35" s="19">
        <v>98</v>
      </c>
      <c r="AD35" s="20"/>
      <c r="AE35" s="20">
        <v>99</v>
      </c>
      <c r="AF35" s="20"/>
      <c r="AG35" s="20">
        <v>90</v>
      </c>
      <c r="AH35" s="20"/>
      <c r="AI35" s="20">
        <v>91</v>
      </c>
      <c r="AJ35" s="21"/>
      <c r="AK35" s="44">
        <f t="shared" si="4"/>
        <v>92</v>
      </c>
      <c r="AL35" s="45">
        <f t="shared" si="5"/>
        <v>91.25</v>
      </c>
      <c r="AM35" s="46">
        <f t="shared" si="6"/>
        <v>94</v>
      </c>
      <c r="AN35" s="47">
        <f t="shared" si="7"/>
        <v>94.5</v>
      </c>
      <c r="AO35" s="48">
        <f t="shared" si="8"/>
        <v>92.9375</v>
      </c>
      <c r="AP35" s="37"/>
      <c r="AR35" s="54" t="str">
        <f t="shared" si="9"/>
        <v/>
      </c>
      <c r="AS35" s="20"/>
      <c r="AT35" s="56">
        <f t="shared" si="10"/>
        <v>0</v>
      </c>
      <c r="AU35" s="57" t="str">
        <f t="shared" si="11"/>
        <v/>
      </c>
      <c r="AV35" s="54" t="str">
        <f t="shared" si="12"/>
        <v/>
      </c>
      <c r="AW35" s="20"/>
      <c r="AX35" s="56">
        <f t="shared" si="13"/>
        <v>0</v>
      </c>
      <c r="AY35" s="60" t="str">
        <f t="shared" si="14"/>
        <v/>
      </c>
      <c r="AZ35" s="54" t="str">
        <f t="shared" si="15"/>
        <v/>
      </c>
      <c r="BA35" s="21"/>
      <c r="BB35" s="62">
        <f t="shared" si="16"/>
        <v>92.9375</v>
      </c>
      <c r="BC35" s="64" t="str">
        <f t="shared" si="17"/>
        <v/>
      </c>
      <c r="BE35" s="20">
        <f t="shared" si="18"/>
        <v>94.75</v>
      </c>
      <c r="BF35" s="20">
        <f t="shared" si="19"/>
        <v>95.75</v>
      </c>
      <c r="BG35" s="89">
        <f t="shared" si="20"/>
        <v>92.25</v>
      </c>
      <c r="BH35" s="20">
        <f t="shared" si="21"/>
        <v>89</v>
      </c>
      <c r="BI35" s="20">
        <f t="shared" si="22"/>
        <v>92.9375</v>
      </c>
    </row>
    <row r="36" spans="1:61" x14ac:dyDescent="0.2">
      <c r="A36" s="29">
        <v>34</v>
      </c>
      <c r="B36" s="88" t="s">
        <v>145</v>
      </c>
      <c r="C36" s="70" t="s">
        <v>97</v>
      </c>
      <c r="D36" s="70" t="s">
        <v>98</v>
      </c>
      <c r="E36" s="19">
        <v>80</v>
      </c>
      <c r="F36" s="20"/>
      <c r="G36" s="20">
        <v>85</v>
      </c>
      <c r="H36" s="20"/>
      <c r="I36" s="20">
        <v>90</v>
      </c>
      <c r="J36" s="20"/>
      <c r="K36" s="20">
        <v>99</v>
      </c>
      <c r="L36" s="21"/>
      <c r="M36" s="19">
        <v>89</v>
      </c>
      <c r="N36" s="20"/>
      <c r="O36" s="20">
        <v>93</v>
      </c>
      <c r="P36" s="20"/>
      <c r="Q36" s="20">
        <v>99</v>
      </c>
      <c r="R36" s="20"/>
      <c r="S36" s="20">
        <v>95</v>
      </c>
      <c r="T36" s="21"/>
      <c r="U36" s="19">
        <v>85</v>
      </c>
      <c r="V36" s="20"/>
      <c r="W36" s="20">
        <v>90</v>
      </c>
      <c r="X36" s="20"/>
      <c r="Y36" s="20">
        <v>87</v>
      </c>
      <c r="Z36" s="20"/>
      <c r="AA36" s="20">
        <v>97</v>
      </c>
      <c r="AB36" s="21"/>
      <c r="AC36" s="19">
        <v>88</v>
      </c>
      <c r="AD36" s="20"/>
      <c r="AE36" s="20">
        <v>92</v>
      </c>
      <c r="AF36" s="20"/>
      <c r="AG36" s="20">
        <v>98</v>
      </c>
      <c r="AH36" s="20"/>
      <c r="AI36" s="20">
        <v>99</v>
      </c>
      <c r="AJ36" s="21"/>
      <c r="AK36" s="44">
        <f t="shared" si="4"/>
        <v>88.5</v>
      </c>
      <c r="AL36" s="45">
        <f t="shared" si="5"/>
        <v>94</v>
      </c>
      <c r="AM36" s="46">
        <f t="shared" si="6"/>
        <v>89.75</v>
      </c>
      <c r="AN36" s="47">
        <f t="shared" si="7"/>
        <v>94.25</v>
      </c>
      <c r="AO36" s="48">
        <f t="shared" si="8"/>
        <v>91.625</v>
      </c>
      <c r="AP36" s="37"/>
      <c r="AR36" s="54" t="str">
        <f t="shared" si="9"/>
        <v/>
      </c>
      <c r="AS36" s="20"/>
      <c r="AT36" s="56">
        <f t="shared" si="10"/>
        <v>0</v>
      </c>
      <c r="AU36" s="57" t="str">
        <f t="shared" si="11"/>
        <v/>
      </c>
      <c r="AV36" s="54" t="str">
        <f t="shared" si="12"/>
        <v/>
      </c>
      <c r="AW36" s="20"/>
      <c r="AX36" s="56">
        <f t="shared" si="13"/>
        <v>0</v>
      </c>
      <c r="AY36" s="60" t="str">
        <f t="shared" si="14"/>
        <v/>
      </c>
      <c r="AZ36" s="54" t="str">
        <f t="shared" si="15"/>
        <v/>
      </c>
      <c r="BA36" s="21"/>
      <c r="BB36" s="62">
        <f t="shared" si="16"/>
        <v>91.625</v>
      </c>
      <c r="BC36" s="64" t="str">
        <f t="shared" si="17"/>
        <v/>
      </c>
      <c r="BE36" s="20">
        <f t="shared" si="18"/>
        <v>85.5</v>
      </c>
      <c r="BF36" s="20">
        <f t="shared" si="19"/>
        <v>90</v>
      </c>
      <c r="BG36" s="89">
        <f t="shared" si="20"/>
        <v>93.5</v>
      </c>
      <c r="BH36" s="20">
        <f t="shared" si="21"/>
        <v>97.5</v>
      </c>
      <c r="BI36" s="20">
        <f t="shared" si="22"/>
        <v>91.625</v>
      </c>
    </row>
    <row r="37" spans="1:61" x14ac:dyDescent="0.2">
      <c r="A37" s="29">
        <v>35</v>
      </c>
      <c r="B37" s="88" t="s">
        <v>146</v>
      </c>
      <c r="C37" s="69" t="s">
        <v>99</v>
      </c>
      <c r="D37" s="69" t="s">
        <v>100</v>
      </c>
      <c r="E37" s="19">
        <v>85</v>
      </c>
      <c r="F37" s="20"/>
      <c r="G37" s="20">
        <v>80</v>
      </c>
      <c r="H37" s="20"/>
      <c r="I37" s="20">
        <v>83</v>
      </c>
      <c r="J37" s="20"/>
      <c r="K37" s="20">
        <v>80</v>
      </c>
      <c r="L37" s="21"/>
      <c r="M37" s="19">
        <v>85</v>
      </c>
      <c r="N37" s="20"/>
      <c r="O37" s="20">
        <v>80</v>
      </c>
      <c r="P37" s="20"/>
      <c r="Q37" s="20">
        <v>87</v>
      </c>
      <c r="R37" s="20"/>
      <c r="S37" s="20">
        <v>86</v>
      </c>
      <c r="T37" s="21"/>
      <c r="U37" s="19">
        <v>80</v>
      </c>
      <c r="V37" s="20"/>
      <c r="W37" s="20">
        <v>87</v>
      </c>
      <c r="X37" s="20"/>
      <c r="Y37" s="20">
        <v>80</v>
      </c>
      <c r="Z37" s="20"/>
      <c r="AA37" s="20">
        <v>83</v>
      </c>
      <c r="AB37" s="21"/>
      <c r="AC37" s="19">
        <v>85</v>
      </c>
      <c r="AD37" s="20"/>
      <c r="AE37" s="20">
        <v>86</v>
      </c>
      <c r="AF37" s="20"/>
      <c r="AG37" s="20">
        <v>85</v>
      </c>
      <c r="AH37" s="20"/>
      <c r="AI37" s="20">
        <v>80</v>
      </c>
      <c r="AJ37" s="3"/>
      <c r="AK37" s="44">
        <f t="shared" si="4"/>
        <v>82</v>
      </c>
      <c r="AL37" s="45">
        <f t="shared" si="5"/>
        <v>84.5</v>
      </c>
      <c r="AM37" s="46">
        <f t="shared" si="6"/>
        <v>82.5</v>
      </c>
      <c r="AN37" s="47">
        <f t="shared" si="7"/>
        <v>84</v>
      </c>
      <c r="AO37" s="48">
        <f t="shared" si="8"/>
        <v>83.25</v>
      </c>
      <c r="AP37" s="37"/>
      <c r="AR37" s="54" t="str">
        <f t="shared" si="9"/>
        <v/>
      </c>
      <c r="AS37" s="20"/>
      <c r="AT37" s="56">
        <f t="shared" si="10"/>
        <v>0</v>
      </c>
      <c r="AU37" s="57" t="str">
        <f t="shared" si="11"/>
        <v/>
      </c>
      <c r="AV37" s="54" t="str">
        <f t="shared" si="12"/>
        <v/>
      </c>
      <c r="AW37" s="20"/>
      <c r="AX37" s="56">
        <f t="shared" si="13"/>
        <v>0</v>
      </c>
      <c r="AY37" s="60" t="str">
        <f t="shared" si="14"/>
        <v/>
      </c>
      <c r="AZ37" s="54" t="str">
        <f t="shared" si="15"/>
        <v/>
      </c>
      <c r="BA37" s="21"/>
      <c r="BB37" s="62">
        <f t="shared" si="16"/>
        <v>83.25</v>
      </c>
      <c r="BC37" s="64" t="str">
        <f t="shared" si="17"/>
        <v/>
      </c>
      <c r="BE37" s="20">
        <f t="shared" si="18"/>
        <v>83.75</v>
      </c>
      <c r="BF37" s="20">
        <f t="shared" si="19"/>
        <v>83.25</v>
      </c>
      <c r="BG37" s="89">
        <f t="shared" si="20"/>
        <v>83.75</v>
      </c>
      <c r="BH37" s="20">
        <f t="shared" si="21"/>
        <v>82.25</v>
      </c>
      <c r="BI37" s="20">
        <f t="shared" si="22"/>
        <v>83.25</v>
      </c>
    </row>
    <row r="38" spans="1:61" x14ac:dyDescent="0.2">
      <c r="A38" s="29">
        <v>36</v>
      </c>
      <c r="B38" s="88" t="s">
        <v>147</v>
      </c>
      <c r="C38" s="70" t="s">
        <v>101</v>
      </c>
      <c r="D38" s="70" t="s">
        <v>102</v>
      </c>
      <c r="E38" s="19">
        <v>76</v>
      </c>
      <c r="F38" s="20"/>
      <c r="G38" s="20">
        <v>65</v>
      </c>
      <c r="H38" s="20">
        <v>76</v>
      </c>
      <c r="I38" s="20">
        <v>60</v>
      </c>
      <c r="J38" s="20">
        <v>75</v>
      </c>
      <c r="K38" s="20">
        <v>70</v>
      </c>
      <c r="L38" s="21"/>
      <c r="M38" s="19">
        <v>77</v>
      </c>
      <c r="N38" s="20"/>
      <c r="O38" s="20">
        <v>60</v>
      </c>
      <c r="P38" s="20">
        <v>70</v>
      </c>
      <c r="Q38" s="20">
        <v>65</v>
      </c>
      <c r="R38" s="20">
        <v>70</v>
      </c>
      <c r="S38" s="20">
        <v>70</v>
      </c>
      <c r="T38" s="21"/>
      <c r="U38" s="19">
        <v>75</v>
      </c>
      <c r="V38" s="20"/>
      <c r="W38" s="20">
        <v>65</v>
      </c>
      <c r="X38" s="20">
        <v>73</v>
      </c>
      <c r="Y38" s="20">
        <v>60</v>
      </c>
      <c r="Z38" s="20">
        <v>76</v>
      </c>
      <c r="AA38" s="20">
        <v>70</v>
      </c>
      <c r="AB38" s="21"/>
      <c r="AC38" s="19">
        <v>75</v>
      </c>
      <c r="AD38" s="20"/>
      <c r="AE38" s="20">
        <v>60</v>
      </c>
      <c r="AF38" s="20">
        <v>70</v>
      </c>
      <c r="AG38" s="20">
        <v>60</v>
      </c>
      <c r="AH38" s="20">
        <v>75</v>
      </c>
      <c r="AI38" s="20">
        <v>70</v>
      </c>
      <c r="AJ38" s="3"/>
      <c r="AK38" s="44">
        <f t="shared" si="4"/>
        <v>74.25</v>
      </c>
      <c r="AL38" s="45">
        <f t="shared" si="5"/>
        <v>71.75</v>
      </c>
      <c r="AM38" s="46">
        <f t="shared" si="6"/>
        <v>73.5</v>
      </c>
      <c r="AN38" s="47">
        <f t="shared" si="7"/>
        <v>72.5</v>
      </c>
      <c r="AO38" s="48">
        <f t="shared" si="8"/>
        <v>73</v>
      </c>
      <c r="AP38" s="37"/>
      <c r="AR38" s="54" t="str">
        <f t="shared" si="9"/>
        <v/>
      </c>
      <c r="AS38" s="20"/>
      <c r="AT38" s="56">
        <f t="shared" si="10"/>
        <v>0</v>
      </c>
      <c r="AU38" s="57" t="str">
        <f t="shared" si="11"/>
        <v/>
      </c>
      <c r="AV38" s="54" t="str">
        <f t="shared" si="12"/>
        <v/>
      </c>
      <c r="AW38" s="20"/>
      <c r="AX38" s="56">
        <f t="shared" si="13"/>
        <v>0</v>
      </c>
      <c r="AY38" s="60" t="str">
        <f t="shared" si="14"/>
        <v/>
      </c>
      <c r="AZ38" s="54" t="str">
        <f t="shared" si="15"/>
        <v/>
      </c>
      <c r="BA38" s="21"/>
      <c r="BB38" s="62">
        <f t="shared" si="16"/>
        <v>73</v>
      </c>
      <c r="BC38" s="64" t="str">
        <f t="shared" si="17"/>
        <v/>
      </c>
      <c r="BE38" s="20">
        <f t="shared" si="18"/>
        <v>75.75</v>
      </c>
      <c r="BF38" s="20">
        <f t="shared" si="19"/>
        <v>62.5</v>
      </c>
      <c r="BG38" s="89">
        <f t="shared" si="20"/>
        <v>61.25</v>
      </c>
      <c r="BH38" s="20">
        <f t="shared" si="21"/>
        <v>70</v>
      </c>
      <c r="BI38" s="20">
        <f t="shared" si="22"/>
        <v>67.375</v>
      </c>
    </row>
    <row r="39" spans="1:61" x14ac:dyDescent="0.2">
      <c r="A39" s="29">
        <v>37</v>
      </c>
      <c r="B39" s="88" t="s">
        <v>148</v>
      </c>
      <c r="C39" s="69" t="s">
        <v>103</v>
      </c>
      <c r="D39" s="69" t="s">
        <v>104</v>
      </c>
      <c r="E39" s="19">
        <v>90</v>
      </c>
      <c r="F39" s="20"/>
      <c r="G39" s="20">
        <v>95</v>
      </c>
      <c r="H39" s="20"/>
      <c r="I39" s="20">
        <v>98</v>
      </c>
      <c r="J39" s="20"/>
      <c r="K39" s="20">
        <v>85</v>
      </c>
      <c r="L39" s="21"/>
      <c r="M39" s="19">
        <v>96</v>
      </c>
      <c r="N39" s="20"/>
      <c r="O39" s="20">
        <v>90</v>
      </c>
      <c r="P39" s="20"/>
      <c r="Q39" s="20">
        <v>89</v>
      </c>
      <c r="R39" s="20"/>
      <c r="S39" s="20">
        <v>90</v>
      </c>
      <c r="T39" s="21"/>
      <c r="U39" s="19">
        <v>95</v>
      </c>
      <c r="V39" s="20"/>
      <c r="W39" s="20">
        <v>99</v>
      </c>
      <c r="X39" s="20"/>
      <c r="Y39" s="20">
        <v>92</v>
      </c>
      <c r="Z39" s="20"/>
      <c r="AA39" s="20">
        <v>90</v>
      </c>
      <c r="AB39" s="21"/>
      <c r="AC39" s="19">
        <v>98</v>
      </c>
      <c r="AD39" s="20"/>
      <c r="AE39" s="20">
        <v>99</v>
      </c>
      <c r="AF39" s="20"/>
      <c r="AG39" s="20">
        <v>90</v>
      </c>
      <c r="AH39" s="20"/>
      <c r="AI39" s="20">
        <v>91</v>
      </c>
      <c r="AJ39" s="3"/>
      <c r="AK39" s="44">
        <f t="shared" si="4"/>
        <v>92</v>
      </c>
      <c r="AL39" s="45">
        <f t="shared" si="5"/>
        <v>91.25</v>
      </c>
      <c r="AM39" s="46">
        <f t="shared" si="6"/>
        <v>94</v>
      </c>
      <c r="AN39" s="47">
        <f t="shared" si="7"/>
        <v>94.5</v>
      </c>
      <c r="AO39" s="48">
        <f t="shared" si="8"/>
        <v>92.9375</v>
      </c>
      <c r="AP39" s="37"/>
      <c r="AR39" s="54" t="str">
        <f t="shared" si="9"/>
        <v/>
      </c>
      <c r="AS39" s="20"/>
      <c r="AT39" s="56">
        <f t="shared" si="10"/>
        <v>0</v>
      </c>
      <c r="AU39" s="57" t="str">
        <f t="shared" si="11"/>
        <v/>
      </c>
      <c r="AV39" s="54" t="str">
        <f t="shared" si="12"/>
        <v/>
      </c>
      <c r="AW39" s="20"/>
      <c r="AX39" s="56">
        <f t="shared" si="13"/>
        <v>0</v>
      </c>
      <c r="AY39" s="60" t="str">
        <f t="shared" si="14"/>
        <v/>
      </c>
      <c r="AZ39" s="54" t="str">
        <f t="shared" si="15"/>
        <v/>
      </c>
      <c r="BA39" s="21"/>
      <c r="BB39" s="62">
        <f t="shared" si="16"/>
        <v>92.9375</v>
      </c>
      <c r="BC39" s="64" t="str">
        <f t="shared" si="17"/>
        <v/>
      </c>
      <c r="BE39" s="20">
        <f t="shared" si="18"/>
        <v>94.75</v>
      </c>
      <c r="BF39" s="20">
        <f t="shared" si="19"/>
        <v>95.75</v>
      </c>
      <c r="BG39" s="89">
        <f t="shared" si="20"/>
        <v>92.25</v>
      </c>
      <c r="BH39" s="20">
        <f t="shared" si="21"/>
        <v>89</v>
      </c>
      <c r="BI39" s="20">
        <f t="shared" si="22"/>
        <v>92.9375</v>
      </c>
    </row>
    <row r="40" spans="1:61" x14ac:dyDescent="0.2">
      <c r="A40" s="29">
        <v>38</v>
      </c>
      <c r="B40" s="88" t="s">
        <v>149</v>
      </c>
      <c r="C40" s="70" t="s">
        <v>105</v>
      </c>
      <c r="D40" s="70" t="s">
        <v>106</v>
      </c>
      <c r="E40" s="19">
        <v>80</v>
      </c>
      <c r="F40" s="20"/>
      <c r="G40" s="20">
        <v>85</v>
      </c>
      <c r="H40" s="20"/>
      <c r="I40" s="20">
        <v>90</v>
      </c>
      <c r="J40" s="20"/>
      <c r="K40" s="20">
        <v>99</v>
      </c>
      <c r="L40" s="21"/>
      <c r="M40" s="19">
        <v>89</v>
      </c>
      <c r="N40" s="20"/>
      <c r="O40" s="20">
        <v>93</v>
      </c>
      <c r="P40" s="20"/>
      <c r="Q40" s="20">
        <v>99</v>
      </c>
      <c r="R40" s="20"/>
      <c r="S40" s="20">
        <v>95</v>
      </c>
      <c r="T40" s="21"/>
      <c r="U40" s="19">
        <v>85</v>
      </c>
      <c r="V40" s="20"/>
      <c r="W40" s="20">
        <v>90</v>
      </c>
      <c r="X40" s="20"/>
      <c r="Y40" s="20">
        <v>87</v>
      </c>
      <c r="Z40" s="20"/>
      <c r="AA40" s="20">
        <v>97</v>
      </c>
      <c r="AB40" s="21"/>
      <c r="AC40" s="19">
        <v>88</v>
      </c>
      <c r="AD40" s="20"/>
      <c r="AE40" s="20">
        <v>92</v>
      </c>
      <c r="AF40" s="20"/>
      <c r="AG40" s="20">
        <v>98</v>
      </c>
      <c r="AH40" s="20"/>
      <c r="AI40" s="20">
        <v>99</v>
      </c>
      <c r="AJ40" s="3"/>
      <c r="AK40" s="44">
        <f t="shared" si="4"/>
        <v>88.5</v>
      </c>
      <c r="AL40" s="45">
        <f t="shared" si="5"/>
        <v>94</v>
      </c>
      <c r="AM40" s="46">
        <f t="shared" si="6"/>
        <v>89.75</v>
      </c>
      <c r="AN40" s="47">
        <f t="shared" si="7"/>
        <v>94.25</v>
      </c>
      <c r="AO40" s="48">
        <f t="shared" si="8"/>
        <v>91.625</v>
      </c>
      <c r="AP40" s="37"/>
      <c r="AR40" s="54" t="str">
        <f t="shared" si="9"/>
        <v/>
      </c>
      <c r="AS40" s="20"/>
      <c r="AT40" s="56">
        <f t="shared" si="10"/>
        <v>0</v>
      </c>
      <c r="AU40" s="57" t="str">
        <f t="shared" si="11"/>
        <v/>
      </c>
      <c r="AV40" s="54" t="str">
        <f t="shared" si="12"/>
        <v/>
      </c>
      <c r="AW40" s="20"/>
      <c r="AX40" s="56">
        <f t="shared" si="13"/>
        <v>0</v>
      </c>
      <c r="AY40" s="60" t="str">
        <f t="shared" si="14"/>
        <v/>
      </c>
      <c r="AZ40" s="54" t="str">
        <f t="shared" si="15"/>
        <v/>
      </c>
      <c r="BA40" s="21"/>
      <c r="BB40" s="62">
        <f t="shared" si="16"/>
        <v>91.625</v>
      </c>
      <c r="BC40" s="64" t="str">
        <f t="shared" si="17"/>
        <v/>
      </c>
      <c r="BE40" s="20">
        <f t="shared" si="18"/>
        <v>85.5</v>
      </c>
      <c r="BF40" s="20">
        <f t="shared" si="19"/>
        <v>90</v>
      </c>
      <c r="BG40" s="89">
        <f t="shared" si="20"/>
        <v>93.5</v>
      </c>
      <c r="BH40" s="20">
        <f t="shared" si="21"/>
        <v>97.5</v>
      </c>
      <c r="BI40" s="20">
        <f t="shared" si="22"/>
        <v>91.625</v>
      </c>
    </row>
    <row r="41" spans="1:61" x14ac:dyDescent="0.2">
      <c r="A41" s="29">
        <v>39</v>
      </c>
      <c r="B41" s="88" t="s">
        <v>150</v>
      </c>
      <c r="C41" s="69" t="s">
        <v>107</v>
      </c>
      <c r="D41" s="69" t="s">
        <v>108</v>
      </c>
      <c r="E41" s="19">
        <v>85</v>
      </c>
      <c r="F41" s="20"/>
      <c r="G41" s="20">
        <v>80</v>
      </c>
      <c r="H41" s="20"/>
      <c r="I41" s="20">
        <v>83</v>
      </c>
      <c r="J41" s="20"/>
      <c r="K41" s="20">
        <v>80</v>
      </c>
      <c r="L41" s="21"/>
      <c r="M41" s="19">
        <v>85</v>
      </c>
      <c r="N41" s="20"/>
      <c r="O41" s="20">
        <v>80</v>
      </c>
      <c r="P41" s="20"/>
      <c r="Q41" s="20">
        <v>87</v>
      </c>
      <c r="R41" s="20"/>
      <c r="S41" s="20">
        <v>86</v>
      </c>
      <c r="T41" s="21"/>
      <c r="U41" s="19">
        <v>80</v>
      </c>
      <c r="V41" s="20"/>
      <c r="W41" s="20">
        <v>87</v>
      </c>
      <c r="X41" s="20"/>
      <c r="Y41" s="20">
        <v>80</v>
      </c>
      <c r="Z41" s="20"/>
      <c r="AA41" s="20">
        <v>83</v>
      </c>
      <c r="AB41" s="21"/>
      <c r="AC41" s="19">
        <v>85</v>
      </c>
      <c r="AD41" s="20"/>
      <c r="AE41" s="20">
        <v>86</v>
      </c>
      <c r="AF41" s="20"/>
      <c r="AG41" s="20">
        <v>85</v>
      </c>
      <c r="AH41" s="20"/>
      <c r="AI41" s="20">
        <v>80</v>
      </c>
      <c r="AJ41" s="3"/>
      <c r="AK41" s="44">
        <f t="shared" si="4"/>
        <v>82</v>
      </c>
      <c r="AL41" s="45">
        <f t="shared" si="5"/>
        <v>84.5</v>
      </c>
      <c r="AM41" s="46">
        <f t="shared" si="6"/>
        <v>82.5</v>
      </c>
      <c r="AN41" s="47">
        <f t="shared" si="7"/>
        <v>84</v>
      </c>
      <c r="AO41" s="48">
        <f t="shared" si="8"/>
        <v>83.25</v>
      </c>
      <c r="AP41" s="37"/>
      <c r="AR41" s="54" t="str">
        <f t="shared" si="9"/>
        <v/>
      </c>
      <c r="AS41" s="20"/>
      <c r="AT41" s="56">
        <f t="shared" si="10"/>
        <v>0</v>
      </c>
      <c r="AU41" s="57" t="str">
        <f t="shared" si="11"/>
        <v/>
      </c>
      <c r="AV41" s="54" t="str">
        <f t="shared" si="12"/>
        <v/>
      </c>
      <c r="AW41" s="20"/>
      <c r="AX41" s="56">
        <f t="shared" si="13"/>
        <v>0</v>
      </c>
      <c r="AY41" s="60" t="str">
        <f t="shared" si="14"/>
        <v/>
      </c>
      <c r="AZ41" s="54" t="str">
        <f t="shared" si="15"/>
        <v/>
      </c>
      <c r="BA41" s="21"/>
      <c r="BB41" s="62">
        <f t="shared" si="16"/>
        <v>83.25</v>
      </c>
      <c r="BC41" s="64" t="str">
        <f t="shared" si="17"/>
        <v/>
      </c>
      <c r="BE41" s="20">
        <f t="shared" si="18"/>
        <v>83.75</v>
      </c>
      <c r="BF41" s="20">
        <f t="shared" si="19"/>
        <v>83.25</v>
      </c>
      <c r="BG41" s="89">
        <f t="shared" si="20"/>
        <v>83.75</v>
      </c>
      <c r="BH41" s="20">
        <f t="shared" si="21"/>
        <v>82.25</v>
      </c>
      <c r="BI41" s="20">
        <f t="shared" si="22"/>
        <v>83.25</v>
      </c>
    </row>
    <row r="42" spans="1:61" x14ac:dyDescent="0.2">
      <c r="A42" s="29">
        <v>40</v>
      </c>
      <c r="B42" s="88" t="s">
        <v>151</v>
      </c>
      <c r="C42" s="70" t="s">
        <v>109</v>
      </c>
      <c r="D42" s="70" t="s">
        <v>110</v>
      </c>
      <c r="E42" s="19">
        <v>76</v>
      </c>
      <c r="F42" s="20"/>
      <c r="G42" s="20">
        <v>65</v>
      </c>
      <c r="H42" s="20">
        <v>76</v>
      </c>
      <c r="I42" s="20">
        <v>60</v>
      </c>
      <c r="J42" s="20">
        <v>75</v>
      </c>
      <c r="K42" s="20">
        <v>70</v>
      </c>
      <c r="L42" s="21"/>
      <c r="M42" s="19">
        <v>77</v>
      </c>
      <c r="N42" s="20"/>
      <c r="O42" s="20">
        <v>60</v>
      </c>
      <c r="P42" s="20">
        <v>70</v>
      </c>
      <c r="Q42" s="20">
        <v>65</v>
      </c>
      <c r="R42" s="20">
        <v>70</v>
      </c>
      <c r="S42" s="20">
        <v>70</v>
      </c>
      <c r="T42" s="21"/>
      <c r="U42" s="19">
        <v>75</v>
      </c>
      <c r="V42" s="20"/>
      <c r="W42" s="20">
        <v>65</v>
      </c>
      <c r="X42" s="20">
        <v>73</v>
      </c>
      <c r="Y42" s="20">
        <v>60</v>
      </c>
      <c r="Z42" s="20">
        <v>76</v>
      </c>
      <c r="AA42" s="20">
        <v>70</v>
      </c>
      <c r="AB42" s="21"/>
      <c r="AC42" s="19">
        <v>75</v>
      </c>
      <c r="AD42" s="20"/>
      <c r="AE42" s="20">
        <v>60</v>
      </c>
      <c r="AF42" s="20">
        <v>70</v>
      </c>
      <c r="AG42" s="20">
        <v>60</v>
      </c>
      <c r="AH42" s="20">
        <v>75</v>
      </c>
      <c r="AI42" s="20">
        <v>70</v>
      </c>
      <c r="AJ42" s="3"/>
      <c r="AK42" s="44">
        <f t="shared" si="4"/>
        <v>74.25</v>
      </c>
      <c r="AL42" s="45">
        <f t="shared" si="5"/>
        <v>71.75</v>
      </c>
      <c r="AM42" s="46">
        <f t="shared" si="6"/>
        <v>73.5</v>
      </c>
      <c r="AN42" s="47">
        <f t="shared" si="7"/>
        <v>72.5</v>
      </c>
      <c r="AO42" s="48">
        <f t="shared" si="8"/>
        <v>73</v>
      </c>
      <c r="AP42" s="37"/>
      <c r="AR42" s="54" t="str">
        <f t="shared" si="9"/>
        <v/>
      </c>
      <c r="AS42" s="20"/>
      <c r="AT42" s="56">
        <f t="shared" si="10"/>
        <v>0</v>
      </c>
      <c r="AU42" s="57" t="str">
        <f t="shared" si="11"/>
        <v/>
      </c>
      <c r="AV42" s="54" t="str">
        <f t="shared" si="12"/>
        <v/>
      </c>
      <c r="AW42" s="20"/>
      <c r="AX42" s="56">
        <f t="shared" si="13"/>
        <v>0</v>
      </c>
      <c r="AY42" s="60" t="str">
        <f t="shared" si="14"/>
        <v/>
      </c>
      <c r="AZ42" s="54" t="str">
        <f t="shared" si="15"/>
        <v/>
      </c>
      <c r="BA42" s="21"/>
      <c r="BB42" s="62">
        <f t="shared" si="16"/>
        <v>73</v>
      </c>
      <c r="BC42" s="64" t="str">
        <f t="shared" si="17"/>
        <v/>
      </c>
      <c r="BE42" s="20">
        <f t="shared" si="18"/>
        <v>75.75</v>
      </c>
      <c r="BF42" s="20">
        <f t="shared" si="19"/>
        <v>62.5</v>
      </c>
      <c r="BG42" s="89">
        <f t="shared" si="20"/>
        <v>61.25</v>
      </c>
      <c r="BH42" s="20">
        <f t="shared" si="21"/>
        <v>70</v>
      </c>
      <c r="BI42" s="20">
        <f t="shared" si="22"/>
        <v>67.375</v>
      </c>
    </row>
    <row r="43" spans="1:61" x14ac:dyDescent="0.2">
      <c r="A43" s="29">
        <v>41</v>
      </c>
      <c r="B43" s="88" t="s">
        <v>152</v>
      </c>
      <c r="C43" s="67"/>
      <c r="D43" s="67"/>
      <c r="E43" s="19"/>
      <c r="F43" s="20"/>
      <c r="G43" s="20"/>
      <c r="H43" s="20"/>
      <c r="I43" s="20"/>
      <c r="J43" s="20"/>
      <c r="K43" s="20"/>
      <c r="L43" s="21"/>
      <c r="M43" s="19"/>
      <c r="N43" s="20"/>
      <c r="O43" s="20"/>
      <c r="P43" s="20"/>
      <c r="Q43" s="20"/>
      <c r="R43" s="20"/>
      <c r="S43" s="20"/>
      <c r="T43" s="3"/>
      <c r="U43" s="19"/>
      <c r="V43" s="20"/>
      <c r="W43" s="20"/>
      <c r="X43" s="20"/>
      <c r="Y43" s="20"/>
      <c r="Z43" s="20"/>
      <c r="AA43" s="20"/>
      <c r="AB43" s="21"/>
      <c r="AC43" s="1"/>
      <c r="AD43" s="20"/>
      <c r="AE43" s="20"/>
      <c r="AF43" s="20"/>
      <c r="AG43" s="20"/>
      <c r="AH43" s="20"/>
      <c r="AI43" s="20"/>
      <c r="AJ43" s="3"/>
      <c r="AK43" s="44">
        <f t="shared" si="4"/>
        <v>0</v>
      </c>
      <c r="AL43" s="45">
        <f t="shared" si="5"/>
        <v>0</v>
      </c>
      <c r="AM43" s="46">
        <f t="shared" si="6"/>
        <v>0</v>
      </c>
      <c r="AN43" s="47">
        <f t="shared" si="7"/>
        <v>0</v>
      </c>
      <c r="AO43" s="48">
        <f t="shared" si="8"/>
        <v>0</v>
      </c>
      <c r="AP43" s="37"/>
      <c r="AR43" s="54">
        <f t="shared" si="9"/>
        <v>0</v>
      </c>
      <c r="AS43" s="20"/>
      <c r="AT43" s="56">
        <f t="shared" si="10"/>
        <v>0</v>
      </c>
      <c r="AU43" s="57" t="str">
        <f t="shared" si="11"/>
        <v/>
      </c>
      <c r="AV43" s="54" t="str">
        <f t="shared" si="12"/>
        <v/>
      </c>
      <c r="AW43" s="20"/>
      <c r="AX43" s="56">
        <f t="shared" si="13"/>
        <v>0</v>
      </c>
      <c r="AY43" s="60" t="str">
        <f t="shared" si="14"/>
        <v/>
      </c>
      <c r="AZ43" s="54" t="str">
        <f t="shared" si="15"/>
        <v/>
      </c>
      <c r="BA43" s="21"/>
      <c r="BB43" s="62" t="str">
        <f t="shared" si="16"/>
        <v/>
      </c>
      <c r="BC43" s="64">
        <f t="shared" si="17"/>
        <v>0</v>
      </c>
      <c r="BE43" s="20">
        <f t="shared" si="18"/>
        <v>0</v>
      </c>
      <c r="BF43" s="20">
        <f t="shared" si="19"/>
        <v>0</v>
      </c>
      <c r="BG43" s="89">
        <f t="shared" si="20"/>
        <v>0</v>
      </c>
      <c r="BH43" s="20">
        <f t="shared" si="21"/>
        <v>0</v>
      </c>
      <c r="BI43" s="20">
        <f t="shared" si="22"/>
        <v>0</v>
      </c>
    </row>
    <row r="44" spans="1:61" x14ac:dyDescent="0.2">
      <c r="A44" s="29">
        <v>42</v>
      </c>
      <c r="B44" s="88" t="s">
        <v>153</v>
      </c>
      <c r="C44" s="68"/>
      <c r="D44" s="68"/>
      <c r="E44" s="19"/>
      <c r="F44" s="20"/>
      <c r="G44" s="20"/>
      <c r="H44" s="20"/>
      <c r="I44" s="20"/>
      <c r="J44" s="20"/>
      <c r="K44" s="20"/>
      <c r="L44" s="21"/>
      <c r="M44" s="19"/>
      <c r="N44" s="20"/>
      <c r="O44" s="20"/>
      <c r="P44" s="20"/>
      <c r="Q44" s="20"/>
      <c r="R44" s="20"/>
      <c r="S44" s="20"/>
      <c r="T44" s="3"/>
      <c r="U44" s="19"/>
      <c r="V44" s="20"/>
      <c r="W44" s="20"/>
      <c r="X44" s="20"/>
      <c r="Y44" s="20"/>
      <c r="Z44" s="20"/>
      <c r="AA44" s="20"/>
      <c r="AB44" s="21"/>
      <c r="AC44" s="1"/>
      <c r="AD44" s="20"/>
      <c r="AE44" s="20"/>
      <c r="AF44" s="20"/>
      <c r="AG44" s="20"/>
      <c r="AH44" s="20"/>
      <c r="AI44" s="20"/>
      <c r="AJ44" s="3"/>
      <c r="AK44" s="44">
        <f t="shared" si="4"/>
        <v>0</v>
      </c>
      <c r="AL44" s="45">
        <f t="shared" si="5"/>
        <v>0</v>
      </c>
      <c r="AM44" s="46">
        <f t="shared" si="6"/>
        <v>0</v>
      </c>
      <c r="AN44" s="47">
        <f t="shared" si="7"/>
        <v>0</v>
      </c>
      <c r="AO44" s="48">
        <f t="shared" si="8"/>
        <v>0</v>
      </c>
      <c r="AP44" s="37"/>
      <c r="AR44" s="54">
        <f t="shared" si="9"/>
        <v>0</v>
      </c>
      <c r="AS44" s="20"/>
      <c r="AT44" s="56">
        <f t="shared" si="10"/>
        <v>0</v>
      </c>
      <c r="AU44" s="57" t="str">
        <f t="shared" si="11"/>
        <v/>
      </c>
      <c r="AV44" s="54" t="str">
        <f t="shared" si="12"/>
        <v/>
      </c>
      <c r="AW44" s="20"/>
      <c r="AX44" s="56">
        <f t="shared" si="13"/>
        <v>0</v>
      </c>
      <c r="AY44" s="60" t="str">
        <f t="shared" si="14"/>
        <v/>
      </c>
      <c r="AZ44" s="54" t="str">
        <f t="shared" si="15"/>
        <v/>
      </c>
      <c r="BA44" s="21"/>
      <c r="BB44" s="62" t="str">
        <f t="shared" si="16"/>
        <v/>
      </c>
      <c r="BC44" s="64">
        <f t="shared" si="17"/>
        <v>0</v>
      </c>
      <c r="BE44" s="20">
        <f t="shared" si="18"/>
        <v>0</v>
      </c>
      <c r="BF44" s="20">
        <f t="shared" si="19"/>
        <v>0</v>
      </c>
      <c r="BG44" s="89">
        <f t="shared" si="20"/>
        <v>0</v>
      </c>
      <c r="BH44" s="20">
        <f t="shared" si="21"/>
        <v>0</v>
      </c>
      <c r="BI44" s="20">
        <f t="shared" si="22"/>
        <v>0</v>
      </c>
    </row>
    <row r="45" spans="1:61" x14ac:dyDescent="0.2">
      <c r="A45" s="29">
        <v>43</v>
      </c>
      <c r="B45" s="88" t="s">
        <v>154</v>
      </c>
      <c r="C45" s="22"/>
      <c r="D45" s="24"/>
      <c r="E45" s="19"/>
      <c r="F45" s="20"/>
      <c r="G45" s="20"/>
      <c r="H45" s="20"/>
      <c r="I45" s="20"/>
      <c r="J45" s="20"/>
      <c r="K45" s="20"/>
      <c r="L45" s="21"/>
      <c r="M45" s="19"/>
      <c r="N45" s="20"/>
      <c r="O45" s="20"/>
      <c r="P45" s="20"/>
      <c r="Q45" s="20"/>
      <c r="R45" s="20"/>
      <c r="S45" s="20"/>
      <c r="T45" s="3"/>
      <c r="U45" s="19"/>
      <c r="V45" s="20"/>
      <c r="W45" s="20"/>
      <c r="X45" s="20"/>
      <c r="Y45" s="20"/>
      <c r="Z45" s="20"/>
      <c r="AA45" s="20"/>
      <c r="AB45" s="21"/>
      <c r="AC45" s="1"/>
      <c r="AD45" s="20"/>
      <c r="AE45" s="20"/>
      <c r="AF45" s="20"/>
      <c r="AG45" s="20"/>
      <c r="AH45" s="20"/>
      <c r="AI45" s="20"/>
      <c r="AJ45" s="3"/>
      <c r="AK45" s="44">
        <f t="shared" si="4"/>
        <v>0</v>
      </c>
      <c r="AL45" s="45">
        <f t="shared" si="5"/>
        <v>0</v>
      </c>
      <c r="AM45" s="46">
        <f t="shared" si="6"/>
        <v>0</v>
      </c>
      <c r="AN45" s="47">
        <f t="shared" si="7"/>
        <v>0</v>
      </c>
      <c r="AO45" s="48">
        <f t="shared" si="8"/>
        <v>0</v>
      </c>
      <c r="AP45" s="37"/>
      <c r="AR45" s="54">
        <f t="shared" si="9"/>
        <v>0</v>
      </c>
      <c r="AS45" s="20"/>
      <c r="AT45" s="56">
        <f t="shared" si="10"/>
        <v>0</v>
      </c>
      <c r="AU45" s="57" t="str">
        <f t="shared" si="11"/>
        <v/>
      </c>
      <c r="AV45" s="54" t="str">
        <f t="shared" si="12"/>
        <v/>
      </c>
      <c r="AW45" s="20"/>
      <c r="AX45" s="56">
        <f t="shared" si="13"/>
        <v>0</v>
      </c>
      <c r="AY45" s="60" t="str">
        <f t="shared" si="14"/>
        <v/>
      </c>
      <c r="AZ45" s="54" t="str">
        <f t="shared" si="15"/>
        <v/>
      </c>
      <c r="BA45" s="21"/>
      <c r="BB45" s="62" t="str">
        <f t="shared" si="16"/>
        <v/>
      </c>
      <c r="BC45" s="64">
        <f t="shared" si="17"/>
        <v>0</v>
      </c>
      <c r="BE45" s="20">
        <f t="shared" si="18"/>
        <v>0</v>
      </c>
      <c r="BF45" s="20">
        <f t="shared" si="19"/>
        <v>0</v>
      </c>
      <c r="BG45" s="89">
        <f t="shared" si="20"/>
        <v>0</v>
      </c>
      <c r="BH45" s="20">
        <f t="shared" si="21"/>
        <v>0</v>
      </c>
      <c r="BI45" s="20">
        <f t="shared" si="22"/>
        <v>0</v>
      </c>
    </row>
    <row r="46" spans="1:61" x14ac:dyDescent="0.2">
      <c r="A46" s="29">
        <v>44</v>
      </c>
      <c r="B46" s="88" t="s">
        <v>155</v>
      </c>
      <c r="C46" s="22"/>
      <c r="D46" s="24"/>
      <c r="E46" s="19"/>
      <c r="F46" s="20"/>
      <c r="G46" s="20"/>
      <c r="H46" s="20"/>
      <c r="I46" s="20"/>
      <c r="J46" s="20"/>
      <c r="K46" s="20"/>
      <c r="L46" s="21"/>
      <c r="M46" s="19"/>
      <c r="N46" s="20"/>
      <c r="O46" s="20"/>
      <c r="P46" s="20"/>
      <c r="Q46" s="20"/>
      <c r="R46" s="20"/>
      <c r="S46" s="20"/>
      <c r="T46" s="3"/>
      <c r="U46" s="19"/>
      <c r="V46" s="20"/>
      <c r="W46" s="20"/>
      <c r="X46" s="20"/>
      <c r="Y46" s="20"/>
      <c r="Z46" s="20"/>
      <c r="AA46" s="20"/>
      <c r="AB46" s="21"/>
      <c r="AC46" s="1"/>
      <c r="AD46" s="20"/>
      <c r="AE46" s="20"/>
      <c r="AF46" s="20"/>
      <c r="AG46" s="20"/>
      <c r="AH46" s="20"/>
      <c r="AI46" s="20"/>
      <c r="AJ46" s="3"/>
      <c r="AK46" s="44">
        <f t="shared" si="4"/>
        <v>0</v>
      </c>
      <c r="AL46" s="45">
        <f t="shared" si="5"/>
        <v>0</v>
      </c>
      <c r="AM46" s="46">
        <f t="shared" si="6"/>
        <v>0</v>
      </c>
      <c r="AN46" s="47">
        <f t="shared" si="7"/>
        <v>0</v>
      </c>
      <c r="AO46" s="48">
        <f t="shared" si="8"/>
        <v>0</v>
      </c>
      <c r="AP46" s="37"/>
      <c r="AR46" s="54">
        <f t="shared" si="9"/>
        <v>0</v>
      </c>
      <c r="AS46" s="20"/>
      <c r="AT46" s="56">
        <f t="shared" si="10"/>
        <v>0</v>
      </c>
      <c r="AU46" s="57" t="str">
        <f t="shared" si="11"/>
        <v/>
      </c>
      <c r="AV46" s="54" t="str">
        <f t="shared" si="12"/>
        <v/>
      </c>
      <c r="AW46" s="20"/>
      <c r="AX46" s="56">
        <f t="shared" si="13"/>
        <v>0</v>
      </c>
      <c r="AY46" s="60" t="str">
        <f t="shared" si="14"/>
        <v/>
      </c>
      <c r="AZ46" s="54" t="str">
        <f t="shared" si="15"/>
        <v/>
      </c>
      <c r="BA46" s="21"/>
      <c r="BB46" s="62" t="str">
        <f t="shared" si="16"/>
        <v/>
      </c>
      <c r="BC46" s="64">
        <f t="shared" si="17"/>
        <v>0</v>
      </c>
      <c r="BE46" s="20">
        <f t="shared" si="18"/>
        <v>0</v>
      </c>
      <c r="BF46" s="20">
        <f t="shared" si="19"/>
        <v>0</v>
      </c>
      <c r="BG46" s="89">
        <f t="shared" si="20"/>
        <v>0</v>
      </c>
      <c r="BH46" s="20">
        <f t="shared" si="21"/>
        <v>0</v>
      </c>
      <c r="BI46" s="20">
        <f t="shared" si="22"/>
        <v>0</v>
      </c>
    </row>
    <row r="47" spans="1:61" ht="16" thickBot="1" x14ac:dyDescent="0.25">
      <c r="A47" s="30">
        <v>45</v>
      </c>
      <c r="B47" s="88" t="s">
        <v>156</v>
      </c>
      <c r="C47" s="23"/>
      <c r="D47" s="25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4"/>
      <c r="U47" s="31"/>
      <c r="V47" s="32"/>
      <c r="W47" s="32"/>
      <c r="X47" s="32"/>
      <c r="Y47" s="32"/>
      <c r="Z47" s="32"/>
      <c r="AA47" s="32"/>
      <c r="AB47" s="33"/>
      <c r="AC47" s="5"/>
      <c r="AD47" s="32"/>
      <c r="AE47" s="32"/>
      <c r="AF47" s="32"/>
      <c r="AG47" s="32"/>
      <c r="AH47" s="32"/>
      <c r="AI47" s="32"/>
      <c r="AJ47" s="4"/>
      <c r="AK47" s="49">
        <f t="shared" si="4"/>
        <v>0</v>
      </c>
      <c r="AL47" s="50">
        <f t="shared" si="5"/>
        <v>0</v>
      </c>
      <c r="AM47" s="51">
        <f t="shared" si="6"/>
        <v>0</v>
      </c>
      <c r="AN47" s="52">
        <f t="shared" si="7"/>
        <v>0</v>
      </c>
      <c r="AO47" s="53">
        <f t="shared" si="8"/>
        <v>0</v>
      </c>
      <c r="AP47" s="38"/>
      <c r="AR47" s="55">
        <f t="shared" si="9"/>
        <v>0</v>
      </c>
      <c r="AS47" s="32"/>
      <c r="AT47" s="58">
        <f t="shared" si="10"/>
        <v>0</v>
      </c>
      <c r="AU47" s="59" t="str">
        <f t="shared" si="11"/>
        <v/>
      </c>
      <c r="AV47" s="55" t="str">
        <f t="shared" si="12"/>
        <v/>
      </c>
      <c r="AW47" s="32"/>
      <c r="AX47" s="58">
        <f t="shared" si="13"/>
        <v>0</v>
      </c>
      <c r="AY47" s="61" t="str">
        <f t="shared" si="14"/>
        <v/>
      </c>
      <c r="AZ47" s="55" t="str">
        <f t="shared" si="15"/>
        <v/>
      </c>
      <c r="BA47" s="33"/>
      <c r="BB47" s="65" t="str">
        <f t="shared" si="16"/>
        <v/>
      </c>
      <c r="BC47" s="66">
        <f t="shared" si="17"/>
        <v>0</v>
      </c>
      <c r="BE47" s="20">
        <f t="shared" si="18"/>
        <v>0</v>
      </c>
      <c r="BF47" s="20">
        <f t="shared" si="19"/>
        <v>0</v>
      </c>
      <c r="BG47" s="89">
        <f t="shared" si="20"/>
        <v>0</v>
      </c>
      <c r="BH47" s="20">
        <f t="shared" si="21"/>
        <v>0</v>
      </c>
      <c r="BI47" s="20">
        <f t="shared" si="22"/>
        <v>0</v>
      </c>
    </row>
  </sheetData>
  <mergeCells count="26">
    <mergeCell ref="AN1:AN2"/>
    <mergeCell ref="AR1:AR2"/>
    <mergeCell ref="AS1:AS2"/>
    <mergeCell ref="U1:AB1"/>
    <mergeCell ref="AC1:AJ1"/>
    <mergeCell ref="AK1:AK2"/>
    <mergeCell ref="AL1:AL2"/>
    <mergeCell ref="AM1:AM2"/>
    <mergeCell ref="AO1:AO2"/>
    <mergeCell ref="AP1:AP2"/>
    <mergeCell ref="A1:A2"/>
    <mergeCell ref="C1:C2"/>
    <mergeCell ref="D1:D2"/>
    <mergeCell ref="E1:L1"/>
    <mergeCell ref="M1:T1"/>
    <mergeCell ref="B1:B2"/>
    <mergeCell ref="AZ1:AZ2"/>
    <mergeCell ref="BA1:BA2"/>
    <mergeCell ref="BB1:BB2"/>
    <mergeCell ref="BC1:BC2"/>
    <mergeCell ref="AT1:AT2"/>
    <mergeCell ref="AU1:AU2"/>
    <mergeCell ref="AV1:AV2"/>
    <mergeCell ref="AW1:AW2"/>
    <mergeCell ref="AX1:AX2"/>
    <mergeCell ref="AY1:AY2"/>
  </mergeCells>
  <conditionalFormatting sqref="E35:AJ47 AJ34 E4:F34 M4:N34 AC4:AD34">
    <cfRule type="cellIs" dxfId="420" priority="13" operator="lessThan">
      <formula>70</formula>
    </cfRule>
  </conditionalFormatting>
  <conditionalFormatting sqref="AJ3">
    <cfRule type="cellIs" dxfId="419" priority="20" operator="lessThan">
      <formula>70</formula>
    </cfRule>
  </conditionalFormatting>
  <conditionalFormatting sqref="G4:L33">
    <cfRule type="cellIs" dxfId="418" priority="12" operator="lessThan">
      <formula>70</formula>
    </cfRule>
  </conditionalFormatting>
  <conditionalFormatting sqref="O4:AB33">
    <cfRule type="cellIs" dxfId="417" priority="11" operator="lessThan">
      <formula>70</formula>
    </cfRule>
  </conditionalFormatting>
  <conditionalFormatting sqref="AE4:AJ33">
    <cfRule type="cellIs" dxfId="416" priority="10" operator="lessThan">
      <formula>70</formula>
    </cfRule>
  </conditionalFormatting>
  <conditionalFormatting sqref="AK3:AP47">
    <cfRule type="cellIs" dxfId="415" priority="26" operator="lessThan">
      <formula>70</formula>
    </cfRule>
  </conditionalFormatting>
  <conditionalFormatting sqref="AR3:AR47">
    <cfRule type="cellIs" dxfId="414" priority="24" operator="lessThan">
      <formula>70</formula>
    </cfRule>
  </conditionalFormatting>
  <conditionalFormatting sqref="AR3:AY47">
    <cfRule type="cellIs" dxfId="413" priority="25" operator="lessThan">
      <formula>70</formula>
    </cfRule>
  </conditionalFormatting>
  <conditionalFormatting sqref="AZ3:AZ47">
    <cfRule type="cellIs" dxfId="412" priority="19" operator="lessThan">
      <formula>70</formula>
    </cfRule>
  </conditionalFormatting>
  <conditionalFormatting sqref="E3:F3 M3:N3 AC3:AD3">
    <cfRule type="cellIs" dxfId="329" priority="7" operator="lessThan">
      <formula>70</formula>
    </cfRule>
  </conditionalFormatting>
  <conditionalFormatting sqref="G3:L3">
    <cfRule type="cellIs" dxfId="328" priority="6" operator="lessThan">
      <formula>70</formula>
    </cfRule>
  </conditionalFormatting>
  <conditionalFormatting sqref="O3:AB3">
    <cfRule type="cellIs" dxfId="327" priority="5" operator="lessThan">
      <formula>70</formula>
    </cfRule>
  </conditionalFormatting>
  <conditionalFormatting sqref="AE3:AI3">
    <cfRule type="cellIs" dxfId="326" priority="4" operator="lessThan">
      <formula>70</formula>
    </cfRule>
  </conditionalFormatting>
  <conditionalFormatting sqref="G34:L34">
    <cfRule type="cellIs" dxfId="325" priority="3" operator="lessThan">
      <formula>70</formula>
    </cfRule>
  </conditionalFormatting>
  <conditionalFormatting sqref="O34:AB34">
    <cfRule type="cellIs" dxfId="324" priority="2" operator="lessThan">
      <formula>70</formula>
    </cfRule>
  </conditionalFormatting>
  <conditionalFormatting sqref="AE34:AI34">
    <cfRule type="cellIs" dxfId="323" priority="1" operator="lessThan">
      <formula>70</formula>
    </cfRule>
  </conditionalFormatting>
  <dataValidations count="1">
    <dataValidation type="custom" allowBlank="1" showInputMessage="1" showErrorMessage="1" sqref="E3:AI42" xr:uid="{C98D7BA4-311B-4F9B-B20C-009356CA4F3A}">
      <formula1>ISNUMBER(E3:E52)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1:BI47"/>
  <sheetViews>
    <sheetView zoomScaleNormal="100" workbookViewId="0">
      <selection activeCell="F12" sqref="F12:AI12"/>
    </sheetView>
  </sheetViews>
  <sheetFormatPr baseColWidth="10" defaultColWidth="11.5" defaultRowHeight="15" x14ac:dyDescent="0.2"/>
  <cols>
    <col min="1" max="1" width="4" style="12" customWidth="1"/>
    <col min="2" max="2" width="17.1640625" style="12" customWidth="1"/>
    <col min="3" max="3" width="21.33203125" style="13" customWidth="1"/>
    <col min="4" max="4" width="19.83203125" style="13" customWidth="1"/>
    <col min="5" max="36" width="4.6640625" style="13" customWidth="1"/>
    <col min="37" max="43" width="5.83203125" style="13" customWidth="1"/>
    <col min="44" max="44" width="7.6640625" style="13" customWidth="1"/>
    <col min="45" max="46" width="5.83203125" style="13" customWidth="1"/>
    <col min="47" max="47" width="6.5" style="13" customWidth="1"/>
    <col min="48" max="51" width="5.83203125" style="13" customWidth="1"/>
    <col min="52" max="53" width="5.33203125" style="13" customWidth="1"/>
    <col min="54" max="55" width="6.1640625" style="13" customWidth="1"/>
    <col min="56" max="56" width="11.5" style="13"/>
    <col min="57" max="58" width="6.33203125" style="13" customWidth="1"/>
    <col min="59" max="59" width="6.33203125" customWidth="1"/>
    <col min="60" max="61" width="6.33203125" style="13" customWidth="1"/>
    <col min="62" max="16384" width="11.5" style="13"/>
  </cols>
  <sheetData>
    <row r="1" spans="1:61" x14ac:dyDescent="0.2">
      <c r="A1" s="105" t="s">
        <v>5</v>
      </c>
      <c r="B1" s="117" t="s">
        <v>111</v>
      </c>
      <c r="C1" s="107" t="s">
        <v>4</v>
      </c>
      <c r="D1" s="109" t="s">
        <v>10</v>
      </c>
      <c r="E1" s="111" t="s">
        <v>18</v>
      </c>
      <c r="F1" s="112"/>
      <c r="G1" s="112"/>
      <c r="H1" s="112"/>
      <c r="I1" s="112"/>
      <c r="J1" s="112"/>
      <c r="K1" s="112"/>
      <c r="L1" s="113"/>
      <c r="M1" s="114" t="s">
        <v>19</v>
      </c>
      <c r="N1" s="115"/>
      <c r="O1" s="115"/>
      <c r="P1" s="115"/>
      <c r="Q1" s="115"/>
      <c r="R1" s="115"/>
      <c r="S1" s="115"/>
      <c r="T1" s="116"/>
      <c r="U1" s="121" t="s">
        <v>20</v>
      </c>
      <c r="V1" s="122"/>
      <c r="W1" s="122"/>
      <c r="X1" s="122"/>
      <c r="Y1" s="122"/>
      <c r="Z1" s="122"/>
      <c r="AA1" s="122"/>
      <c r="AB1" s="123"/>
      <c r="AC1" s="124" t="s">
        <v>21</v>
      </c>
      <c r="AD1" s="125"/>
      <c r="AE1" s="125"/>
      <c r="AF1" s="125"/>
      <c r="AG1" s="125"/>
      <c r="AH1" s="125"/>
      <c r="AI1" s="125"/>
      <c r="AJ1" s="126"/>
      <c r="AK1" s="127" t="s">
        <v>22</v>
      </c>
      <c r="AL1" s="129" t="s">
        <v>23</v>
      </c>
      <c r="AM1" s="131" t="s">
        <v>24</v>
      </c>
      <c r="AN1" s="119" t="s">
        <v>25</v>
      </c>
      <c r="AO1" s="133"/>
      <c r="AP1" s="135"/>
      <c r="AR1" s="99" t="s">
        <v>11</v>
      </c>
      <c r="AS1" s="101" t="s">
        <v>12</v>
      </c>
      <c r="AT1" s="95" t="s">
        <v>13</v>
      </c>
      <c r="AU1" s="97" t="s">
        <v>26</v>
      </c>
      <c r="AV1" s="99" t="s">
        <v>14</v>
      </c>
      <c r="AW1" s="101" t="s">
        <v>29</v>
      </c>
      <c r="AX1" s="95" t="s">
        <v>30</v>
      </c>
      <c r="AY1" s="103" t="s">
        <v>31</v>
      </c>
      <c r="AZ1" s="90" t="s">
        <v>27</v>
      </c>
      <c r="BA1" s="92" t="s">
        <v>28</v>
      </c>
      <c r="BB1" s="91" t="s">
        <v>16</v>
      </c>
      <c r="BC1" s="94" t="s">
        <v>17</v>
      </c>
    </row>
    <row r="2" spans="1:61" ht="16" thickBot="1" x14ac:dyDescent="0.25">
      <c r="A2" s="106"/>
      <c r="B2" s="118"/>
      <c r="C2" s="108"/>
      <c r="D2" s="110"/>
      <c r="E2" s="14" t="s">
        <v>0</v>
      </c>
      <c r="F2" s="15" t="s">
        <v>6</v>
      </c>
      <c r="G2" s="15" t="s">
        <v>1</v>
      </c>
      <c r="H2" s="15" t="s">
        <v>7</v>
      </c>
      <c r="I2" s="15" t="s">
        <v>2</v>
      </c>
      <c r="J2" s="15" t="s">
        <v>8</v>
      </c>
      <c r="K2" s="15" t="s">
        <v>3</v>
      </c>
      <c r="L2" s="16" t="s">
        <v>9</v>
      </c>
      <c r="M2" s="7" t="s">
        <v>0</v>
      </c>
      <c r="N2" s="7" t="s">
        <v>6</v>
      </c>
      <c r="O2" s="7" t="s">
        <v>1</v>
      </c>
      <c r="P2" s="7" t="s">
        <v>7</v>
      </c>
      <c r="Q2" s="7" t="s">
        <v>2</v>
      </c>
      <c r="R2" s="7" t="s">
        <v>8</v>
      </c>
      <c r="S2" s="7" t="s">
        <v>3</v>
      </c>
      <c r="T2" s="8" t="s">
        <v>9</v>
      </c>
      <c r="U2" s="9" t="s">
        <v>0</v>
      </c>
      <c r="V2" s="10" t="s">
        <v>6</v>
      </c>
      <c r="W2" s="10" t="s">
        <v>1</v>
      </c>
      <c r="X2" s="10" t="s">
        <v>8</v>
      </c>
      <c r="Y2" s="10" t="s">
        <v>2</v>
      </c>
      <c r="Z2" s="10" t="s">
        <v>9</v>
      </c>
      <c r="AA2" s="10" t="s">
        <v>3</v>
      </c>
      <c r="AB2" s="11" t="s">
        <v>9</v>
      </c>
      <c r="AC2" s="6" t="s">
        <v>0</v>
      </c>
      <c r="AD2" s="17" t="s">
        <v>6</v>
      </c>
      <c r="AE2" s="17" t="s">
        <v>1</v>
      </c>
      <c r="AF2" s="17" t="s">
        <v>8</v>
      </c>
      <c r="AG2" s="17" t="s">
        <v>2</v>
      </c>
      <c r="AH2" s="17" t="s">
        <v>9</v>
      </c>
      <c r="AI2" s="17" t="s">
        <v>3</v>
      </c>
      <c r="AJ2" s="18" t="s">
        <v>9</v>
      </c>
      <c r="AK2" s="128"/>
      <c r="AL2" s="130"/>
      <c r="AM2" s="132"/>
      <c r="AN2" s="120"/>
      <c r="AO2" s="134"/>
      <c r="AP2" s="136"/>
      <c r="AR2" s="100"/>
      <c r="AS2" s="102"/>
      <c r="AT2" s="96"/>
      <c r="AU2" s="98"/>
      <c r="AV2" s="100"/>
      <c r="AW2" s="102"/>
      <c r="AX2" s="96"/>
      <c r="AY2" s="104"/>
      <c r="AZ2" s="91"/>
      <c r="BA2" s="93"/>
      <c r="BB2" s="91"/>
      <c r="BC2" s="94"/>
      <c r="BE2" s="20" t="s">
        <v>0</v>
      </c>
      <c r="BF2" s="20" t="s">
        <v>1</v>
      </c>
      <c r="BG2" s="89" t="s">
        <v>2</v>
      </c>
      <c r="BH2" s="20" t="s">
        <v>3</v>
      </c>
      <c r="BI2" s="20" t="s">
        <v>15</v>
      </c>
    </row>
    <row r="3" spans="1:61" x14ac:dyDescent="0.2">
      <c r="A3" s="26">
        <v>1</v>
      </c>
      <c r="B3" s="88" t="s">
        <v>112</v>
      </c>
      <c r="C3" s="69" t="s">
        <v>33</v>
      </c>
      <c r="D3" s="69" t="s">
        <v>34</v>
      </c>
      <c r="E3" s="27"/>
      <c r="F3" s="19">
        <v>60</v>
      </c>
      <c r="G3" s="19">
        <v>60</v>
      </c>
      <c r="H3" s="20"/>
      <c r="I3" s="20">
        <v>65</v>
      </c>
      <c r="J3" s="20"/>
      <c r="K3" s="20">
        <v>63</v>
      </c>
      <c r="L3" s="20"/>
      <c r="M3" s="20">
        <v>68</v>
      </c>
      <c r="N3" s="19">
        <v>60</v>
      </c>
      <c r="O3" s="19">
        <v>60</v>
      </c>
      <c r="P3" s="20"/>
      <c r="Q3" s="20">
        <v>65</v>
      </c>
      <c r="R3" s="20"/>
      <c r="S3" s="20">
        <v>63</v>
      </c>
      <c r="T3" s="20"/>
      <c r="U3" s="20">
        <v>68</v>
      </c>
      <c r="V3" s="19">
        <v>60</v>
      </c>
      <c r="W3" s="19">
        <v>60</v>
      </c>
      <c r="X3" s="20"/>
      <c r="Y3" s="20">
        <v>65</v>
      </c>
      <c r="Z3" s="20"/>
      <c r="AA3" s="20">
        <v>63</v>
      </c>
      <c r="AB3" s="20"/>
      <c r="AC3" s="20">
        <v>68</v>
      </c>
      <c r="AD3" s="19">
        <v>60</v>
      </c>
      <c r="AE3" s="19">
        <v>60</v>
      </c>
      <c r="AF3" s="20"/>
      <c r="AG3" s="20">
        <v>65</v>
      </c>
      <c r="AH3" s="20"/>
      <c r="AI3" s="20">
        <v>63</v>
      </c>
      <c r="AJ3" s="20"/>
      <c r="AK3" s="20">
        <v>68</v>
      </c>
      <c r="AL3" s="40">
        <f>SUMIF(M3:M3, "&gt;=70") / 4 +SUMIF(O3:O3, "&gt;=70") / 4 +SUMIF(Q3:Q3, "&gt;=70") / 4 +SUMIF(S3:S3, "&gt;=70") / 4 + SUMIF(N3:N3, "&gt;1") / 4 + SUMIF(P3:P3, "&gt;1") / 4 + SUMIF(R3:R3, "&gt;1") / 4 + SUMIF(T3:T3, "&gt;1") / 4</f>
        <v>15</v>
      </c>
      <c r="AM3" s="41">
        <f>SUMIF(U3:U3, "&gt;=70") / 4 +SUMIF(W3:W3, "&gt;=70") / 4 +SUMIF(Y3:Y3, "&gt;=70") / 4 +SUMIF(AA3:AA3, "&gt;=70") / 4 + SUMIF(V3:V3, "&gt;1") / 4 + SUMIF(X3:X3, "&gt;1") / 4 + SUMIF(Z3:Z3, "&gt;1") / 4 + SUMIF(AB3:AB3, "&gt;1") / 4</f>
        <v>15</v>
      </c>
      <c r="AN3" s="42">
        <f>SUMIF(AC3:AC3, "&gt;=70") / 4 +SUMIF(AE3:AE3, "&gt;=70") / 4 +SUMIF(AG3:AG3, "&gt;=70") / 4 +SUMIF(AI3:AI3, "&gt;=70") / 4 + SUMIF(AD3:AD3, "&gt;1") / 4 + SUMIF(AF3:AF3, "&gt;1") / 4 + SUMIF(AH3:AH3, "&gt;1") / 4 + SUMIF(AJ3:AJ3, "&gt;1") / 4</f>
        <v>15</v>
      </c>
      <c r="AO3" s="43">
        <f>AVERAGE(AK3:AN3)</f>
        <v>28.25</v>
      </c>
      <c r="AP3" s="34"/>
      <c r="AR3" s="54">
        <f>IF(AO3&lt;70, AO3*0.5, "")</f>
        <v>14.125</v>
      </c>
      <c r="AS3" s="35"/>
      <c r="AT3" s="56">
        <f>AS3*50%</f>
        <v>0</v>
      </c>
      <c r="AU3" s="57" t="str">
        <f>IF(AS3&lt;&gt;"", IF(AR3="","",AR3+AT3), "")</f>
        <v/>
      </c>
      <c r="AV3" s="54" t="str">
        <f>IF(AU3 &lt; 70, AR3*30%, "")</f>
        <v/>
      </c>
      <c r="AW3" s="36"/>
      <c r="AX3" s="56">
        <f>AW3*70%</f>
        <v>0</v>
      </c>
      <c r="AY3" s="60" t="str">
        <f>IF(AW3&lt;&gt;"", IF(AV3="", "", AV3+AX3), "")</f>
        <v/>
      </c>
      <c r="AZ3" s="54" t="str">
        <f>IF(AND(AU3&lt;70, AY3&lt;70), AO3, "")</f>
        <v/>
      </c>
      <c r="BA3" s="21"/>
      <c r="BB3" s="62" t="str">
        <f>IF(AW3&lt;&gt;"", IF(AY3&gt;=70, AY3, IF(AZ3+BA3&gt;=70, AZ3+BA3, "")),
   IF(AS3&lt;&gt;"", IF(AU3&gt;=70, AU3, ""),
   IF(AO3&gt;=70, AO3, "")))</f>
        <v/>
      </c>
      <c r="BC3" s="63">
        <f>IF(AW3&lt;&gt;"", IF(AY3&lt;70, IF(AZ3+BA3&lt;70, AZ3+BA3, ""), ""), IF(AS3&lt;&gt;"", IF(AU3&lt;70, AU3, ""), IF(AO3&lt;70, AO3, "")))</f>
        <v>28.25</v>
      </c>
      <c r="BE3" s="20">
        <f t="shared" ref="BE3:BE4" si="0">SUM(E3+M3+U3+AC3)/4</f>
        <v>51</v>
      </c>
      <c r="BF3" s="20">
        <f t="shared" ref="BF3:BF4" si="1">SUM(G3+O3+W3+AE3)/4</f>
        <v>60</v>
      </c>
      <c r="BG3" s="89">
        <f t="shared" ref="BG3:BG4" si="2">SUM(I3+Q3+Y3+AG3)/4</f>
        <v>65</v>
      </c>
      <c r="BH3" s="20">
        <f t="shared" ref="BH3:BH4" si="3">SUM(K3+S3+AA3+AI3)/4</f>
        <v>63</v>
      </c>
      <c r="BI3" s="20">
        <f>AVERAGE(BE3:BH3)</f>
        <v>59.75</v>
      </c>
    </row>
    <row r="4" spans="1:61" x14ac:dyDescent="0.2">
      <c r="A4" s="29">
        <v>2</v>
      </c>
      <c r="B4" s="88" t="s">
        <v>113</v>
      </c>
      <c r="C4" s="70" t="s">
        <v>35</v>
      </c>
      <c r="D4" s="70" t="s">
        <v>34</v>
      </c>
      <c r="E4" s="19">
        <v>95</v>
      </c>
      <c r="F4" s="20"/>
      <c r="G4" s="20">
        <v>95</v>
      </c>
      <c r="H4" s="20"/>
      <c r="I4" s="20">
        <v>95</v>
      </c>
      <c r="J4" s="20"/>
      <c r="K4" s="20">
        <v>98</v>
      </c>
      <c r="L4" s="21"/>
      <c r="M4" s="19">
        <v>93</v>
      </c>
      <c r="N4" s="20"/>
      <c r="O4" s="20">
        <v>90</v>
      </c>
      <c r="P4" s="20"/>
      <c r="Q4" s="20">
        <v>94</v>
      </c>
      <c r="R4" s="20"/>
      <c r="S4" s="20">
        <v>95</v>
      </c>
      <c r="T4" s="21"/>
      <c r="U4" s="19">
        <v>95</v>
      </c>
      <c r="V4" s="20"/>
      <c r="W4" s="20">
        <v>92</v>
      </c>
      <c r="X4" s="20"/>
      <c r="Y4" s="20">
        <v>94</v>
      </c>
      <c r="Z4" s="20"/>
      <c r="AA4" s="20">
        <v>95</v>
      </c>
      <c r="AB4" s="21"/>
      <c r="AC4" s="1">
        <v>95</v>
      </c>
      <c r="AD4" s="20"/>
      <c r="AE4" s="20">
        <v>97</v>
      </c>
      <c r="AF4" s="20"/>
      <c r="AG4" s="20">
        <v>90</v>
      </c>
      <c r="AH4" s="20"/>
      <c r="AI4" s="20">
        <v>90</v>
      </c>
      <c r="AJ4" s="3"/>
      <c r="AK4" s="44">
        <f t="shared" ref="AK4:AK47" si="4">SUMIF(E4:E4, "&gt;=70") / 4 +SUMIF(G4:G4, "&gt;=70") / 4 +SUMIF(I4:I4, "&gt;=70") / 4 +SUMIF(K4:K4, "&gt;=70") / 4 + SUMIF(F4:F4, "&gt;1") / 4 + SUMIF(H4:H4, "&gt;1") / 4 + SUMIF(J4:J4, "&gt;1") / 4 + SUMIF(L4:L4, "&gt;1") / 4</f>
        <v>95.75</v>
      </c>
      <c r="AL4" s="45">
        <f t="shared" ref="AL4:AL47" si="5">SUMIF(M4:M4, "&gt;=70") / 4 +SUMIF(O4:O4, "&gt;=70") / 4 +SUMIF(Q4:Q4, "&gt;=70") / 4 +SUMIF(S4:S4, "&gt;=70") / 4 + SUMIF(N4:N4, "&gt;1") / 4 + SUMIF(P4:P4, "&gt;1") / 4 + SUMIF(R4:R4, "&gt;1") / 4 + SUMIF(T4:T4, "&gt;1") / 4</f>
        <v>93</v>
      </c>
      <c r="AM4" s="46">
        <f t="shared" ref="AM4:AM47" si="6">SUMIF(U4:U4, "&gt;=70") / 4 +SUMIF(W4:W4, "&gt;=70") / 4 +SUMIF(Y4:Y4, "&gt;=70") / 4 +SUMIF(AA4:AA4, "&gt;=70") / 4 + SUMIF(V4:V4, "&gt;1") / 4 + SUMIF(X4:X4, "&gt;1") / 4 + SUMIF(Z4:Z4, "&gt;1") / 4 + SUMIF(AB4:AB4, "&gt;1") / 4</f>
        <v>94</v>
      </c>
      <c r="AN4" s="47">
        <f t="shared" ref="AN4:AN47" si="7">SUMIF(AC4:AC4, "&gt;=65") / 4 +SUMIF(AE4:AE4, "&gt;=65") / 4 +SUMIF(AG4:AG4, "&gt;=65") / 4 +SUMIF(AI4:AI4, "&gt;=65") / 4 + SUMIF(AD4:AD4, "&gt;1") / 4 + SUMIF(AF4:AF4, "&gt;1") / 4 + SUMIF(AH4:AH4, "&gt;1") / 4 + SUMIF(AJ4:AJ4, "&gt;1") / 4</f>
        <v>93</v>
      </c>
      <c r="AO4" s="48">
        <f t="shared" ref="AO4:AO47" si="8">AVERAGE(AK4:AN4)</f>
        <v>93.9375</v>
      </c>
      <c r="AP4" s="37"/>
      <c r="AR4" s="54" t="str">
        <f t="shared" ref="AR4:AR47" si="9">IF(AO4&lt;70, AO4*0.5, "")</f>
        <v/>
      </c>
      <c r="AS4" s="35"/>
      <c r="AT4" s="56">
        <f t="shared" ref="AT4:AT47" si="10">AS4*50%</f>
        <v>0</v>
      </c>
      <c r="AU4" s="57" t="str">
        <f t="shared" ref="AU4:AU47" si="11">IF(AS4&lt;&gt;"", IF(AR4="","",AR4+AT4), "")</f>
        <v/>
      </c>
      <c r="AV4" s="54" t="str">
        <f t="shared" ref="AV4:AV47" si="12">IF(AU4 &lt; 70, AR4*30%, "")</f>
        <v/>
      </c>
      <c r="AW4" s="36"/>
      <c r="AX4" s="56">
        <f t="shared" ref="AX4:AX47" si="13">AW4*70%</f>
        <v>0</v>
      </c>
      <c r="AY4" s="60" t="str">
        <f t="shared" ref="AY4:AY47" si="14">IF(AW4&lt;&gt;"", IF(AV4="", "", AV4+AX4), "")</f>
        <v/>
      </c>
      <c r="AZ4" s="54" t="str">
        <f t="shared" ref="AZ4:AZ47" si="15">IF(AND(AU4&lt;70, AY4&lt;70), AO4, "")</f>
        <v/>
      </c>
      <c r="BA4" s="21"/>
      <c r="BB4" s="62">
        <f t="shared" ref="BB4:BB47" si="16">IF(AW4&lt;&gt;"", IF(AY4&gt;=70, AY4, IF(AZ4+BA4&gt;=70, AZ4+BA4, "")),
   IF(AS4&lt;&gt;"", IF(AU4&gt;=70, AU4, ""),
   IF(AO4&gt;=70, AO4, "")))</f>
        <v>93.9375</v>
      </c>
      <c r="BC4" s="64" t="str">
        <f t="shared" ref="BC4:BC47" si="17">IF(AW4&lt;&gt;"", IF(AY4&lt;70, IF(AZ4+BA4&lt;70, AZ4+BA4, ""), ""), IF(AS4&lt;&gt;"", IF(AU4&lt;70, AU4, ""), IF(AO4&lt;70, AO4, "")))</f>
        <v/>
      </c>
      <c r="BE4" s="20">
        <f t="shared" si="0"/>
        <v>94.5</v>
      </c>
      <c r="BF4" s="20">
        <f t="shared" si="1"/>
        <v>93.5</v>
      </c>
      <c r="BG4" s="89">
        <f t="shared" si="2"/>
        <v>93.25</v>
      </c>
      <c r="BH4" s="20">
        <f t="shared" si="3"/>
        <v>94.5</v>
      </c>
      <c r="BI4" s="20">
        <f>AVERAGE(BE4:BH4)</f>
        <v>93.9375</v>
      </c>
    </row>
    <row r="5" spans="1:61" x14ac:dyDescent="0.2">
      <c r="A5" s="29">
        <v>3</v>
      </c>
      <c r="B5" s="88" t="s">
        <v>114</v>
      </c>
      <c r="C5" s="69" t="s">
        <v>36</v>
      </c>
      <c r="D5" s="69" t="s">
        <v>37</v>
      </c>
      <c r="E5" s="19">
        <v>100</v>
      </c>
      <c r="F5" s="20"/>
      <c r="G5" s="20">
        <v>95</v>
      </c>
      <c r="H5" s="20"/>
      <c r="I5" s="20">
        <v>95</v>
      </c>
      <c r="J5" s="20"/>
      <c r="K5" s="20">
        <v>98</v>
      </c>
      <c r="L5" s="21"/>
      <c r="M5" s="19">
        <v>93</v>
      </c>
      <c r="N5" s="20"/>
      <c r="O5" s="20">
        <v>90</v>
      </c>
      <c r="P5" s="20"/>
      <c r="Q5" s="20">
        <v>94</v>
      </c>
      <c r="R5" s="20"/>
      <c r="S5" s="20">
        <v>95</v>
      </c>
      <c r="T5" s="21"/>
      <c r="U5" s="19">
        <v>95</v>
      </c>
      <c r="V5" s="20"/>
      <c r="W5" s="20">
        <v>92</v>
      </c>
      <c r="X5" s="20"/>
      <c r="Y5" s="20">
        <v>94</v>
      </c>
      <c r="Z5" s="20"/>
      <c r="AA5" s="20">
        <v>95</v>
      </c>
      <c r="AB5" s="21"/>
      <c r="AC5" s="1">
        <v>95</v>
      </c>
      <c r="AD5" s="20"/>
      <c r="AE5" s="20">
        <v>97</v>
      </c>
      <c r="AF5" s="20"/>
      <c r="AG5" s="20">
        <v>90</v>
      </c>
      <c r="AH5" s="20"/>
      <c r="AI5" s="20">
        <v>90</v>
      </c>
      <c r="AJ5" s="3"/>
      <c r="AK5" s="44">
        <f t="shared" si="4"/>
        <v>97</v>
      </c>
      <c r="AL5" s="45">
        <f t="shared" si="5"/>
        <v>93</v>
      </c>
      <c r="AM5" s="46">
        <f t="shared" si="6"/>
        <v>94</v>
      </c>
      <c r="AN5" s="47">
        <f t="shared" si="7"/>
        <v>93</v>
      </c>
      <c r="AO5" s="48">
        <f t="shared" si="8"/>
        <v>94.25</v>
      </c>
      <c r="AP5" s="37"/>
      <c r="AR5" s="54" t="str">
        <f t="shared" si="9"/>
        <v/>
      </c>
      <c r="AS5" s="35"/>
      <c r="AT5" s="56">
        <f t="shared" si="10"/>
        <v>0</v>
      </c>
      <c r="AU5" s="57" t="str">
        <f t="shared" si="11"/>
        <v/>
      </c>
      <c r="AV5" s="54" t="str">
        <f t="shared" si="12"/>
        <v/>
      </c>
      <c r="AW5" s="36"/>
      <c r="AX5" s="56">
        <f t="shared" si="13"/>
        <v>0</v>
      </c>
      <c r="AY5" s="60" t="str">
        <f t="shared" si="14"/>
        <v/>
      </c>
      <c r="AZ5" s="54" t="str">
        <f t="shared" si="15"/>
        <v/>
      </c>
      <c r="BA5" s="21"/>
      <c r="BB5" s="62">
        <f t="shared" si="16"/>
        <v>94.25</v>
      </c>
      <c r="BC5" s="64" t="str">
        <f t="shared" si="17"/>
        <v/>
      </c>
      <c r="BE5" s="20">
        <f>SUM(E5+M5+U5+AC5)/4</f>
        <v>95.75</v>
      </c>
      <c r="BF5" s="20">
        <f>SUM(G5+O5+W5+AE5)/4</f>
        <v>93.5</v>
      </c>
      <c r="BG5" s="89">
        <f>SUM(I5+Q5+Y5+AG5)/4</f>
        <v>93.25</v>
      </c>
      <c r="BH5" s="20">
        <f>SUM(K5+S5+AA5+AI5)/4</f>
        <v>94.5</v>
      </c>
      <c r="BI5" s="20">
        <f>AVERAGE(BE5:BH5)</f>
        <v>94.25</v>
      </c>
    </row>
    <row r="6" spans="1:61" x14ac:dyDescent="0.2">
      <c r="A6" s="29">
        <v>4</v>
      </c>
      <c r="B6" s="88" t="s">
        <v>115</v>
      </c>
      <c r="C6" s="70" t="s">
        <v>38</v>
      </c>
      <c r="D6" s="70" t="s">
        <v>39</v>
      </c>
      <c r="E6" s="19">
        <v>93</v>
      </c>
      <c r="F6" s="20"/>
      <c r="G6" s="20">
        <v>80</v>
      </c>
      <c r="H6" s="20"/>
      <c r="I6" s="20">
        <v>85</v>
      </c>
      <c r="J6" s="20"/>
      <c r="K6" s="20">
        <v>70</v>
      </c>
      <c r="L6" s="21"/>
      <c r="M6" s="19">
        <v>85</v>
      </c>
      <c r="N6" s="20"/>
      <c r="O6" s="20">
        <v>98</v>
      </c>
      <c r="P6" s="20"/>
      <c r="Q6" s="20">
        <v>80</v>
      </c>
      <c r="R6" s="20"/>
      <c r="S6" s="20">
        <v>70</v>
      </c>
      <c r="T6" s="21"/>
      <c r="U6" s="19">
        <v>85</v>
      </c>
      <c r="V6" s="20"/>
      <c r="W6" s="20">
        <v>82</v>
      </c>
      <c r="X6" s="20"/>
      <c r="Y6" s="20">
        <v>80</v>
      </c>
      <c r="Z6" s="20"/>
      <c r="AA6" s="20">
        <v>70</v>
      </c>
      <c r="AB6" s="21"/>
      <c r="AC6" s="1">
        <v>95</v>
      </c>
      <c r="AD6" s="20"/>
      <c r="AE6" s="20">
        <v>72</v>
      </c>
      <c r="AF6" s="20"/>
      <c r="AG6" s="20">
        <v>75</v>
      </c>
      <c r="AH6" s="20"/>
      <c r="AI6" s="20">
        <v>90</v>
      </c>
      <c r="AJ6" s="3"/>
      <c r="AK6" s="44">
        <f t="shared" si="4"/>
        <v>82</v>
      </c>
      <c r="AL6" s="45">
        <f t="shared" si="5"/>
        <v>83.25</v>
      </c>
      <c r="AM6" s="46">
        <f t="shared" si="6"/>
        <v>79.25</v>
      </c>
      <c r="AN6" s="47">
        <f t="shared" si="7"/>
        <v>83</v>
      </c>
      <c r="AO6" s="48">
        <f t="shared" si="8"/>
        <v>81.875</v>
      </c>
      <c r="AP6" s="37"/>
      <c r="AR6" s="54" t="str">
        <f t="shared" si="9"/>
        <v/>
      </c>
      <c r="AS6" s="35"/>
      <c r="AT6" s="56">
        <f t="shared" si="10"/>
        <v>0</v>
      </c>
      <c r="AU6" s="57" t="str">
        <f t="shared" si="11"/>
        <v/>
      </c>
      <c r="AV6" s="54" t="str">
        <f t="shared" si="12"/>
        <v/>
      </c>
      <c r="AW6" s="35"/>
      <c r="AX6" s="56">
        <f t="shared" si="13"/>
        <v>0</v>
      </c>
      <c r="AY6" s="60" t="str">
        <f t="shared" si="14"/>
        <v/>
      </c>
      <c r="AZ6" s="54" t="str">
        <f t="shared" si="15"/>
        <v/>
      </c>
      <c r="BA6" s="21"/>
      <c r="BB6" s="62">
        <f t="shared" si="16"/>
        <v>81.875</v>
      </c>
      <c r="BC6" s="64" t="str">
        <f t="shared" si="17"/>
        <v/>
      </c>
      <c r="BE6" s="20">
        <f t="shared" ref="BE6:BE47" si="18">SUM(E6+M6+U6+AC6)/4</f>
        <v>89.5</v>
      </c>
      <c r="BF6" s="20">
        <f t="shared" ref="BF6:BF47" si="19">SUM(G6+O6+W6+AE6)/4</f>
        <v>83</v>
      </c>
      <c r="BG6" s="89">
        <f t="shared" ref="BG6:BG47" si="20">SUM(I6+Q6+Y6+AG6)/4</f>
        <v>80</v>
      </c>
      <c r="BH6" s="20">
        <f t="shared" ref="BH6:BH47" si="21">SUM(K6+S6+AA6+AI6)/4</f>
        <v>75</v>
      </c>
      <c r="BI6" s="20">
        <f t="shared" ref="BI6:BI47" si="22">AVERAGE(BE6:BH6)</f>
        <v>81.875</v>
      </c>
    </row>
    <row r="7" spans="1:61" x14ac:dyDescent="0.2">
      <c r="A7" s="29">
        <v>5</v>
      </c>
      <c r="B7" s="88" t="s">
        <v>116</v>
      </c>
      <c r="C7" s="71" t="s">
        <v>32</v>
      </c>
      <c r="D7" s="72" t="s">
        <v>40</v>
      </c>
      <c r="E7" s="19">
        <v>98</v>
      </c>
      <c r="F7" s="20"/>
      <c r="G7" s="20">
        <v>100</v>
      </c>
      <c r="H7" s="20"/>
      <c r="I7" s="20">
        <v>90</v>
      </c>
      <c r="J7" s="20"/>
      <c r="K7" s="20">
        <v>85</v>
      </c>
      <c r="L7" s="21"/>
      <c r="M7" s="19">
        <v>95</v>
      </c>
      <c r="N7" s="20"/>
      <c r="O7" s="20">
        <v>95</v>
      </c>
      <c r="P7" s="20"/>
      <c r="Q7" s="20">
        <v>92</v>
      </c>
      <c r="R7" s="20"/>
      <c r="S7" s="20">
        <v>80</v>
      </c>
      <c r="T7" s="21"/>
      <c r="U7" s="19">
        <v>100</v>
      </c>
      <c r="V7" s="20"/>
      <c r="W7" s="20">
        <v>98</v>
      </c>
      <c r="X7" s="20"/>
      <c r="Y7" s="20">
        <v>93</v>
      </c>
      <c r="Z7" s="20"/>
      <c r="AA7" s="20">
        <v>85</v>
      </c>
      <c r="AB7" s="21"/>
      <c r="AC7" s="1">
        <v>100</v>
      </c>
      <c r="AD7" s="20"/>
      <c r="AE7" s="20">
        <v>98</v>
      </c>
      <c r="AF7" s="20"/>
      <c r="AG7" s="20">
        <v>95</v>
      </c>
      <c r="AH7" s="20"/>
      <c r="AI7" s="20">
        <v>78</v>
      </c>
      <c r="AJ7" s="3"/>
      <c r="AK7" s="44">
        <f t="shared" si="4"/>
        <v>93.25</v>
      </c>
      <c r="AL7" s="45">
        <f t="shared" si="5"/>
        <v>90.5</v>
      </c>
      <c r="AM7" s="46">
        <f t="shared" si="6"/>
        <v>94</v>
      </c>
      <c r="AN7" s="47">
        <f t="shared" si="7"/>
        <v>92.75</v>
      </c>
      <c r="AO7" s="48">
        <f t="shared" si="8"/>
        <v>92.625</v>
      </c>
      <c r="AP7" s="37"/>
      <c r="AR7" s="54" t="str">
        <f t="shared" si="9"/>
        <v/>
      </c>
      <c r="AS7" s="35"/>
      <c r="AT7" s="56">
        <f t="shared" si="10"/>
        <v>0</v>
      </c>
      <c r="AU7" s="57" t="str">
        <f t="shared" si="11"/>
        <v/>
      </c>
      <c r="AV7" s="54" t="str">
        <f t="shared" si="12"/>
        <v/>
      </c>
      <c r="AW7" s="35"/>
      <c r="AX7" s="56">
        <f t="shared" si="13"/>
        <v>0</v>
      </c>
      <c r="AY7" s="60" t="str">
        <f t="shared" si="14"/>
        <v/>
      </c>
      <c r="AZ7" s="54" t="str">
        <f t="shared" si="15"/>
        <v/>
      </c>
      <c r="BA7" s="21"/>
      <c r="BB7" s="62">
        <f t="shared" si="16"/>
        <v>92.625</v>
      </c>
      <c r="BC7" s="64" t="str">
        <f t="shared" si="17"/>
        <v/>
      </c>
      <c r="BE7" s="20">
        <f t="shared" si="18"/>
        <v>98.25</v>
      </c>
      <c r="BF7" s="20">
        <f t="shared" si="19"/>
        <v>97.75</v>
      </c>
      <c r="BG7" s="89">
        <f t="shared" si="20"/>
        <v>92.5</v>
      </c>
      <c r="BH7" s="20">
        <f t="shared" si="21"/>
        <v>82</v>
      </c>
      <c r="BI7" s="20">
        <f t="shared" si="22"/>
        <v>92.625</v>
      </c>
    </row>
    <row r="8" spans="1:61" x14ac:dyDescent="0.2">
      <c r="A8" s="29">
        <v>6</v>
      </c>
      <c r="B8" s="88" t="s">
        <v>117</v>
      </c>
      <c r="C8" s="70" t="s">
        <v>41</v>
      </c>
      <c r="D8" s="70" t="s">
        <v>42</v>
      </c>
      <c r="E8" s="19">
        <v>80</v>
      </c>
      <c r="F8" s="20"/>
      <c r="G8" s="20">
        <v>85</v>
      </c>
      <c r="H8" s="20"/>
      <c r="I8" s="20">
        <v>78</v>
      </c>
      <c r="J8" s="20"/>
      <c r="K8" s="20">
        <v>80</v>
      </c>
      <c r="L8" s="21"/>
      <c r="M8" s="19">
        <v>80</v>
      </c>
      <c r="N8" s="20"/>
      <c r="O8" s="20">
        <v>84</v>
      </c>
      <c r="P8" s="20"/>
      <c r="Q8" s="20">
        <v>75</v>
      </c>
      <c r="R8" s="20"/>
      <c r="S8" s="20">
        <v>78</v>
      </c>
      <c r="T8" s="21"/>
      <c r="U8" s="19">
        <v>75</v>
      </c>
      <c r="V8" s="20"/>
      <c r="W8" s="20">
        <v>80</v>
      </c>
      <c r="X8" s="20"/>
      <c r="Y8" s="20">
        <v>78</v>
      </c>
      <c r="Z8" s="20"/>
      <c r="AA8" s="20">
        <v>87</v>
      </c>
      <c r="AB8" s="21"/>
      <c r="AC8" s="1">
        <v>85</v>
      </c>
      <c r="AD8" s="20"/>
      <c r="AE8" s="20">
        <v>83</v>
      </c>
      <c r="AF8" s="20"/>
      <c r="AG8" s="20">
        <v>80</v>
      </c>
      <c r="AH8" s="20"/>
      <c r="AI8" s="20">
        <v>90</v>
      </c>
      <c r="AJ8" s="3"/>
      <c r="AK8" s="44">
        <f t="shared" si="4"/>
        <v>80.75</v>
      </c>
      <c r="AL8" s="45">
        <f t="shared" si="5"/>
        <v>79.25</v>
      </c>
      <c r="AM8" s="46">
        <f t="shared" si="6"/>
        <v>80</v>
      </c>
      <c r="AN8" s="47">
        <f t="shared" si="7"/>
        <v>84.5</v>
      </c>
      <c r="AO8" s="48">
        <f t="shared" si="8"/>
        <v>81.125</v>
      </c>
      <c r="AP8" s="37"/>
      <c r="AR8" s="54" t="str">
        <f t="shared" si="9"/>
        <v/>
      </c>
      <c r="AS8" s="35"/>
      <c r="AT8" s="56">
        <f t="shared" si="10"/>
        <v>0</v>
      </c>
      <c r="AU8" s="57" t="str">
        <f t="shared" si="11"/>
        <v/>
      </c>
      <c r="AV8" s="54" t="str">
        <f t="shared" si="12"/>
        <v/>
      </c>
      <c r="AW8" s="35"/>
      <c r="AX8" s="56">
        <f t="shared" si="13"/>
        <v>0</v>
      </c>
      <c r="AY8" s="60" t="str">
        <f t="shared" si="14"/>
        <v/>
      </c>
      <c r="AZ8" s="54" t="str">
        <f t="shared" si="15"/>
        <v/>
      </c>
      <c r="BA8" s="21"/>
      <c r="BB8" s="62">
        <f t="shared" si="16"/>
        <v>81.125</v>
      </c>
      <c r="BC8" s="64" t="str">
        <f t="shared" si="17"/>
        <v/>
      </c>
      <c r="BE8" s="20">
        <f t="shared" si="18"/>
        <v>80</v>
      </c>
      <c r="BF8" s="20">
        <f t="shared" si="19"/>
        <v>83</v>
      </c>
      <c r="BG8" s="89">
        <f t="shared" si="20"/>
        <v>77.75</v>
      </c>
      <c r="BH8" s="20">
        <f t="shared" si="21"/>
        <v>83.75</v>
      </c>
      <c r="BI8" s="20">
        <f t="shared" si="22"/>
        <v>81.125</v>
      </c>
    </row>
    <row r="9" spans="1:61" x14ac:dyDescent="0.2">
      <c r="A9" s="29">
        <v>7</v>
      </c>
      <c r="B9" s="88" t="s">
        <v>118</v>
      </c>
      <c r="C9" s="69" t="s">
        <v>43</v>
      </c>
      <c r="D9" s="69" t="s">
        <v>44</v>
      </c>
      <c r="E9" s="19">
        <v>93</v>
      </c>
      <c r="F9" s="20"/>
      <c r="G9" s="20">
        <v>100</v>
      </c>
      <c r="H9" s="20"/>
      <c r="I9" s="20">
        <v>98</v>
      </c>
      <c r="J9" s="20"/>
      <c r="K9" s="20">
        <v>95</v>
      </c>
      <c r="L9" s="21"/>
      <c r="M9" s="19">
        <v>95</v>
      </c>
      <c r="N9" s="20"/>
      <c r="O9" s="20">
        <v>98</v>
      </c>
      <c r="P9" s="20"/>
      <c r="Q9" s="20">
        <v>100</v>
      </c>
      <c r="R9" s="20"/>
      <c r="S9" s="20">
        <v>98</v>
      </c>
      <c r="T9" s="21"/>
      <c r="U9" s="19">
        <v>98</v>
      </c>
      <c r="V9" s="20"/>
      <c r="W9" s="20">
        <v>98</v>
      </c>
      <c r="X9" s="20"/>
      <c r="Y9" s="20">
        <v>95</v>
      </c>
      <c r="Z9" s="20"/>
      <c r="AA9" s="20">
        <v>100</v>
      </c>
      <c r="AB9" s="21"/>
      <c r="AC9" s="1">
        <v>100</v>
      </c>
      <c r="AD9" s="20"/>
      <c r="AE9" s="20">
        <v>100</v>
      </c>
      <c r="AF9" s="20"/>
      <c r="AG9" s="20">
        <v>98</v>
      </c>
      <c r="AH9" s="20"/>
      <c r="AI9" s="20">
        <v>91</v>
      </c>
      <c r="AJ9" s="3"/>
      <c r="AK9" s="44">
        <f t="shared" si="4"/>
        <v>96.5</v>
      </c>
      <c r="AL9" s="45">
        <f t="shared" si="5"/>
        <v>97.75</v>
      </c>
      <c r="AM9" s="46">
        <f t="shared" si="6"/>
        <v>97.75</v>
      </c>
      <c r="AN9" s="47">
        <f t="shared" si="7"/>
        <v>97.25</v>
      </c>
      <c r="AO9" s="48">
        <f t="shared" si="8"/>
        <v>97.3125</v>
      </c>
      <c r="AP9" s="37"/>
      <c r="AR9" s="54" t="str">
        <f t="shared" si="9"/>
        <v/>
      </c>
      <c r="AS9" s="35"/>
      <c r="AT9" s="56">
        <f t="shared" si="10"/>
        <v>0</v>
      </c>
      <c r="AU9" s="57" t="str">
        <f t="shared" si="11"/>
        <v/>
      </c>
      <c r="AV9" s="54" t="str">
        <f t="shared" si="12"/>
        <v/>
      </c>
      <c r="AW9" s="35"/>
      <c r="AX9" s="56">
        <f t="shared" si="13"/>
        <v>0</v>
      </c>
      <c r="AY9" s="60" t="str">
        <f t="shared" si="14"/>
        <v/>
      </c>
      <c r="AZ9" s="54" t="str">
        <f t="shared" si="15"/>
        <v/>
      </c>
      <c r="BA9" s="21"/>
      <c r="BB9" s="62">
        <f t="shared" si="16"/>
        <v>97.3125</v>
      </c>
      <c r="BC9" s="64" t="str">
        <f t="shared" si="17"/>
        <v/>
      </c>
      <c r="BE9" s="20">
        <f t="shared" si="18"/>
        <v>96.5</v>
      </c>
      <c r="BF9" s="20">
        <f t="shared" si="19"/>
        <v>99</v>
      </c>
      <c r="BG9" s="89">
        <f t="shared" si="20"/>
        <v>97.75</v>
      </c>
      <c r="BH9" s="20">
        <f t="shared" si="21"/>
        <v>96</v>
      </c>
      <c r="BI9" s="20">
        <f t="shared" si="22"/>
        <v>97.3125</v>
      </c>
    </row>
    <row r="10" spans="1:61" x14ac:dyDescent="0.2">
      <c r="A10" s="29">
        <v>8</v>
      </c>
      <c r="B10" s="88" t="s">
        <v>119</v>
      </c>
      <c r="C10" s="70" t="s">
        <v>45</v>
      </c>
      <c r="D10" s="70" t="s">
        <v>46</v>
      </c>
      <c r="E10" s="19">
        <v>80</v>
      </c>
      <c r="F10" s="20"/>
      <c r="G10" s="20">
        <v>85</v>
      </c>
      <c r="H10" s="20"/>
      <c r="I10" s="20">
        <v>75</v>
      </c>
      <c r="J10" s="20"/>
      <c r="K10" s="20">
        <v>70</v>
      </c>
      <c r="L10" s="21"/>
      <c r="M10" s="19">
        <v>82</v>
      </c>
      <c r="N10" s="20"/>
      <c r="O10" s="20">
        <v>80</v>
      </c>
      <c r="P10" s="20"/>
      <c r="Q10" s="20">
        <v>72</v>
      </c>
      <c r="R10" s="20"/>
      <c r="S10" s="20">
        <v>75</v>
      </c>
      <c r="T10" s="21"/>
      <c r="U10" s="19">
        <v>80</v>
      </c>
      <c r="V10" s="20"/>
      <c r="W10" s="20">
        <v>87</v>
      </c>
      <c r="X10" s="20"/>
      <c r="Y10" s="20">
        <v>73</v>
      </c>
      <c r="Z10" s="20"/>
      <c r="AA10" s="20">
        <v>72</v>
      </c>
      <c r="AB10" s="21"/>
      <c r="AC10" s="1">
        <v>80</v>
      </c>
      <c r="AD10" s="20"/>
      <c r="AE10" s="20">
        <v>82</v>
      </c>
      <c r="AF10" s="20"/>
      <c r="AG10" s="20">
        <v>70</v>
      </c>
      <c r="AH10" s="20"/>
      <c r="AI10" s="20">
        <v>73</v>
      </c>
      <c r="AJ10" s="3"/>
      <c r="AK10" s="44">
        <f t="shared" si="4"/>
        <v>77.5</v>
      </c>
      <c r="AL10" s="45">
        <f t="shared" si="5"/>
        <v>77.25</v>
      </c>
      <c r="AM10" s="46">
        <f t="shared" si="6"/>
        <v>78</v>
      </c>
      <c r="AN10" s="47">
        <f t="shared" si="7"/>
        <v>76.25</v>
      </c>
      <c r="AO10" s="48">
        <f t="shared" si="8"/>
        <v>77.25</v>
      </c>
      <c r="AP10" s="37"/>
      <c r="AR10" s="54" t="str">
        <f t="shared" si="9"/>
        <v/>
      </c>
      <c r="AS10" s="35"/>
      <c r="AT10" s="56">
        <f t="shared" si="10"/>
        <v>0</v>
      </c>
      <c r="AU10" s="57" t="str">
        <f t="shared" si="11"/>
        <v/>
      </c>
      <c r="AV10" s="54" t="str">
        <f t="shared" si="12"/>
        <v/>
      </c>
      <c r="AW10" s="35"/>
      <c r="AX10" s="56">
        <f t="shared" si="13"/>
        <v>0</v>
      </c>
      <c r="AY10" s="60" t="str">
        <f t="shared" si="14"/>
        <v/>
      </c>
      <c r="AZ10" s="54" t="str">
        <f t="shared" si="15"/>
        <v/>
      </c>
      <c r="BA10" s="21"/>
      <c r="BB10" s="62">
        <f t="shared" si="16"/>
        <v>77.25</v>
      </c>
      <c r="BC10" s="64" t="str">
        <f t="shared" si="17"/>
        <v/>
      </c>
      <c r="BE10" s="20">
        <f t="shared" si="18"/>
        <v>80.5</v>
      </c>
      <c r="BF10" s="20">
        <f t="shared" si="19"/>
        <v>83.5</v>
      </c>
      <c r="BG10" s="89">
        <f t="shared" si="20"/>
        <v>72.5</v>
      </c>
      <c r="BH10" s="20">
        <f t="shared" si="21"/>
        <v>72.5</v>
      </c>
      <c r="BI10" s="20">
        <f t="shared" si="22"/>
        <v>77.25</v>
      </c>
    </row>
    <row r="11" spans="1:61" x14ac:dyDescent="0.2">
      <c r="A11" s="29">
        <v>9</v>
      </c>
      <c r="B11" s="88" t="s">
        <v>120</v>
      </c>
      <c r="C11" s="69" t="s">
        <v>47</v>
      </c>
      <c r="D11" s="69" t="s">
        <v>48</v>
      </c>
      <c r="E11" s="19">
        <v>80</v>
      </c>
      <c r="F11" s="20"/>
      <c r="G11" s="20">
        <v>70</v>
      </c>
      <c r="H11" s="20"/>
      <c r="I11" s="20">
        <v>85</v>
      </c>
      <c r="J11" s="20"/>
      <c r="K11" s="20">
        <v>90</v>
      </c>
      <c r="L11" s="21"/>
      <c r="M11" s="19">
        <v>85</v>
      </c>
      <c r="N11" s="20"/>
      <c r="O11" s="20">
        <v>90</v>
      </c>
      <c r="P11" s="20"/>
      <c r="Q11" s="20">
        <v>80</v>
      </c>
      <c r="R11" s="20"/>
      <c r="S11" s="20">
        <v>90</v>
      </c>
      <c r="T11" s="21"/>
      <c r="U11" s="19">
        <v>80</v>
      </c>
      <c r="V11" s="20"/>
      <c r="W11" s="20">
        <v>82</v>
      </c>
      <c r="X11" s="20"/>
      <c r="Y11" s="20">
        <v>80</v>
      </c>
      <c r="Z11" s="20"/>
      <c r="AA11" s="20">
        <v>90</v>
      </c>
      <c r="AB11" s="21"/>
      <c r="AC11" s="1">
        <v>90</v>
      </c>
      <c r="AD11" s="20"/>
      <c r="AE11" s="20">
        <v>79</v>
      </c>
      <c r="AF11" s="20"/>
      <c r="AG11" s="20">
        <v>75</v>
      </c>
      <c r="AH11" s="20"/>
      <c r="AI11" s="20">
        <v>90</v>
      </c>
      <c r="AJ11" s="3"/>
      <c r="AK11" s="44">
        <f t="shared" si="4"/>
        <v>81.25</v>
      </c>
      <c r="AL11" s="45">
        <f t="shared" si="5"/>
        <v>86.25</v>
      </c>
      <c r="AM11" s="46">
        <f t="shared" si="6"/>
        <v>83</v>
      </c>
      <c r="AN11" s="47">
        <f t="shared" si="7"/>
        <v>83.5</v>
      </c>
      <c r="AO11" s="48">
        <f t="shared" si="8"/>
        <v>83.5</v>
      </c>
      <c r="AP11" s="37"/>
      <c r="AR11" s="54" t="str">
        <f t="shared" si="9"/>
        <v/>
      </c>
      <c r="AS11" s="35"/>
      <c r="AT11" s="56">
        <f t="shared" si="10"/>
        <v>0</v>
      </c>
      <c r="AU11" s="57" t="str">
        <f t="shared" si="11"/>
        <v/>
      </c>
      <c r="AV11" s="54" t="str">
        <f t="shared" si="12"/>
        <v/>
      </c>
      <c r="AW11" s="35"/>
      <c r="AX11" s="56">
        <f t="shared" si="13"/>
        <v>0</v>
      </c>
      <c r="AY11" s="60" t="str">
        <f t="shared" si="14"/>
        <v/>
      </c>
      <c r="AZ11" s="54" t="str">
        <f t="shared" si="15"/>
        <v/>
      </c>
      <c r="BA11" s="21"/>
      <c r="BB11" s="62">
        <f t="shared" si="16"/>
        <v>83.5</v>
      </c>
      <c r="BC11" s="64" t="str">
        <f t="shared" si="17"/>
        <v/>
      </c>
      <c r="BE11" s="20">
        <f t="shared" si="18"/>
        <v>83.75</v>
      </c>
      <c r="BF11" s="20">
        <f t="shared" si="19"/>
        <v>80.25</v>
      </c>
      <c r="BG11" s="89">
        <f t="shared" si="20"/>
        <v>80</v>
      </c>
      <c r="BH11" s="20">
        <f t="shared" si="21"/>
        <v>90</v>
      </c>
      <c r="BI11" s="20">
        <f t="shared" si="22"/>
        <v>83.5</v>
      </c>
    </row>
    <row r="12" spans="1:61" x14ac:dyDescent="0.2">
      <c r="A12" s="29">
        <v>10</v>
      </c>
      <c r="B12" s="88" t="s">
        <v>121</v>
      </c>
      <c r="C12" s="70" t="s">
        <v>49</v>
      </c>
      <c r="D12" s="70" t="s">
        <v>50</v>
      </c>
      <c r="E12" s="19"/>
      <c r="F12" s="19">
        <v>60</v>
      </c>
      <c r="G12" s="19">
        <v>60</v>
      </c>
      <c r="H12" s="20"/>
      <c r="I12" s="20">
        <v>65</v>
      </c>
      <c r="J12" s="20"/>
      <c r="K12" s="20">
        <v>63</v>
      </c>
      <c r="L12" s="20"/>
      <c r="M12" s="20">
        <v>68</v>
      </c>
      <c r="N12" s="19">
        <v>60</v>
      </c>
      <c r="O12" s="19">
        <v>60</v>
      </c>
      <c r="P12" s="20"/>
      <c r="Q12" s="20">
        <v>65</v>
      </c>
      <c r="R12" s="20"/>
      <c r="S12" s="20">
        <v>63</v>
      </c>
      <c r="T12" s="20"/>
      <c r="U12" s="20">
        <v>68</v>
      </c>
      <c r="V12" s="19">
        <v>60</v>
      </c>
      <c r="W12" s="19">
        <v>60</v>
      </c>
      <c r="X12" s="20"/>
      <c r="Y12" s="20">
        <v>65</v>
      </c>
      <c r="Z12" s="20"/>
      <c r="AA12" s="20">
        <v>63</v>
      </c>
      <c r="AB12" s="20"/>
      <c r="AC12" s="20">
        <v>68</v>
      </c>
      <c r="AD12" s="19">
        <v>60</v>
      </c>
      <c r="AE12" s="19">
        <v>60</v>
      </c>
      <c r="AF12" s="20"/>
      <c r="AG12" s="20">
        <v>65</v>
      </c>
      <c r="AH12" s="20"/>
      <c r="AI12" s="20">
        <v>63</v>
      </c>
      <c r="AJ12" s="20"/>
      <c r="AK12" s="20">
        <v>68</v>
      </c>
      <c r="AL12" s="45">
        <f t="shared" si="5"/>
        <v>15</v>
      </c>
      <c r="AM12" s="46">
        <f t="shared" si="6"/>
        <v>15</v>
      </c>
      <c r="AN12" s="47">
        <f t="shared" si="7"/>
        <v>48.25</v>
      </c>
      <c r="AO12" s="48">
        <f t="shared" si="8"/>
        <v>36.5625</v>
      </c>
      <c r="AP12" s="37"/>
      <c r="AR12" s="54">
        <f t="shared" si="9"/>
        <v>18.28125</v>
      </c>
      <c r="AS12" s="20"/>
      <c r="AT12" s="56">
        <f t="shared" si="10"/>
        <v>0</v>
      </c>
      <c r="AU12" s="57" t="str">
        <f t="shared" si="11"/>
        <v/>
      </c>
      <c r="AV12" s="54" t="str">
        <f t="shared" si="12"/>
        <v/>
      </c>
      <c r="AW12" s="20"/>
      <c r="AX12" s="56">
        <f t="shared" si="13"/>
        <v>0</v>
      </c>
      <c r="AY12" s="60" t="str">
        <f t="shared" si="14"/>
        <v/>
      </c>
      <c r="AZ12" s="54" t="str">
        <f t="shared" si="15"/>
        <v/>
      </c>
      <c r="BA12" s="21"/>
      <c r="BB12" s="62" t="str">
        <f t="shared" si="16"/>
        <v/>
      </c>
      <c r="BC12" s="64">
        <f t="shared" si="17"/>
        <v>36.5625</v>
      </c>
      <c r="BE12" s="20">
        <f t="shared" si="18"/>
        <v>51</v>
      </c>
      <c r="BF12" s="20">
        <f t="shared" si="19"/>
        <v>60</v>
      </c>
      <c r="BG12" s="89">
        <f t="shared" si="20"/>
        <v>65</v>
      </c>
      <c r="BH12" s="20">
        <f t="shared" si="21"/>
        <v>63</v>
      </c>
      <c r="BI12" s="20">
        <f t="shared" si="22"/>
        <v>59.75</v>
      </c>
    </row>
    <row r="13" spans="1:61" x14ac:dyDescent="0.2">
      <c r="A13" s="29">
        <v>11</v>
      </c>
      <c r="B13" s="88" t="s">
        <v>122</v>
      </c>
      <c r="C13" s="69" t="s">
        <v>51</v>
      </c>
      <c r="D13" s="69" t="s">
        <v>52</v>
      </c>
      <c r="E13" s="19">
        <v>70</v>
      </c>
      <c r="F13" s="20"/>
      <c r="G13" s="20">
        <v>71</v>
      </c>
      <c r="H13" s="20"/>
      <c r="I13" s="20">
        <v>70</v>
      </c>
      <c r="J13" s="20"/>
      <c r="K13" s="20">
        <v>70</v>
      </c>
      <c r="L13" s="21"/>
      <c r="M13" s="19">
        <v>70</v>
      </c>
      <c r="N13" s="20"/>
      <c r="O13" s="20">
        <v>70</v>
      </c>
      <c r="P13" s="20"/>
      <c r="Q13" s="20">
        <v>70</v>
      </c>
      <c r="R13" s="20"/>
      <c r="S13" s="20">
        <v>70</v>
      </c>
      <c r="T13" s="21"/>
      <c r="U13" s="19">
        <v>70</v>
      </c>
      <c r="V13" s="20"/>
      <c r="W13" s="20">
        <v>70</v>
      </c>
      <c r="X13" s="20"/>
      <c r="Y13" s="20">
        <v>70</v>
      </c>
      <c r="Z13" s="20"/>
      <c r="AA13" s="20">
        <v>70</v>
      </c>
      <c r="AB13" s="21"/>
      <c r="AC13" s="1">
        <v>72</v>
      </c>
      <c r="AD13" s="20"/>
      <c r="AE13" s="20">
        <v>71</v>
      </c>
      <c r="AF13" s="20"/>
      <c r="AG13" s="20">
        <v>70</v>
      </c>
      <c r="AH13" s="20"/>
      <c r="AI13" s="20">
        <v>70</v>
      </c>
      <c r="AJ13" s="3"/>
      <c r="AK13" s="44">
        <f t="shared" si="4"/>
        <v>70.25</v>
      </c>
      <c r="AL13" s="45">
        <f t="shared" si="5"/>
        <v>70</v>
      </c>
      <c r="AM13" s="46">
        <f t="shared" si="6"/>
        <v>70</v>
      </c>
      <c r="AN13" s="47">
        <f t="shared" si="7"/>
        <v>70.75</v>
      </c>
      <c r="AO13" s="48">
        <f t="shared" si="8"/>
        <v>70.25</v>
      </c>
      <c r="AP13" s="37"/>
      <c r="AR13" s="54" t="str">
        <f t="shared" si="9"/>
        <v/>
      </c>
      <c r="AS13" s="20"/>
      <c r="AT13" s="56">
        <f t="shared" si="10"/>
        <v>0</v>
      </c>
      <c r="AU13" s="57" t="str">
        <f t="shared" si="11"/>
        <v/>
      </c>
      <c r="AV13" s="54" t="str">
        <f t="shared" si="12"/>
        <v/>
      </c>
      <c r="AW13" s="20"/>
      <c r="AX13" s="56">
        <f t="shared" si="13"/>
        <v>0</v>
      </c>
      <c r="AY13" s="60" t="str">
        <f t="shared" si="14"/>
        <v/>
      </c>
      <c r="AZ13" s="54" t="str">
        <f t="shared" si="15"/>
        <v/>
      </c>
      <c r="BA13" s="21"/>
      <c r="BB13" s="62">
        <f t="shared" si="16"/>
        <v>70.25</v>
      </c>
      <c r="BC13" s="64" t="str">
        <f t="shared" si="17"/>
        <v/>
      </c>
      <c r="BE13" s="20">
        <f t="shared" si="18"/>
        <v>70.5</v>
      </c>
      <c r="BF13" s="20">
        <f t="shared" si="19"/>
        <v>70.5</v>
      </c>
      <c r="BG13" s="89">
        <f t="shared" si="20"/>
        <v>70</v>
      </c>
      <c r="BH13" s="20">
        <f t="shared" si="21"/>
        <v>70</v>
      </c>
      <c r="BI13" s="20">
        <f t="shared" si="22"/>
        <v>70.25</v>
      </c>
    </row>
    <row r="14" spans="1:61" x14ac:dyDescent="0.2">
      <c r="A14" s="29">
        <v>12</v>
      </c>
      <c r="B14" s="88" t="s">
        <v>123</v>
      </c>
      <c r="C14" s="70" t="s">
        <v>53</v>
      </c>
      <c r="D14" s="70" t="s">
        <v>54</v>
      </c>
      <c r="E14" s="19">
        <v>93</v>
      </c>
      <c r="F14" s="20"/>
      <c r="G14" s="20">
        <v>95</v>
      </c>
      <c r="H14" s="20"/>
      <c r="I14" s="20">
        <v>90</v>
      </c>
      <c r="J14" s="20"/>
      <c r="K14" s="20">
        <v>95</v>
      </c>
      <c r="L14" s="21"/>
      <c r="M14" s="19">
        <v>95</v>
      </c>
      <c r="N14" s="20"/>
      <c r="O14" s="20">
        <v>90</v>
      </c>
      <c r="P14" s="20"/>
      <c r="Q14" s="20">
        <v>92</v>
      </c>
      <c r="R14" s="20"/>
      <c r="S14" s="20">
        <v>90</v>
      </c>
      <c r="T14" s="21"/>
      <c r="U14" s="19">
        <v>93</v>
      </c>
      <c r="V14" s="20"/>
      <c r="W14" s="20">
        <v>90</v>
      </c>
      <c r="X14" s="20"/>
      <c r="Y14" s="20">
        <v>95</v>
      </c>
      <c r="Z14" s="20"/>
      <c r="AA14" s="20">
        <v>92</v>
      </c>
      <c r="AB14" s="21"/>
      <c r="AC14" s="1">
        <v>95</v>
      </c>
      <c r="AD14" s="20"/>
      <c r="AE14" s="20">
        <v>95</v>
      </c>
      <c r="AF14" s="20"/>
      <c r="AG14" s="20">
        <v>90</v>
      </c>
      <c r="AH14" s="20"/>
      <c r="AI14" s="20">
        <v>93</v>
      </c>
      <c r="AJ14" s="3"/>
      <c r="AK14" s="44">
        <f t="shared" si="4"/>
        <v>93.25</v>
      </c>
      <c r="AL14" s="45">
        <f t="shared" si="5"/>
        <v>91.75</v>
      </c>
      <c r="AM14" s="46">
        <f t="shared" si="6"/>
        <v>92.5</v>
      </c>
      <c r="AN14" s="47">
        <f t="shared" si="7"/>
        <v>93.25</v>
      </c>
      <c r="AO14" s="48">
        <f t="shared" si="8"/>
        <v>92.6875</v>
      </c>
      <c r="AP14" s="37"/>
      <c r="AR14" s="54" t="str">
        <f t="shared" si="9"/>
        <v/>
      </c>
      <c r="AS14" s="20"/>
      <c r="AT14" s="56">
        <f t="shared" si="10"/>
        <v>0</v>
      </c>
      <c r="AU14" s="57" t="str">
        <f t="shared" si="11"/>
        <v/>
      </c>
      <c r="AV14" s="54" t="str">
        <f t="shared" si="12"/>
        <v/>
      </c>
      <c r="AW14" s="20"/>
      <c r="AX14" s="56">
        <f t="shared" si="13"/>
        <v>0</v>
      </c>
      <c r="AY14" s="60" t="str">
        <f t="shared" si="14"/>
        <v/>
      </c>
      <c r="AZ14" s="54" t="str">
        <f t="shared" si="15"/>
        <v/>
      </c>
      <c r="BA14" s="21"/>
      <c r="BB14" s="62">
        <f t="shared" si="16"/>
        <v>92.6875</v>
      </c>
      <c r="BC14" s="64" t="str">
        <f t="shared" si="17"/>
        <v/>
      </c>
      <c r="BE14" s="20">
        <f t="shared" si="18"/>
        <v>94</v>
      </c>
      <c r="BF14" s="20">
        <f t="shared" si="19"/>
        <v>92.5</v>
      </c>
      <c r="BG14" s="89">
        <f t="shared" si="20"/>
        <v>91.75</v>
      </c>
      <c r="BH14" s="20">
        <f t="shared" si="21"/>
        <v>92.5</v>
      </c>
      <c r="BI14" s="20">
        <f t="shared" si="22"/>
        <v>92.6875</v>
      </c>
    </row>
    <row r="15" spans="1:61" x14ac:dyDescent="0.2">
      <c r="A15" s="29">
        <v>13</v>
      </c>
      <c r="B15" s="88" t="s">
        <v>124</v>
      </c>
      <c r="C15" s="69" t="s">
        <v>55</v>
      </c>
      <c r="D15" s="69" t="s">
        <v>56</v>
      </c>
      <c r="E15" s="19">
        <v>75</v>
      </c>
      <c r="F15" s="20"/>
      <c r="G15" s="20">
        <v>80</v>
      </c>
      <c r="H15" s="20"/>
      <c r="I15" s="20">
        <v>85</v>
      </c>
      <c r="J15" s="20"/>
      <c r="K15" s="20">
        <v>80</v>
      </c>
      <c r="L15" s="21"/>
      <c r="M15" s="19">
        <v>78</v>
      </c>
      <c r="N15" s="20"/>
      <c r="O15" s="20">
        <v>82</v>
      </c>
      <c r="P15" s="20"/>
      <c r="Q15" s="20">
        <v>81</v>
      </c>
      <c r="R15" s="20"/>
      <c r="S15" s="20">
        <v>79</v>
      </c>
      <c r="T15" s="21"/>
      <c r="U15" s="19">
        <v>80</v>
      </c>
      <c r="V15" s="20"/>
      <c r="W15" s="20">
        <v>82</v>
      </c>
      <c r="X15" s="20"/>
      <c r="Y15" s="20">
        <v>80</v>
      </c>
      <c r="Z15" s="20"/>
      <c r="AA15" s="20">
        <v>82</v>
      </c>
      <c r="AB15" s="21"/>
      <c r="AC15" s="1">
        <v>84</v>
      </c>
      <c r="AD15" s="20"/>
      <c r="AE15" s="20">
        <v>80</v>
      </c>
      <c r="AF15" s="20"/>
      <c r="AG15" s="20">
        <v>80</v>
      </c>
      <c r="AH15" s="20"/>
      <c r="AI15" s="20">
        <v>80</v>
      </c>
      <c r="AJ15" s="3"/>
      <c r="AK15" s="44">
        <f t="shared" si="4"/>
        <v>80</v>
      </c>
      <c r="AL15" s="45">
        <f t="shared" si="5"/>
        <v>80</v>
      </c>
      <c r="AM15" s="46">
        <f t="shared" si="6"/>
        <v>81</v>
      </c>
      <c r="AN15" s="47">
        <f t="shared" si="7"/>
        <v>81</v>
      </c>
      <c r="AO15" s="48">
        <f t="shared" si="8"/>
        <v>80.5</v>
      </c>
      <c r="AP15" s="37"/>
      <c r="AR15" s="54" t="str">
        <f t="shared" si="9"/>
        <v/>
      </c>
      <c r="AS15" s="20"/>
      <c r="AT15" s="56">
        <f t="shared" si="10"/>
        <v>0</v>
      </c>
      <c r="AU15" s="57" t="str">
        <f t="shared" si="11"/>
        <v/>
      </c>
      <c r="AV15" s="54" t="str">
        <f t="shared" si="12"/>
        <v/>
      </c>
      <c r="AW15" s="20"/>
      <c r="AX15" s="56">
        <f t="shared" si="13"/>
        <v>0</v>
      </c>
      <c r="AY15" s="60" t="str">
        <f t="shared" si="14"/>
        <v/>
      </c>
      <c r="AZ15" s="54" t="str">
        <f t="shared" si="15"/>
        <v/>
      </c>
      <c r="BA15" s="21"/>
      <c r="BB15" s="62">
        <f t="shared" si="16"/>
        <v>80.5</v>
      </c>
      <c r="BC15" s="64" t="str">
        <f t="shared" si="17"/>
        <v/>
      </c>
      <c r="BE15" s="20">
        <f t="shared" si="18"/>
        <v>79.25</v>
      </c>
      <c r="BF15" s="20">
        <f t="shared" si="19"/>
        <v>81</v>
      </c>
      <c r="BG15" s="89">
        <f t="shared" si="20"/>
        <v>81.5</v>
      </c>
      <c r="BH15" s="20">
        <f t="shared" si="21"/>
        <v>80.25</v>
      </c>
      <c r="BI15" s="20">
        <f t="shared" si="22"/>
        <v>80.5</v>
      </c>
    </row>
    <row r="16" spans="1:61" x14ac:dyDescent="0.2">
      <c r="A16" s="29">
        <v>14</v>
      </c>
      <c r="B16" s="88" t="s">
        <v>125</v>
      </c>
      <c r="C16" s="70" t="s">
        <v>57</v>
      </c>
      <c r="D16" s="70" t="s">
        <v>58</v>
      </c>
      <c r="E16" s="19"/>
      <c r="F16" s="19">
        <v>60</v>
      </c>
      <c r="G16" s="19">
        <v>60</v>
      </c>
      <c r="H16" s="20"/>
      <c r="I16" s="20">
        <v>65</v>
      </c>
      <c r="J16" s="20"/>
      <c r="K16" s="20">
        <v>63</v>
      </c>
      <c r="L16" s="20"/>
      <c r="M16" s="20">
        <v>68</v>
      </c>
      <c r="N16" s="19">
        <v>60</v>
      </c>
      <c r="O16" s="19">
        <v>60</v>
      </c>
      <c r="P16" s="20"/>
      <c r="Q16" s="20">
        <v>65</v>
      </c>
      <c r="R16" s="20"/>
      <c r="S16" s="20">
        <v>63</v>
      </c>
      <c r="T16" s="20"/>
      <c r="U16" s="20">
        <v>68</v>
      </c>
      <c r="V16" s="19">
        <v>60</v>
      </c>
      <c r="W16" s="19">
        <v>60</v>
      </c>
      <c r="X16" s="20"/>
      <c r="Y16" s="20">
        <v>65</v>
      </c>
      <c r="Z16" s="20"/>
      <c r="AA16" s="20">
        <v>63</v>
      </c>
      <c r="AB16" s="20"/>
      <c r="AC16" s="20">
        <v>68</v>
      </c>
      <c r="AD16" s="19">
        <v>60</v>
      </c>
      <c r="AE16" s="19">
        <v>60</v>
      </c>
      <c r="AF16" s="20"/>
      <c r="AG16" s="20">
        <v>65</v>
      </c>
      <c r="AH16" s="20"/>
      <c r="AI16" s="20">
        <v>63</v>
      </c>
      <c r="AJ16" s="20"/>
      <c r="AK16" s="20">
        <v>68</v>
      </c>
      <c r="AL16" s="45">
        <f t="shared" si="5"/>
        <v>15</v>
      </c>
      <c r="AM16" s="46">
        <f t="shared" si="6"/>
        <v>15</v>
      </c>
      <c r="AN16" s="47">
        <f t="shared" si="7"/>
        <v>48.25</v>
      </c>
      <c r="AO16" s="48">
        <f t="shared" si="8"/>
        <v>36.5625</v>
      </c>
      <c r="AP16" s="37"/>
      <c r="AR16" s="54">
        <f t="shared" si="9"/>
        <v>18.28125</v>
      </c>
      <c r="AS16" s="20"/>
      <c r="AT16" s="56">
        <f t="shared" si="10"/>
        <v>0</v>
      </c>
      <c r="AU16" s="57" t="str">
        <f t="shared" si="11"/>
        <v/>
      </c>
      <c r="AV16" s="54" t="str">
        <f t="shared" si="12"/>
        <v/>
      </c>
      <c r="AW16" s="20"/>
      <c r="AX16" s="56">
        <f t="shared" si="13"/>
        <v>0</v>
      </c>
      <c r="AY16" s="60" t="str">
        <f t="shared" si="14"/>
        <v/>
      </c>
      <c r="AZ16" s="54" t="str">
        <f t="shared" si="15"/>
        <v/>
      </c>
      <c r="BA16" s="21"/>
      <c r="BB16" s="62" t="str">
        <f t="shared" si="16"/>
        <v/>
      </c>
      <c r="BC16" s="64">
        <f t="shared" si="17"/>
        <v>36.5625</v>
      </c>
      <c r="BE16" s="20">
        <f t="shared" si="18"/>
        <v>51</v>
      </c>
      <c r="BF16" s="20">
        <f t="shared" si="19"/>
        <v>60</v>
      </c>
      <c r="BG16" s="89">
        <f t="shared" si="20"/>
        <v>65</v>
      </c>
      <c r="BH16" s="20">
        <f t="shared" si="21"/>
        <v>63</v>
      </c>
      <c r="BI16" s="20">
        <f t="shared" si="22"/>
        <v>59.75</v>
      </c>
    </row>
    <row r="17" spans="1:61" x14ac:dyDescent="0.2">
      <c r="A17" s="29">
        <v>15</v>
      </c>
      <c r="B17" s="88" t="s">
        <v>126</v>
      </c>
      <c r="C17" s="69" t="s">
        <v>59</v>
      </c>
      <c r="D17" s="69" t="s">
        <v>60</v>
      </c>
      <c r="E17" s="19">
        <v>78</v>
      </c>
      <c r="F17" s="20"/>
      <c r="G17" s="20">
        <v>75</v>
      </c>
      <c r="H17" s="20"/>
      <c r="I17" s="20">
        <v>82</v>
      </c>
      <c r="J17" s="20"/>
      <c r="K17" s="20">
        <v>80</v>
      </c>
      <c r="L17" s="21"/>
      <c r="M17" s="19">
        <v>77</v>
      </c>
      <c r="N17" s="20"/>
      <c r="O17" s="20">
        <v>75</v>
      </c>
      <c r="P17" s="20"/>
      <c r="Q17" s="20">
        <v>84</v>
      </c>
      <c r="R17" s="20"/>
      <c r="S17" s="20">
        <v>80</v>
      </c>
      <c r="T17" s="21"/>
      <c r="U17" s="19">
        <v>80</v>
      </c>
      <c r="V17" s="20"/>
      <c r="W17" s="20">
        <v>79</v>
      </c>
      <c r="X17" s="20"/>
      <c r="Y17" s="20">
        <v>81</v>
      </c>
      <c r="Z17" s="20"/>
      <c r="AA17" s="20">
        <v>75</v>
      </c>
      <c r="AB17" s="21"/>
      <c r="AC17" s="1">
        <v>84</v>
      </c>
      <c r="AD17" s="20"/>
      <c r="AE17" s="20">
        <v>80</v>
      </c>
      <c r="AF17" s="20"/>
      <c r="AG17" s="20">
        <v>78</v>
      </c>
      <c r="AH17" s="20"/>
      <c r="AI17" s="20">
        <v>80</v>
      </c>
      <c r="AJ17" s="3"/>
      <c r="AK17" s="44">
        <f t="shared" si="4"/>
        <v>78.75</v>
      </c>
      <c r="AL17" s="45">
        <f t="shared" si="5"/>
        <v>79</v>
      </c>
      <c r="AM17" s="46">
        <f t="shared" si="6"/>
        <v>78.75</v>
      </c>
      <c r="AN17" s="47">
        <f t="shared" si="7"/>
        <v>80.5</v>
      </c>
      <c r="AO17" s="48">
        <f t="shared" si="8"/>
        <v>79.25</v>
      </c>
      <c r="AP17" s="37"/>
      <c r="AR17" s="54" t="str">
        <f t="shared" si="9"/>
        <v/>
      </c>
      <c r="AS17" s="20"/>
      <c r="AT17" s="56">
        <f t="shared" si="10"/>
        <v>0</v>
      </c>
      <c r="AU17" s="57" t="str">
        <f t="shared" si="11"/>
        <v/>
      </c>
      <c r="AV17" s="54" t="str">
        <f t="shared" si="12"/>
        <v/>
      </c>
      <c r="AW17" s="20"/>
      <c r="AX17" s="56">
        <f t="shared" si="13"/>
        <v>0</v>
      </c>
      <c r="AY17" s="60" t="str">
        <f t="shared" si="14"/>
        <v/>
      </c>
      <c r="AZ17" s="54" t="str">
        <f t="shared" si="15"/>
        <v/>
      </c>
      <c r="BA17" s="21"/>
      <c r="BB17" s="62">
        <f t="shared" si="16"/>
        <v>79.25</v>
      </c>
      <c r="BC17" s="64" t="str">
        <f t="shared" si="17"/>
        <v/>
      </c>
      <c r="BE17" s="20">
        <f t="shared" si="18"/>
        <v>79.75</v>
      </c>
      <c r="BF17" s="20">
        <f t="shared" si="19"/>
        <v>77.25</v>
      </c>
      <c r="BG17" s="89">
        <f t="shared" si="20"/>
        <v>81.25</v>
      </c>
      <c r="BH17" s="20">
        <f t="shared" si="21"/>
        <v>78.75</v>
      </c>
      <c r="BI17" s="20">
        <f t="shared" si="22"/>
        <v>79.25</v>
      </c>
    </row>
    <row r="18" spans="1:61" x14ac:dyDescent="0.2">
      <c r="A18" s="29">
        <v>16</v>
      </c>
      <c r="B18" s="88" t="s">
        <v>127</v>
      </c>
      <c r="C18" s="70" t="s">
        <v>61</v>
      </c>
      <c r="D18" s="70" t="s">
        <v>62</v>
      </c>
      <c r="E18" s="19">
        <v>100</v>
      </c>
      <c r="F18" s="20"/>
      <c r="G18" s="20">
        <v>95</v>
      </c>
      <c r="H18" s="20"/>
      <c r="I18" s="20">
        <v>100</v>
      </c>
      <c r="J18" s="20"/>
      <c r="K18" s="20">
        <v>100</v>
      </c>
      <c r="L18" s="21"/>
      <c r="M18" s="19">
        <v>98</v>
      </c>
      <c r="N18" s="20"/>
      <c r="O18" s="20">
        <v>100</v>
      </c>
      <c r="P18" s="20"/>
      <c r="Q18" s="20">
        <v>100</v>
      </c>
      <c r="R18" s="20"/>
      <c r="S18" s="20">
        <v>100</v>
      </c>
      <c r="T18" s="21"/>
      <c r="U18" s="19">
        <v>100</v>
      </c>
      <c r="V18" s="20"/>
      <c r="W18" s="20">
        <v>100</v>
      </c>
      <c r="X18" s="20"/>
      <c r="Y18" s="20">
        <v>98</v>
      </c>
      <c r="Z18" s="20"/>
      <c r="AA18" s="20">
        <v>100</v>
      </c>
      <c r="AB18" s="21"/>
      <c r="AC18" s="1">
        <v>98</v>
      </c>
      <c r="AD18" s="20"/>
      <c r="AE18" s="20">
        <v>95</v>
      </c>
      <c r="AF18" s="20"/>
      <c r="AG18" s="20">
        <v>100</v>
      </c>
      <c r="AH18" s="20"/>
      <c r="AI18" s="20">
        <v>100</v>
      </c>
      <c r="AJ18" s="3"/>
      <c r="AK18" s="44">
        <f t="shared" si="4"/>
        <v>98.75</v>
      </c>
      <c r="AL18" s="45">
        <f t="shared" si="5"/>
        <v>99.5</v>
      </c>
      <c r="AM18" s="46">
        <f t="shared" si="6"/>
        <v>99.5</v>
      </c>
      <c r="AN18" s="47">
        <f t="shared" si="7"/>
        <v>98.25</v>
      </c>
      <c r="AO18" s="48">
        <f t="shared" si="8"/>
        <v>99</v>
      </c>
      <c r="AP18" s="37"/>
      <c r="AR18" s="54" t="str">
        <f t="shared" si="9"/>
        <v/>
      </c>
      <c r="AS18" s="20"/>
      <c r="AT18" s="56">
        <f t="shared" si="10"/>
        <v>0</v>
      </c>
      <c r="AU18" s="57" t="str">
        <f t="shared" si="11"/>
        <v/>
      </c>
      <c r="AV18" s="54" t="str">
        <f t="shared" si="12"/>
        <v/>
      </c>
      <c r="AW18" s="20"/>
      <c r="AX18" s="56">
        <f t="shared" si="13"/>
        <v>0</v>
      </c>
      <c r="AY18" s="60" t="str">
        <f t="shared" si="14"/>
        <v/>
      </c>
      <c r="AZ18" s="54" t="str">
        <f t="shared" si="15"/>
        <v/>
      </c>
      <c r="BA18" s="21"/>
      <c r="BB18" s="62">
        <f t="shared" si="16"/>
        <v>99</v>
      </c>
      <c r="BC18" s="64" t="str">
        <f t="shared" si="17"/>
        <v/>
      </c>
      <c r="BE18" s="20">
        <f t="shared" si="18"/>
        <v>99</v>
      </c>
      <c r="BF18" s="20">
        <f t="shared" si="19"/>
        <v>97.5</v>
      </c>
      <c r="BG18" s="89">
        <f t="shared" si="20"/>
        <v>99.5</v>
      </c>
      <c r="BH18" s="20">
        <f t="shared" si="21"/>
        <v>100</v>
      </c>
      <c r="BI18" s="20">
        <f t="shared" si="22"/>
        <v>99</v>
      </c>
    </row>
    <row r="19" spans="1:61" x14ac:dyDescent="0.2">
      <c r="A19" s="29">
        <v>17</v>
      </c>
      <c r="B19" s="88" t="s">
        <v>128</v>
      </c>
      <c r="C19" s="69" t="s">
        <v>63</v>
      </c>
      <c r="D19" s="69" t="s">
        <v>64</v>
      </c>
      <c r="E19" s="19">
        <v>95</v>
      </c>
      <c r="F19" s="20"/>
      <c r="G19" s="20">
        <v>90</v>
      </c>
      <c r="H19" s="20"/>
      <c r="I19" s="20">
        <v>98</v>
      </c>
      <c r="J19" s="20"/>
      <c r="K19" s="20">
        <v>98</v>
      </c>
      <c r="L19" s="21"/>
      <c r="M19" s="19">
        <v>93</v>
      </c>
      <c r="N19" s="20"/>
      <c r="O19" s="20">
        <v>100</v>
      </c>
      <c r="P19" s="20"/>
      <c r="Q19" s="20">
        <v>100</v>
      </c>
      <c r="R19" s="20"/>
      <c r="S19" s="20">
        <v>95</v>
      </c>
      <c r="T19" s="21"/>
      <c r="U19" s="19">
        <v>100</v>
      </c>
      <c r="V19" s="20"/>
      <c r="W19" s="20">
        <v>100</v>
      </c>
      <c r="X19" s="20"/>
      <c r="Y19" s="20">
        <v>95</v>
      </c>
      <c r="Z19" s="20"/>
      <c r="AA19" s="20">
        <v>92</v>
      </c>
      <c r="AB19" s="21"/>
      <c r="AC19" s="1">
        <v>98</v>
      </c>
      <c r="AD19" s="20"/>
      <c r="AE19" s="20">
        <v>98</v>
      </c>
      <c r="AF19" s="20"/>
      <c r="AG19" s="20">
        <v>100</v>
      </c>
      <c r="AH19" s="20"/>
      <c r="AI19" s="20">
        <v>100</v>
      </c>
      <c r="AJ19" s="3"/>
      <c r="AK19" s="44">
        <f t="shared" si="4"/>
        <v>95.25</v>
      </c>
      <c r="AL19" s="45">
        <f t="shared" si="5"/>
        <v>97</v>
      </c>
      <c r="AM19" s="46">
        <f t="shared" si="6"/>
        <v>96.75</v>
      </c>
      <c r="AN19" s="47">
        <f t="shared" si="7"/>
        <v>99</v>
      </c>
      <c r="AO19" s="48">
        <f t="shared" si="8"/>
        <v>97</v>
      </c>
      <c r="AP19" s="37"/>
      <c r="AR19" s="54" t="str">
        <f t="shared" si="9"/>
        <v/>
      </c>
      <c r="AS19" s="20"/>
      <c r="AT19" s="56">
        <f t="shared" si="10"/>
        <v>0</v>
      </c>
      <c r="AU19" s="57" t="str">
        <f t="shared" si="11"/>
        <v/>
      </c>
      <c r="AV19" s="54" t="str">
        <f t="shared" si="12"/>
        <v/>
      </c>
      <c r="AW19" s="20"/>
      <c r="AX19" s="56">
        <f t="shared" si="13"/>
        <v>0</v>
      </c>
      <c r="AY19" s="60" t="str">
        <f t="shared" si="14"/>
        <v/>
      </c>
      <c r="AZ19" s="54" t="str">
        <f t="shared" si="15"/>
        <v/>
      </c>
      <c r="BA19" s="21"/>
      <c r="BB19" s="62">
        <f t="shared" si="16"/>
        <v>97</v>
      </c>
      <c r="BC19" s="64" t="str">
        <f t="shared" si="17"/>
        <v/>
      </c>
      <c r="BE19" s="20">
        <f t="shared" si="18"/>
        <v>96.5</v>
      </c>
      <c r="BF19" s="20">
        <f t="shared" si="19"/>
        <v>97</v>
      </c>
      <c r="BG19" s="89">
        <f t="shared" si="20"/>
        <v>98.25</v>
      </c>
      <c r="BH19" s="20">
        <f t="shared" si="21"/>
        <v>96.25</v>
      </c>
      <c r="BI19" s="20">
        <f t="shared" si="22"/>
        <v>97</v>
      </c>
    </row>
    <row r="20" spans="1:61" x14ac:dyDescent="0.2">
      <c r="A20" s="29">
        <v>18</v>
      </c>
      <c r="B20" s="88" t="s">
        <v>129</v>
      </c>
      <c r="C20" s="70" t="s">
        <v>65</v>
      </c>
      <c r="D20" s="70" t="s">
        <v>66</v>
      </c>
      <c r="E20" s="19">
        <v>88</v>
      </c>
      <c r="F20" s="20"/>
      <c r="G20" s="20">
        <v>95</v>
      </c>
      <c r="H20" s="20"/>
      <c r="I20" s="20">
        <v>90</v>
      </c>
      <c r="J20" s="20"/>
      <c r="K20" s="20">
        <v>95</v>
      </c>
      <c r="L20" s="21"/>
      <c r="M20" s="19">
        <v>90</v>
      </c>
      <c r="N20" s="20"/>
      <c r="O20" s="20">
        <v>85</v>
      </c>
      <c r="P20" s="20"/>
      <c r="Q20" s="20">
        <v>88</v>
      </c>
      <c r="R20" s="20"/>
      <c r="S20" s="20">
        <v>92</v>
      </c>
      <c r="T20" s="21"/>
      <c r="U20" s="19">
        <v>85</v>
      </c>
      <c r="V20" s="20"/>
      <c r="W20" s="20">
        <v>90</v>
      </c>
      <c r="X20" s="20"/>
      <c r="Y20" s="20">
        <v>97</v>
      </c>
      <c r="Z20" s="20"/>
      <c r="AA20" s="20">
        <v>90</v>
      </c>
      <c r="AB20" s="21"/>
      <c r="AC20" s="1">
        <v>90</v>
      </c>
      <c r="AD20" s="20"/>
      <c r="AE20" s="20">
        <v>80</v>
      </c>
      <c r="AF20" s="20"/>
      <c r="AG20" s="20">
        <v>90</v>
      </c>
      <c r="AH20" s="20"/>
      <c r="AI20" s="20">
        <v>95</v>
      </c>
      <c r="AJ20" s="3"/>
      <c r="AK20" s="44">
        <f t="shared" si="4"/>
        <v>92</v>
      </c>
      <c r="AL20" s="45">
        <f t="shared" si="5"/>
        <v>88.75</v>
      </c>
      <c r="AM20" s="46">
        <f t="shared" si="6"/>
        <v>90.5</v>
      </c>
      <c r="AN20" s="47">
        <f t="shared" si="7"/>
        <v>88.75</v>
      </c>
      <c r="AO20" s="48">
        <f t="shared" si="8"/>
        <v>90</v>
      </c>
      <c r="AP20" s="37"/>
      <c r="AR20" s="54" t="str">
        <f t="shared" si="9"/>
        <v/>
      </c>
      <c r="AS20" s="20"/>
      <c r="AT20" s="56">
        <f t="shared" si="10"/>
        <v>0</v>
      </c>
      <c r="AU20" s="57" t="str">
        <f t="shared" si="11"/>
        <v/>
      </c>
      <c r="AV20" s="54" t="str">
        <f t="shared" si="12"/>
        <v/>
      </c>
      <c r="AW20" s="20"/>
      <c r="AX20" s="56">
        <f t="shared" si="13"/>
        <v>0</v>
      </c>
      <c r="AY20" s="60" t="str">
        <f t="shared" si="14"/>
        <v/>
      </c>
      <c r="AZ20" s="54" t="str">
        <f t="shared" si="15"/>
        <v/>
      </c>
      <c r="BA20" s="21"/>
      <c r="BB20" s="62">
        <f t="shared" si="16"/>
        <v>90</v>
      </c>
      <c r="BC20" s="64" t="str">
        <f t="shared" si="17"/>
        <v/>
      </c>
      <c r="BE20" s="20">
        <f t="shared" si="18"/>
        <v>88.25</v>
      </c>
      <c r="BF20" s="20">
        <f t="shared" si="19"/>
        <v>87.5</v>
      </c>
      <c r="BG20" s="89">
        <f t="shared" si="20"/>
        <v>91.25</v>
      </c>
      <c r="BH20" s="20">
        <f t="shared" si="21"/>
        <v>93</v>
      </c>
      <c r="BI20" s="20">
        <f t="shared" si="22"/>
        <v>90</v>
      </c>
    </row>
    <row r="21" spans="1:61" x14ac:dyDescent="0.2">
      <c r="A21" s="29">
        <v>19</v>
      </c>
      <c r="B21" s="88" t="s">
        <v>130</v>
      </c>
      <c r="C21" s="69" t="s">
        <v>67</v>
      </c>
      <c r="D21" s="69" t="s">
        <v>68</v>
      </c>
      <c r="E21" s="19">
        <v>90</v>
      </c>
      <c r="F21" s="20"/>
      <c r="G21" s="20">
        <v>85</v>
      </c>
      <c r="H21" s="20"/>
      <c r="I21" s="20">
        <v>95</v>
      </c>
      <c r="J21" s="20"/>
      <c r="K21" s="20">
        <v>92</v>
      </c>
      <c r="L21" s="21"/>
      <c r="M21" s="19">
        <v>90</v>
      </c>
      <c r="N21" s="20"/>
      <c r="O21" s="20">
        <v>90</v>
      </c>
      <c r="P21" s="20"/>
      <c r="Q21" s="20">
        <v>93</v>
      </c>
      <c r="R21" s="20"/>
      <c r="S21" s="20">
        <v>95</v>
      </c>
      <c r="T21" s="21"/>
      <c r="U21" s="19">
        <v>100</v>
      </c>
      <c r="V21" s="20"/>
      <c r="W21" s="20">
        <v>90</v>
      </c>
      <c r="X21" s="20"/>
      <c r="Y21" s="20">
        <v>95</v>
      </c>
      <c r="Z21" s="20"/>
      <c r="AA21" s="20">
        <v>91</v>
      </c>
      <c r="AB21" s="21"/>
      <c r="AC21" s="1">
        <v>95</v>
      </c>
      <c r="AD21" s="20"/>
      <c r="AE21" s="20">
        <v>98</v>
      </c>
      <c r="AF21" s="20"/>
      <c r="AG21" s="20">
        <v>90</v>
      </c>
      <c r="AH21" s="20"/>
      <c r="AI21" s="20">
        <v>90</v>
      </c>
      <c r="AJ21" s="3"/>
      <c r="AK21" s="44">
        <f t="shared" si="4"/>
        <v>90.5</v>
      </c>
      <c r="AL21" s="45">
        <f t="shared" si="5"/>
        <v>92</v>
      </c>
      <c r="AM21" s="46">
        <f t="shared" si="6"/>
        <v>94</v>
      </c>
      <c r="AN21" s="47">
        <f t="shared" si="7"/>
        <v>93.25</v>
      </c>
      <c r="AO21" s="48">
        <f t="shared" si="8"/>
        <v>92.4375</v>
      </c>
      <c r="AP21" s="37"/>
      <c r="AR21" s="54" t="str">
        <f t="shared" si="9"/>
        <v/>
      </c>
      <c r="AS21" s="20"/>
      <c r="AT21" s="56">
        <f t="shared" si="10"/>
        <v>0</v>
      </c>
      <c r="AU21" s="57" t="str">
        <f t="shared" si="11"/>
        <v/>
      </c>
      <c r="AV21" s="54" t="str">
        <f t="shared" si="12"/>
        <v/>
      </c>
      <c r="AW21" s="20"/>
      <c r="AX21" s="56">
        <f t="shared" si="13"/>
        <v>0</v>
      </c>
      <c r="AY21" s="60" t="str">
        <f t="shared" si="14"/>
        <v/>
      </c>
      <c r="AZ21" s="54" t="str">
        <f t="shared" si="15"/>
        <v/>
      </c>
      <c r="BA21" s="21"/>
      <c r="BB21" s="62">
        <f t="shared" si="16"/>
        <v>92.4375</v>
      </c>
      <c r="BC21" s="64" t="str">
        <f t="shared" si="17"/>
        <v/>
      </c>
      <c r="BE21" s="20">
        <f t="shared" si="18"/>
        <v>93.75</v>
      </c>
      <c r="BF21" s="20">
        <f t="shared" si="19"/>
        <v>90.75</v>
      </c>
      <c r="BG21" s="89">
        <f t="shared" si="20"/>
        <v>93.25</v>
      </c>
      <c r="BH21" s="20">
        <f t="shared" si="21"/>
        <v>92</v>
      </c>
      <c r="BI21" s="20">
        <f t="shared" si="22"/>
        <v>92.4375</v>
      </c>
    </row>
    <row r="22" spans="1:61" x14ac:dyDescent="0.2">
      <c r="A22" s="29">
        <v>20</v>
      </c>
      <c r="B22" s="88" t="s">
        <v>131</v>
      </c>
      <c r="C22" s="70" t="s">
        <v>69</v>
      </c>
      <c r="D22" s="70" t="s">
        <v>70</v>
      </c>
      <c r="E22" s="19">
        <v>85</v>
      </c>
      <c r="F22" s="20"/>
      <c r="G22" s="20">
        <v>90</v>
      </c>
      <c r="H22" s="20"/>
      <c r="I22" s="20">
        <v>92</v>
      </c>
      <c r="J22" s="20"/>
      <c r="K22" s="20">
        <v>90</v>
      </c>
      <c r="L22" s="21"/>
      <c r="M22" s="19">
        <v>80</v>
      </c>
      <c r="N22" s="20"/>
      <c r="O22" s="20">
        <v>85</v>
      </c>
      <c r="P22" s="20"/>
      <c r="Q22" s="20">
        <v>90</v>
      </c>
      <c r="R22" s="20"/>
      <c r="S22" s="20">
        <v>85</v>
      </c>
      <c r="T22" s="21"/>
      <c r="U22" s="19">
        <v>95</v>
      </c>
      <c r="V22" s="20"/>
      <c r="W22" s="20">
        <v>80</v>
      </c>
      <c r="X22" s="20"/>
      <c r="Y22" s="20">
        <v>91</v>
      </c>
      <c r="Z22" s="20"/>
      <c r="AA22" s="20">
        <v>91</v>
      </c>
      <c r="AB22" s="21"/>
      <c r="AC22" s="1">
        <v>100</v>
      </c>
      <c r="AD22" s="20"/>
      <c r="AE22" s="20">
        <v>90</v>
      </c>
      <c r="AF22" s="20"/>
      <c r="AG22" s="20">
        <v>92</v>
      </c>
      <c r="AH22" s="20"/>
      <c r="AI22" s="20">
        <v>88</v>
      </c>
      <c r="AJ22" s="3"/>
      <c r="AK22" s="44">
        <f t="shared" si="4"/>
        <v>89.25</v>
      </c>
      <c r="AL22" s="45">
        <f t="shared" si="5"/>
        <v>85</v>
      </c>
      <c r="AM22" s="46">
        <f t="shared" si="6"/>
        <v>89.25</v>
      </c>
      <c r="AN22" s="47">
        <f t="shared" si="7"/>
        <v>92.5</v>
      </c>
      <c r="AO22" s="48">
        <f t="shared" si="8"/>
        <v>89</v>
      </c>
      <c r="AP22" s="37"/>
      <c r="AR22" s="54" t="str">
        <f t="shared" si="9"/>
        <v/>
      </c>
      <c r="AS22" s="20"/>
      <c r="AT22" s="56">
        <f t="shared" si="10"/>
        <v>0</v>
      </c>
      <c r="AU22" s="57" t="str">
        <f t="shared" si="11"/>
        <v/>
      </c>
      <c r="AV22" s="54" t="str">
        <f t="shared" si="12"/>
        <v/>
      </c>
      <c r="AW22" s="20"/>
      <c r="AX22" s="56">
        <f t="shared" si="13"/>
        <v>0</v>
      </c>
      <c r="AY22" s="60" t="str">
        <f t="shared" si="14"/>
        <v/>
      </c>
      <c r="AZ22" s="54" t="str">
        <f t="shared" si="15"/>
        <v/>
      </c>
      <c r="BA22" s="21"/>
      <c r="BB22" s="62">
        <f t="shared" si="16"/>
        <v>89</v>
      </c>
      <c r="BC22" s="64" t="str">
        <f t="shared" si="17"/>
        <v/>
      </c>
      <c r="BE22" s="20">
        <f t="shared" si="18"/>
        <v>90</v>
      </c>
      <c r="BF22" s="20">
        <f t="shared" si="19"/>
        <v>86.25</v>
      </c>
      <c r="BG22" s="89">
        <f t="shared" si="20"/>
        <v>91.25</v>
      </c>
      <c r="BH22" s="20">
        <f t="shared" si="21"/>
        <v>88.5</v>
      </c>
      <c r="BI22" s="20">
        <f t="shared" si="22"/>
        <v>89</v>
      </c>
    </row>
    <row r="23" spans="1:61" x14ac:dyDescent="0.2">
      <c r="A23" s="29">
        <v>21</v>
      </c>
      <c r="B23" s="88" t="s">
        <v>132</v>
      </c>
      <c r="C23" s="69" t="s">
        <v>71</v>
      </c>
      <c r="D23" s="69" t="s">
        <v>72</v>
      </c>
      <c r="E23" s="19">
        <v>95</v>
      </c>
      <c r="F23" s="20"/>
      <c r="G23" s="20">
        <v>90</v>
      </c>
      <c r="H23" s="20"/>
      <c r="I23" s="20">
        <v>98</v>
      </c>
      <c r="J23" s="20"/>
      <c r="K23" s="20">
        <v>98</v>
      </c>
      <c r="L23" s="21"/>
      <c r="M23" s="19">
        <v>93</v>
      </c>
      <c r="N23" s="20"/>
      <c r="O23" s="20">
        <v>100</v>
      </c>
      <c r="P23" s="20"/>
      <c r="Q23" s="20">
        <v>100</v>
      </c>
      <c r="R23" s="20"/>
      <c r="S23" s="20">
        <v>95</v>
      </c>
      <c r="T23" s="21"/>
      <c r="U23" s="19">
        <v>100</v>
      </c>
      <c r="V23" s="20"/>
      <c r="W23" s="20">
        <v>100</v>
      </c>
      <c r="X23" s="20"/>
      <c r="Y23" s="20">
        <v>95</v>
      </c>
      <c r="Z23" s="20"/>
      <c r="AA23" s="20">
        <v>92</v>
      </c>
      <c r="AB23" s="21"/>
      <c r="AC23" s="1">
        <v>98</v>
      </c>
      <c r="AD23" s="20"/>
      <c r="AE23" s="20">
        <v>98</v>
      </c>
      <c r="AF23" s="20"/>
      <c r="AG23" s="20">
        <v>100</v>
      </c>
      <c r="AH23" s="20"/>
      <c r="AI23" s="20">
        <v>100</v>
      </c>
      <c r="AJ23" s="3"/>
      <c r="AK23" s="44">
        <f t="shared" si="4"/>
        <v>95.25</v>
      </c>
      <c r="AL23" s="45">
        <f t="shared" si="5"/>
        <v>97</v>
      </c>
      <c r="AM23" s="46">
        <f t="shared" si="6"/>
        <v>96.75</v>
      </c>
      <c r="AN23" s="47">
        <f t="shared" si="7"/>
        <v>99</v>
      </c>
      <c r="AO23" s="48">
        <f t="shared" si="8"/>
        <v>97</v>
      </c>
      <c r="AP23" s="37"/>
      <c r="AR23" s="54" t="str">
        <f t="shared" si="9"/>
        <v/>
      </c>
      <c r="AS23" s="20"/>
      <c r="AT23" s="56">
        <f t="shared" si="10"/>
        <v>0</v>
      </c>
      <c r="AU23" s="57" t="str">
        <f t="shared" si="11"/>
        <v/>
      </c>
      <c r="AV23" s="54" t="str">
        <f t="shared" si="12"/>
        <v/>
      </c>
      <c r="AW23" s="20"/>
      <c r="AX23" s="56">
        <f t="shared" si="13"/>
        <v>0</v>
      </c>
      <c r="AY23" s="60" t="str">
        <f t="shared" si="14"/>
        <v/>
      </c>
      <c r="AZ23" s="54" t="str">
        <f t="shared" si="15"/>
        <v/>
      </c>
      <c r="BA23" s="21"/>
      <c r="BB23" s="62">
        <f t="shared" si="16"/>
        <v>97</v>
      </c>
      <c r="BC23" s="64" t="str">
        <f t="shared" si="17"/>
        <v/>
      </c>
      <c r="BE23" s="20">
        <f t="shared" si="18"/>
        <v>96.5</v>
      </c>
      <c r="BF23" s="20">
        <f t="shared" si="19"/>
        <v>97</v>
      </c>
      <c r="BG23" s="89">
        <f t="shared" si="20"/>
        <v>98.25</v>
      </c>
      <c r="BH23" s="20">
        <f t="shared" si="21"/>
        <v>96.25</v>
      </c>
      <c r="BI23" s="20">
        <f t="shared" si="22"/>
        <v>97</v>
      </c>
    </row>
    <row r="24" spans="1:61" x14ac:dyDescent="0.2">
      <c r="A24" s="29">
        <v>22</v>
      </c>
      <c r="B24" s="88" t="s">
        <v>133</v>
      </c>
      <c r="C24" s="70" t="s">
        <v>73</v>
      </c>
      <c r="D24" s="70" t="s">
        <v>74</v>
      </c>
      <c r="E24" s="19">
        <v>88</v>
      </c>
      <c r="F24" s="20"/>
      <c r="G24" s="20">
        <v>95</v>
      </c>
      <c r="H24" s="20"/>
      <c r="I24" s="20">
        <v>90</v>
      </c>
      <c r="J24" s="20"/>
      <c r="K24" s="20">
        <v>95</v>
      </c>
      <c r="L24" s="21"/>
      <c r="M24" s="19">
        <v>90</v>
      </c>
      <c r="N24" s="20"/>
      <c r="O24" s="20">
        <v>85</v>
      </c>
      <c r="P24" s="20"/>
      <c r="Q24" s="20">
        <v>88</v>
      </c>
      <c r="R24" s="20"/>
      <c r="S24" s="20">
        <v>92</v>
      </c>
      <c r="T24" s="21"/>
      <c r="U24" s="19">
        <v>85</v>
      </c>
      <c r="V24" s="20"/>
      <c r="W24" s="20">
        <v>90</v>
      </c>
      <c r="X24" s="20"/>
      <c r="Y24" s="20">
        <v>97</v>
      </c>
      <c r="Z24" s="20"/>
      <c r="AA24" s="20">
        <v>90</v>
      </c>
      <c r="AB24" s="21"/>
      <c r="AC24" s="1">
        <v>90</v>
      </c>
      <c r="AD24" s="20"/>
      <c r="AE24" s="20">
        <v>80</v>
      </c>
      <c r="AF24" s="20"/>
      <c r="AG24" s="20">
        <v>90</v>
      </c>
      <c r="AH24" s="20"/>
      <c r="AI24" s="20">
        <v>95</v>
      </c>
      <c r="AJ24" s="3"/>
      <c r="AK24" s="44">
        <f t="shared" si="4"/>
        <v>92</v>
      </c>
      <c r="AL24" s="45">
        <f t="shared" si="5"/>
        <v>88.75</v>
      </c>
      <c r="AM24" s="46">
        <f t="shared" si="6"/>
        <v>90.5</v>
      </c>
      <c r="AN24" s="47">
        <f t="shared" si="7"/>
        <v>88.75</v>
      </c>
      <c r="AO24" s="48">
        <f t="shared" si="8"/>
        <v>90</v>
      </c>
      <c r="AP24" s="37"/>
      <c r="AR24" s="54" t="str">
        <f t="shared" si="9"/>
        <v/>
      </c>
      <c r="AS24" s="20"/>
      <c r="AT24" s="56">
        <f t="shared" si="10"/>
        <v>0</v>
      </c>
      <c r="AU24" s="57" t="str">
        <f t="shared" si="11"/>
        <v/>
      </c>
      <c r="AV24" s="54" t="str">
        <f t="shared" si="12"/>
        <v/>
      </c>
      <c r="AW24" s="20"/>
      <c r="AX24" s="56">
        <f t="shared" si="13"/>
        <v>0</v>
      </c>
      <c r="AY24" s="60" t="str">
        <f t="shared" si="14"/>
        <v/>
      </c>
      <c r="AZ24" s="54" t="str">
        <f t="shared" si="15"/>
        <v/>
      </c>
      <c r="BA24" s="21"/>
      <c r="BB24" s="62">
        <f t="shared" si="16"/>
        <v>90</v>
      </c>
      <c r="BC24" s="64" t="str">
        <f t="shared" si="17"/>
        <v/>
      </c>
      <c r="BE24" s="20">
        <f t="shared" si="18"/>
        <v>88.25</v>
      </c>
      <c r="BF24" s="20">
        <f t="shared" si="19"/>
        <v>87.5</v>
      </c>
      <c r="BG24" s="89">
        <f t="shared" si="20"/>
        <v>91.25</v>
      </c>
      <c r="BH24" s="20">
        <f t="shared" si="21"/>
        <v>93</v>
      </c>
      <c r="BI24" s="20">
        <f t="shared" si="22"/>
        <v>90</v>
      </c>
    </row>
    <row r="25" spans="1:61" x14ac:dyDescent="0.2">
      <c r="A25" s="29">
        <v>23</v>
      </c>
      <c r="B25" s="88" t="s">
        <v>134</v>
      </c>
      <c r="C25" s="69" t="s">
        <v>75</v>
      </c>
      <c r="D25" s="69" t="s">
        <v>76</v>
      </c>
      <c r="E25" s="19">
        <v>90</v>
      </c>
      <c r="F25" s="20"/>
      <c r="G25" s="20">
        <v>85</v>
      </c>
      <c r="H25" s="20"/>
      <c r="I25" s="20">
        <v>95</v>
      </c>
      <c r="J25" s="20"/>
      <c r="K25" s="20">
        <v>92</v>
      </c>
      <c r="L25" s="21"/>
      <c r="M25" s="19">
        <v>90</v>
      </c>
      <c r="N25" s="20"/>
      <c r="O25" s="20">
        <v>90</v>
      </c>
      <c r="P25" s="20"/>
      <c r="Q25" s="20">
        <v>93</v>
      </c>
      <c r="R25" s="20"/>
      <c r="S25" s="20">
        <v>95</v>
      </c>
      <c r="T25" s="21"/>
      <c r="U25" s="19">
        <v>100</v>
      </c>
      <c r="V25" s="20"/>
      <c r="W25" s="20">
        <v>90</v>
      </c>
      <c r="X25" s="20"/>
      <c r="Y25" s="20">
        <v>95</v>
      </c>
      <c r="Z25" s="20"/>
      <c r="AA25" s="20">
        <v>91</v>
      </c>
      <c r="AB25" s="21"/>
      <c r="AC25" s="1">
        <v>95</v>
      </c>
      <c r="AD25" s="20"/>
      <c r="AE25" s="20">
        <v>98</v>
      </c>
      <c r="AF25" s="20"/>
      <c r="AG25" s="20">
        <v>90</v>
      </c>
      <c r="AH25" s="20"/>
      <c r="AI25" s="20">
        <v>90</v>
      </c>
      <c r="AJ25" s="3"/>
      <c r="AK25" s="44">
        <f t="shared" si="4"/>
        <v>90.5</v>
      </c>
      <c r="AL25" s="45">
        <f t="shared" si="5"/>
        <v>92</v>
      </c>
      <c r="AM25" s="46">
        <f t="shared" si="6"/>
        <v>94</v>
      </c>
      <c r="AN25" s="47">
        <f t="shared" si="7"/>
        <v>93.25</v>
      </c>
      <c r="AO25" s="48">
        <f t="shared" si="8"/>
        <v>92.4375</v>
      </c>
      <c r="AP25" s="37"/>
      <c r="AR25" s="54" t="str">
        <f t="shared" si="9"/>
        <v/>
      </c>
      <c r="AS25" s="20"/>
      <c r="AT25" s="56">
        <f t="shared" si="10"/>
        <v>0</v>
      </c>
      <c r="AU25" s="57" t="str">
        <f t="shared" si="11"/>
        <v/>
      </c>
      <c r="AV25" s="54" t="str">
        <f t="shared" si="12"/>
        <v/>
      </c>
      <c r="AW25" s="20"/>
      <c r="AX25" s="56">
        <f t="shared" si="13"/>
        <v>0</v>
      </c>
      <c r="AY25" s="60" t="str">
        <f t="shared" si="14"/>
        <v/>
      </c>
      <c r="AZ25" s="54" t="str">
        <f t="shared" si="15"/>
        <v/>
      </c>
      <c r="BA25" s="21"/>
      <c r="BB25" s="62">
        <f t="shared" si="16"/>
        <v>92.4375</v>
      </c>
      <c r="BC25" s="64" t="str">
        <f t="shared" si="17"/>
        <v/>
      </c>
      <c r="BE25" s="20">
        <f t="shared" si="18"/>
        <v>93.75</v>
      </c>
      <c r="BF25" s="20">
        <f t="shared" si="19"/>
        <v>90.75</v>
      </c>
      <c r="BG25" s="89">
        <f t="shared" si="20"/>
        <v>93.25</v>
      </c>
      <c r="BH25" s="20">
        <f t="shared" si="21"/>
        <v>92</v>
      </c>
      <c r="BI25" s="20">
        <f t="shared" si="22"/>
        <v>92.4375</v>
      </c>
    </row>
    <row r="26" spans="1:61" x14ac:dyDescent="0.2">
      <c r="A26" s="29">
        <v>24</v>
      </c>
      <c r="B26" s="88" t="s">
        <v>135</v>
      </c>
      <c r="C26" s="70" t="s">
        <v>77</v>
      </c>
      <c r="D26" s="70" t="s">
        <v>78</v>
      </c>
      <c r="E26" s="19">
        <v>75</v>
      </c>
      <c r="F26" s="20"/>
      <c r="G26" s="20">
        <v>80</v>
      </c>
      <c r="H26" s="20"/>
      <c r="I26" s="20">
        <v>70</v>
      </c>
      <c r="J26" s="20"/>
      <c r="K26" s="20">
        <v>75</v>
      </c>
      <c r="L26" s="21"/>
      <c r="M26" s="19">
        <v>78</v>
      </c>
      <c r="N26" s="20"/>
      <c r="O26" s="20">
        <v>82</v>
      </c>
      <c r="P26" s="20"/>
      <c r="Q26" s="20">
        <v>72</v>
      </c>
      <c r="R26" s="20"/>
      <c r="S26" s="20">
        <v>76</v>
      </c>
      <c r="T26" s="21"/>
      <c r="U26" s="19">
        <v>78</v>
      </c>
      <c r="V26" s="20"/>
      <c r="W26" s="20">
        <v>75</v>
      </c>
      <c r="X26" s="20"/>
      <c r="Y26" s="20">
        <v>75</v>
      </c>
      <c r="Z26" s="20"/>
      <c r="AA26" s="20">
        <v>78</v>
      </c>
      <c r="AB26" s="21"/>
      <c r="AC26" s="1">
        <v>75</v>
      </c>
      <c r="AD26" s="20"/>
      <c r="AE26" s="20">
        <v>80</v>
      </c>
      <c r="AF26" s="20"/>
      <c r="AG26" s="20">
        <v>78</v>
      </c>
      <c r="AH26" s="20"/>
      <c r="AI26" s="20">
        <v>75</v>
      </c>
      <c r="AJ26" s="3"/>
      <c r="AK26" s="44">
        <f t="shared" si="4"/>
        <v>75</v>
      </c>
      <c r="AL26" s="45">
        <f t="shared" si="5"/>
        <v>77</v>
      </c>
      <c r="AM26" s="46">
        <f t="shared" si="6"/>
        <v>76.5</v>
      </c>
      <c r="AN26" s="47">
        <f t="shared" si="7"/>
        <v>77</v>
      </c>
      <c r="AO26" s="48">
        <f t="shared" si="8"/>
        <v>76.375</v>
      </c>
      <c r="AP26" s="37"/>
      <c r="AR26" s="54" t="str">
        <f t="shared" si="9"/>
        <v/>
      </c>
      <c r="AS26" s="20"/>
      <c r="AT26" s="56">
        <f t="shared" si="10"/>
        <v>0</v>
      </c>
      <c r="AU26" s="57" t="str">
        <f t="shared" si="11"/>
        <v/>
      </c>
      <c r="AV26" s="54" t="str">
        <f t="shared" si="12"/>
        <v/>
      </c>
      <c r="AW26" s="20"/>
      <c r="AX26" s="56">
        <f t="shared" si="13"/>
        <v>0</v>
      </c>
      <c r="AY26" s="60" t="str">
        <f t="shared" si="14"/>
        <v/>
      </c>
      <c r="AZ26" s="54" t="str">
        <f t="shared" si="15"/>
        <v/>
      </c>
      <c r="BA26" s="21"/>
      <c r="BB26" s="62">
        <f t="shared" si="16"/>
        <v>76.375</v>
      </c>
      <c r="BC26" s="64" t="str">
        <f t="shared" si="17"/>
        <v/>
      </c>
      <c r="BE26" s="20">
        <f t="shared" si="18"/>
        <v>76.5</v>
      </c>
      <c r="BF26" s="20">
        <f t="shared" si="19"/>
        <v>79.25</v>
      </c>
      <c r="BG26" s="89">
        <f t="shared" si="20"/>
        <v>73.75</v>
      </c>
      <c r="BH26" s="20">
        <f t="shared" si="21"/>
        <v>76</v>
      </c>
      <c r="BI26" s="20">
        <f t="shared" si="22"/>
        <v>76.375</v>
      </c>
    </row>
    <row r="27" spans="1:61" x14ac:dyDescent="0.2">
      <c r="A27" s="29">
        <v>25</v>
      </c>
      <c r="B27" s="88" t="s">
        <v>136</v>
      </c>
      <c r="C27" s="69" t="s">
        <v>79</v>
      </c>
      <c r="D27" s="69" t="s">
        <v>80</v>
      </c>
      <c r="E27" s="19"/>
      <c r="F27" s="19">
        <v>60</v>
      </c>
      <c r="G27" s="19">
        <v>60</v>
      </c>
      <c r="H27" s="20"/>
      <c r="I27" s="20">
        <v>65</v>
      </c>
      <c r="J27" s="20"/>
      <c r="K27" s="20">
        <v>63</v>
      </c>
      <c r="L27" s="20"/>
      <c r="M27" s="20">
        <v>68</v>
      </c>
      <c r="N27" s="19">
        <v>60</v>
      </c>
      <c r="O27" s="19">
        <v>60</v>
      </c>
      <c r="P27" s="20"/>
      <c r="Q27" s="20">
        <v>65</v>
      </c>
      <c r="R27" s="20"/>
      <c r="S27" s="20">
        <v>63</v>
      </c>
      <c r="T27" s="20"/>
      <c r="U27" s="20">
        <v>68</v>
      </c>
      <c r="V27" s="19">
        <v>60</v>
      </c>
      <c r="W27" s="19">
        <v>60</v>
      </c>
      <c r="X27" s="20"/>
      <c r="Y27" s="20">
        <v>65</v>
      </c>
      <c r="Z27" s="20"/>
      <c r="AA27" s="20">
        <v>63</v>
      </c>
      <c r="AB27" s="20"/>
      <c r="AC27" s="20">
        <v>68</v>
      </c>
      <c r="AD27" s="19">
        <v>60</v>
      </c>
      <c r="AE27" s="19">
        <v>60</v>
      </c>
      <c r="AF27" s="20"/>
      <c r="AG27" s="20">
        <v>65</v>
      </c>
      <c r="AH27" s="20"/>
      <c r="AI27" s="20">
        <v>63</v>
      </c>
      <c r="AJ27" s="20"/>
      <c r="AK27" s="20">
        <v>68</v>
      </c>
      <c r="AL27" s="45">
        <f t="shared" si="5"/>
        <v>15</v>
      </c>
      <c r="AM27" s="46">
        <f t="shared" si="6"/>
        <v>15</v>
      </c>
      <c r="AN27" s="47">
        <f t="shared" si="7"/>
        <v>48.25</v>
      </c>
      <c r="AO27" s="48">
        <f t="shared" si="8"/>
        <v>36.5625</v>
      </c>
      <c r="AP27" s="37"/>
      <c r="AR27" s="54">
        <f t="shared" si="9"/>
        <v>18.28125</v>
      </c>
      <c r="AS27" s="20"/>
      <c r="AT27" s="56">
        <f t="shared" si="10"/>
        <v>0</v>
      </c>
      <c r="AU27" s="57" t="str">
        <f t="shared" si="11"/>
        <v/>
      </c>
      <c r="AV27" s="54" t="str">
        <f t="shared" si="12"/>
        <v/>
      </c>
      <c r="AW27" s="20"/>
      <c r="AX27" s="56">
        <f t="shared" si="13"/>
        <v>0</v>
      </c>
      <c r="AY27" s="60" t="str">
        <f t="shared" si="14"/>
        <v/>
      </c>
      <c r="AZ27" s="54" t="str">
        <f t="shared" si="15"/>
        <v/>
      </c>
      <c r="BA27" s="21"/>
      <c r="BB27" s="62" t="str">
        <f t="shared" si="16"/>
        <v/>
      </c>
      <c r="BC27" s="64">
        <f t="shared" si="17"/>
        <v>36.5625</v>
      </c>
      <c r="BE27" s="20">
        <f t="shared" si="18"/>
        <v>51</v>
      </c>
      <c r="BF27" s="20">
        <f t="shared" si="19"/>
        <v>60</v>
      </c>
      <c r="BG27" s="89">
        <f t="shared" si="20"/>
        <v>65</v>
      </c>
      <c r="BH27" s="20">
        <f t="shared" si="21"/>
        <v>63</v>
      </c>
      <c r="BI27" s="20">
        <f t="shared" si="22"/>
        <v>59.75</v>
      </c>
    </row>
    <row r="28" spans="1:61" x14ac:dyDescent="0.2">
      <c r="A28" s="29">
        <v>26</v>
      </c>
      <c r="B28" s="88" t="s">
        <v>137</v>
      </c>
      <c r="C28" s="70" t="s">
        <v>81</v>
      </c>
      <c r="D28" s="70" t="s">
        <v>82</v>
      </c>
      <c r="E28" s="19">
        <v>98</v>
      </c>
      <c r="F28" s="20"/>
      <c r="G28" s="20">
        <v>100</v>
      </c>
      <c r="H28" s="20"/>
      <c r="I28" s="20">
        <v>100</v>
      </c>
      <c r="J28" s="20"/>
      <c r="K28" s="20">
        <v>95</v>
      </c>
      <c r="L28" s="21"/>
      <c r="M28" s="19">
        <v>95</v>
      </c>
      <c r="N28" s="20"/>
      <c r="O28" s="20">
        <v>95</v>
      </c>
      <c r="P28" s="20"/>
      <c r="Q28" s="20">
        <v>98</v>
      </c>
      <c r="R28" s="20"/>
      <c r="S28" s="20">
        <v>95</v>
      </c>
      <c r="T28" s="21"/>
      <c r="U28" s="19">
        <v>100</v>
      </c>
      <c r="V28" s="20"/>
      <c r="W28" s="20">
        <v>90</v>
      </c>
      <c r="X28" s="20"/>
      <c r="Y28" s="20">
        <v>98</v>
      </c>
      <c r="Z28" s="20"/>
      <c r="AA28" s="20">
        <v>98</v>
      </c>
      <c r="AB28" s="21"/>
      <c r="AC28" s="1">
        <v>95</v>
      </c>
      <c r="AD28" s="20"/>
      <c r="AE28" s="20">
        <v>98</v>
      </c>
      <c r="AF28" s="20"/>
      <c r="AG28" s="20">
        <v>98</v>
      </c>
      <c r="AH28" s="20"/>
      <c r="AI28" s="20">
        <v>100</v>
      </c>
      <c r="AJ28" s="3"/>
      <c r="AK28" s="44">
        <f t="shared" si="4"/>
        <v>98.25</v>
      </c>
      <c r="AL28" s="45">
        <f t="shared" si="5"/>
        <v>95.75</v>
      </c>
      <c r="AM28" s="46">
        <f t="shared" si="6"/>
        <v>96.5</v>
      </c>
      <c r="AN28" s="47">
        <f t="shared" si="7"/>
        <v>97.75</v>
      </c>
      <c r="AO28" s="48">
        <f t="shared" si="8"/>
        <v>97.0625</v>
      </c>
      <c r="AP28" s="37"/>
      <c r="AR28" s="54" t="str">
        <f t="shared" si="9"/>
        <v/>
      </c>
      <c r="AS28" s="20"/>
      <c r="AT28" s="56">
        <f t="shared" si="10"/>
        <v>0</v>
      </c>
      <c r="AU28" s="57" t="str">
        <f t="shared" si="11"/>
        <v/>
      </c>
      <c r="AV28" s="54" t="str">
        <f t="shared" si="12"/>
        <v/>
      </c>
      <c r="AW28" s="20"/>
      <c r="AX28" s="56">
        <f t="shared" si="13"/>
        <v>0</v>
      </c>
      <c r="AY28" s="60" t="str">
        <f t="shared" si="14"/>
        <v/>
      </c>
      <c r="AZ28" s="54" t="str">
        <f t="shared" si="15"/>
        <v/>
      </c>
      <c r="BA28" s="21"/>
      <c r="BB28" s="62">
        <f t="shared" si="16"/>
        <v>97.0625</v>
      </c>
      <c r="BC28" s="64" t="str">
        <f t="shared" si="17"/>
        <v/>
      </c>
      <c r="BE28" s="20">
        <f t="shared" si="18"/>
        <v>97</v>
      </c>
      <c r="BF28" s="20">
        <f t="shared" si="19"/>
        <v>95.75</v>
      </c>
      <c r="BG28" s="89">
        <f t="shared" si="20"/>
        <v>98.5</v>
      </c>
      <c r="BH28" s="20">
        <f t="shared" si="21"/>
        <v>97</v>
      </c>
      <c r="BI28" s="20">
        <f t="shared" si="22"/>
        <v>97.0625</v>
      </c>
    </row>
    <row r="29" spans="1:61" x14ac:dyDescent="0.2">
      <c r="A29" s="29">
        <v>27</v>
      </c>
      <c r="B29" s="88" t="s">
        <v>138</v>
      </c>
      <c r="C29" s="69" t="s">
        <v>83</v>
      </c>
      <c r="D29" s="69" t="s">
        <v>84</v>
      </c>
      <c r="E29" s="19">
        <v>80</v>
      </c>
      <c r="F29" s="20"/>
      <c r="G29" s="20">
        <v>100</v>
      </c>
      <c r="H29" s="20"/>
      <c r="I29" s="20">
        <v>93</v>
      </c>
      <c r="J29" s="20"/>
      <c r="K29" s="20">
        <v>80</v>
      </c>
      <c r="L29" s="21"/>
      <c r="M29" s="19">
        <v>98</v>
      </c>
      <c r="N29" s="20"/>
      <c r="O29" s="20">
        <v>95</v>
      </c>
      <c r="P29" s="20"/>
      <c r="Q29" s="20">
        <v>90</v>
      </c>
      <c r="R29" s="20"/>
      <c r="S29" s="20">
        <v>85</v>
      </c>
      <c r="T29" s="21"/>
      <c r="U29" s="19">
        <v>90</v>
      </c>
      <c r="V29" s="20"/>
      <c r="W29" s="20">
        <v>98</v>
      </c>
      <c r="X29" s="20"/>
      <c r="Y29" s="20">
        <v>95</v>
      </c>
      <c r="Z29" s="20"/>
      <c r="AA29" s="20">
        <v>80</v>
      </c>
      <c r="AB29" s="21"/>
      <c r="AC29" s="1">
        <v>85</v>
      </c>
      <c r="AD29" s="20"/>
      <c r="AE29" s="20">
        <v>90</v>
      </c>
      <c r="AF29" s="20"/>
      <c r="AG29" s="20">
        <v>90</v>
      </c>
      <c r="AH29" s="20"/>
      <c r="AI29" s="20">
        <v>82</v>
      </c>
      <c r="AJ29" s="3"/>
      <c r="AK29" s="44">
        <f t="shared" si="4"/>
        <v>88.25</v>
      </c>
      <c r="AL29" s="45">
        <f t="shared" si="5"/>
        <v>92</v>
      </c>
      <c r="AM29" s="46">
        <f t="shared" si="6"/>
        <v>90.75</v>
      </c>
      <c r="AN29" s="47">
        <f t="shared" si="7"/>
        <v>86.75</v>
      </c>
      <c r="AO29" s="48">
        <f t="shared" si="8"/>
        <v>89.4375</v>
      </c>
      <c r="AP29" s="37"/>
      <c r="AR29" s="54" t="str">
        <f t="shared" si="9"/>
        <v/>
      </c>
      <c r="AS29" s="20"/>
      <c r="AT29" s="56">
        <f t="shared" si="10"/>
        <v>0</v>
      </c>
      <c r="AU29" s="57" t="str">
        <f t="shared" si="11"/>
        <v/>
      </c>
      <c r="AV29" s="54" t="str">
        <f t="shared" si="12"/>
        <v/>
      </c>
      <c r="AW29" s="20"/>
      <c r="AX29" s="56">
        <f t="shared" si="13"/>
        <v>0</v>
      </c>
      <c r="AY29" s="60" t="str">
        <f t="shared" si="14"/>
        <v/>
      </c>
      <c r="AZ29" s="54" t="str">
        <f t="shared" si="15"/>
        <v/>
      </c>
      <c r="BA29" s="21"/>
      <c r="BB29" s="62">
        <f t="shared" si="16"/>
        <v>89.4375</v>
      </c>
      <c r="BC29" s="64" t="str">
        <f t="shared" si="17"/>
        <v/>
      </c>
      <c r="BE29" s="20">
        <f t="shared" si="18"/>
        <v>88.25</v>
      </c>
      <c r="BF29" s="20">
        <f t="shared" si="19"/>
        <v>95.75</v>
      </c>
      <c r="BG29" s="89">
        <f t="shared" si="20"/>
        <v>92</v>
      </c>
      <c r="BH29" s="20">
        <f t="shared" si="21"/>
        <v>81.75</v>
      </c>
      <c r="BI29" s="20">
        <f t="shared" si="22"/>
        <v>89.4375</v>
      </c>
    </row>
    <row r="30" spans="1:61" x14ac:dyDescent="0.2">
      <c r="A30" s="29">
        <v>28</v>
      </c>
      <c r="B30" s="88" t="s">
        <v>139</v>
      </c>
      <c r="C30" s="70" t="s">
        <v>85</v>
      </c>
      <c r="D30" s="70" t="s">
        <v>86</v>
      </c>
      <c r="E30" s="19">
        <v>98</v>
      </c>
      <c r="F30" s="20"/>
      <c r="G30" s="20">
        <v>100</v>
      </c>
      <c r="H30" s="20"/>
      <c r="I30" s="20">
        <v>90</v>
      </c>
      <c r="J30" s="20"/>
      <c r="K30" s="20">
        <v>95</v>
      </c>
      <c r="L30" s="21"/>
      <c r="M30" s="19">
        <v>95</v>
      </c>
      <c r="N30" s="20"/>
      <c r="O30" s="20">
        <v>92</v>
      </c>
      <c r="P30" s="20"/>
      <c r="Q30" s="20">
        <v>90</v>
      </c>
      <c r="R30" s="20"/>
      <c r="S30" s="20">
        <v>95</v>
      </c>
      <c r="T30" s="21"/>
      <c r="U30" s="19">
        <v>95</v>
      </c>
      <c r="V30" s="20"/>
      <c r="W30" s="20">
        <v>100</v>
      </c>
      <c r="X30" s="20"/>
      <c r="Y30" s="20">
        <v>90</v>
      </c>
      <c r="Z30" s="20"/>
      <c r="AA30" s="20">
        <v>95</v>
      </c>
      <c r="AB30" s="21"/>
      <c r="AC30" s="1">
        <v>90</v>
      </c>
      <c r="AD30" s="20"/>
      <c r="AE30" s="20">
        <v>95</v>
      </c>
      <c r="AF30" s="20"/>
      <c r="AG30" s="20">
        <v>98</v>
      </c>
      <c r="AH30" s="20"/>
      <c r="AI30" s="20">
        <v>95</v>
      </c>
      <c r="AJ30" s="3"/>
      <c r="AK30" s="44">
        <f t="shared" si="4"/>
        <v>95.75</v>
      </c>
      <c r="AL30" s="45">
        <f t="shared" si="5"/>
        <v>93</v>
      </c>
      <c r="AM30" s="46">
        <f t="shared" si="6"/>
        <v>95</v>
      </c>
      <c r="AN30" s="47">
        <f t="shared" si="7"/>
        <v>94.5</v>
      </c>
      <c r="AO30" s="48">
        <f t="shared" si="8"/>
        <v>94.5625</v>
      </c>
      <c r="AP30" s="37"/>
      <c r="AR30" s="54" t="str">
        <f t="shared" si="9"/>
        <v/>
      </c>
      <c r="AS30" s="20"/>
      <c r="AT30" s="56">
        <f t="shared" si="10"/>
        <v>0</v>
      </c>
      <c r="AU30" s="57" t="str">
        <f t="shared" si="11"/>
        <v/>
      </c>
      <c r="AV30" s="54" t="str">
        <f t="shared" si="12"/>
        <v/>
      </c>
      <c r="AW30" s="20"/>
      <c r="AX30" s="56">
        <f t="shared" si="13"/>
        <v>0</v>
      </c>
      <c r="AY30" s="60" t="str">
        <f t="shared" si="14"/>
        <v/>
      </c>
      <c r="AZ30" s="54" t="str">
        <f t="shared" si="15"/>
        <v/>
      </c>
      <c r="BA30" s="21"/>
      <c r="BB30" s="62">
        <f t="shared" si="16"/>
        <v>94.5625</v>
      </c>
      <c r="BC30" s="64" t="str">
        <f t="shared" si="17"/>
        <v/>
      </c>
      <c r="BE30" s="20">
        <f t="shared" si="18"/>
        <v>94.5</v>
      </c>
      <c r="BF30" s="20">
        <f t="shared" si="19"/>
        <v>96.75</v>
      </c>
      <c r="BG30" s="89">
        <f t="shared" si="20"/>
        <v>92</v>
      </c>
      <c r="BH30" s="20">
        <f t="shared" si="21"/>
        <v>95</v>
      </c>
      <c r="BI30" s="20">
        <f t="shared" si="22"/>
        <v>94.5625</v>
      </c>
    </row>
    <row r="31" spans="1:61" x14ac:dyDescent="0.2">
      <c r="A31" s="29">
        <v>29</v>
      </c>
      <c r="B31" s="88" t="s">
        <v>140</v>
      </c>
      <c r="C31" s="69" t="s">
        <v>87</v>
      </c>
      <c r="D31" s="69" t="s">
        <v>88</v>
      </c>
      <c r="E31" s="19">
        <v>85</v>
      </c>
      <c r="F31" s="20"/>
      <c r="G31" s="20"/>
      <c r="H31" s="20"/>
      <c r="I31" s="20"/>
      <c r="J31" s="20"/>
      <c r="K31" s="20"/>
      <c r="L31" s="21"/>
      <c r="M31" s="19">
        <v>95</v>
      </c>
      <c r="N31" s="20"/>
      <c r="O31" s="20"/>
      <c r="P31" s="20"/>
      <c r="Q31" s="20"/>
      <c r="R31" s="20"/>
      <c r="S31" s="20"/>
      <c r="T31" s="21"/>
      <c r="U31" s="19">
        <v>87</v>
      </c>
      <c r="V31" s="20"/>
      <c r="W31" s="20"/>
      <c r="X31" s="20"/>
      <c r="Y31" s="20"/>
      <c r="Z31" s="20"/>
      <c r="AA31" s="20"/>
      <c r="AB31" s="21"/>
      <c r="AC31" s="1"/>
      <c r="AD31" s="20"/>
      <c r="AE31" s="20"/>
      <c r="AF31" s="20"/>
      <c r="AG31" s="20"/>
      <c r="AH31" s="20"/>
      <c r="AI31" s="20"/>
      <c r="AJ31" s="3"/>
      <c r="AK31" s="44">
        <f t="shared" si="4"/>
        <v>21.25</v>
      </c>
      <c r="AL31" s="45">
        <f t="shared" si="5"/>
        <v>23.75</v>
      </c>
      <c r="AM31" s="46">
        <f t="shared" si="6"/>
        <v>21.75</v>
      </c>
      <c r="AN31" s="47">
        <f t="shared" si="7"/>
        <v>0</v>
      </c>
      <c r="AO31" s="48">
        <f t="shared" si="8"/>
        <v>16.6875</v>
      </c>
      <c r="AP31" s="37"/>
      <c r="AR31" s="54">
        <f t="shared" si="9"/>
        <v>8.34375</v>
      </c>
      <c r="AS31" s="20"/>
      <c r="AT31" s="56">
        <f t="shared" si="10"/>
        <v>0</v>
      </c>
      <c r="AU31" s="57" t="str">
        <f t="shared" si="11"/>
        <v/>
      </c>
      <c r="AV31" s="54" t="str">
        <f t="shared" si="12"/>
        <v/>
      </c>
      <c r="AW31" s="20"/>
      <c r="AX31" s="56">
        <f t="shared" si="13"/>
        <v>0</v>
      </c>
      <c r="AY31" s="60" t="str">
        <f t="shared" si="14"/>
        <v/>
      </c>
      <c r="AZ31" s="54" t="str">
        <f t="shared" si="15"/>
        <v/>
      </c>
      <c r="BA31" s="21"/>
      <c r="BB31" s="62" t="str">
        <f t="shared" si="16"/>
        <v/>
      </c>
      <c r="BC31" s="64">
        <f t="shared" si="17"/>
        <v>16.6875</v>
      </c>
      <c r="BE31" s="20">
        <f t="shared" si="18"/>
        <v>66.75</v>
      </c>
      <c r="BF31" s="20">
        <f t="shared" si="19"/>
        <v>0</v>
      </c>
      <c r="BG31" s="89">
        <f t="shared" si="20"/>
        <v>0</v>
      </c>
      <c r="BH31" s="20">
        <f t="shared" si="21"/>
        <v>0</v>
      </c>
      <c r="BI31" s="20">
        <f t="shared" si="22"/>
        <v>16.6875</v>
      </c>
    </row>
    <row r="32" spans="1:61" x14ac:dyDescent="0.2">
      <c r="A32" s="29">
        <v>30</v>
      </c>
      <c r="B32" s="88" t="s">
        <v>141</v>
      </c>
      <c r="C32" s="70" t="s">
        <v>89</v>
      </c>
      <c r="D32" s="70" t="s">
        <v>90</v>
      </c>
      <c r="E32" s="19">
        <v>80</v>
      </c>
      <c r="F32" s="20"/>
      <c r="G32" s="20">
        <v>75</v>
      </c>
      <c r="H32" s="20"/>
      <c r="I32" s="20">
        <v>82</v>
      </c>
      <c r="J32" s="20"/>
      <c r="K32" s="20">
        <v>78</v>
      </c>
      <c r="L32" s="21"/>
      <c r="M32" s="19">
        <v>85</v>
      </c>
      <c r="N32" s="20"/>
      <c r="O32" s="20">
        <v>78</v>
      </c>
      <c r="P32" s="20"/>
      <c r="Q32" s="20">
        <v>80</v>
      </c>
      <c r="R32" s="20"/>
      <c r="S32" s="20">
        <v>87</v>
      </c>
      <c r="T32" s="21"/>
      <c r="U32" s="19">
        <v>80</v>
      </c>
      <c r="V32" s="20"/>
      <c r="W32" s="20">
        <v>80</v>
      </c>
      <c r="X32" s="20"/>
      <c r="Y32" s="20">
        <v>75</v>
      </c>
      <c r="Z32" s="20"/>
      <c r="AA32" s="20">
        <v>78</v>
      </c>
      <c r="AB32" s="21"/>
      <c r="AC32" s="1">
        <v>80</v>
      </c>
      <c r="AD32" s="20"/>
      <c r="AE32" s="20">
        <v>78</v>
      </c>
      <c r="AF32" s="20"/>
      <c r="AG32" s="20">
        <v>85</v>
      </c>
      <c r="AH32" s="20"/>
      <c r="AI32" s="20">
        <v>80</v>
      </c>
      <c r="AJ32" s="3"/>
      <c r="AK32" s="44">
        <f t="shared" si="4"/>
        <v>78.75</v>
      </c>
      <c r="AL32" s="45">
        <f t="shared" si="5"/>
        <v>82.5</v>
      </c>
      <c r="AM32" s="46">
        <f t="shared" si="6"/>
        <v>78.25</v>
      </c>
      <c r="AN32" s="47">
        <f t="shared" si="7"/>
        <v>80.75</v>
      </c>
      <c r="AO32" s="48">
        <f t="shared" si="8"/>
        <v>80.0625</v>
      </c>
      <c r="AP32" s="37"/>
      <c r="AR32" s="54" t="str">
        <f t="shared" si="9"/>
        <v/>
      </c>
      <c r="AS32" s="20"/>
      <c r="AT32" s="56">
        <f t="shared" si="10"/>
        <v>0</v>
      </c>
      <c r="AU32" s="57" t="str">
        <f t="shared" si="11"/>
        <v/>
      </c>
      <c r="AV32" s="54" t="str">
        <f t="shared" si="12"/>
        <v/>
      </c>
      <c r="AW32" s="20"/>
      <c r="AX32" s="56">
        <f t="shared" si="13"/>
        <v>0</v>
      </c>
      <c r="AY32" s="60" t="str">
        <f t="shared" si="14"/>
        <v/>
      </c>
      <c r="AZ32" s="54" t="str">
        <f t="shared" si="15"/>
        <v/>
      </c>
      <c r="BA32" s="21"/>
      <c r="BB32" s="62">
        <f t="shared" si="16"/>
        <v>80.0625</v>
      </c>
      <c r="BC32" s="64" t="str">
        <f t="shared" si="17"/>
        <v/>
      </c>
      <c r="BE32" s="20">
        <f t="shared" si="18"/>
        <v>81.25</v>
      </c>
      <c r="BF32" s="20">
        <f t="shared" si="19"/>
        <v>77.75</v>
      </c>
      <c r="BG32" s="89">
        <f t="shared" si="20"/>
        <v>80.5</v>
      </c>
      <c r="BH32" s="20">
        <f t="shared" si="21"/>
        <v>80.75</v>
      </c>
      <c r="BI32" s="20">
        <f t="shared" si="22"/>
        <v>80.0625</v>
      </c>
    </row>
    <row r="33" spans="1:61" x14ac:dyDescent="0.2">
      <c r="A33" s="29">
        <v>31</v>
      </c>
      <c r="B33" s="88" t="s">
        <v>142</v>
      </c>
      <c r="C33" s="69" t="s">
        <v>91</v>
      </c>
      <c r="D33" s="69" t="s">
        <v>92</v>
      </c>
      <c r="E33" s="19">
        <v>85</v>
      </c>
      <c r="F33" s="20"/>
      <c r="G33" s="20">
        <v>78</v>
      </c>
      <c r="H33" s="20"/>
      <c r="I33" s="20">
        <v>90</v>
      </c>
      <c r="J33" s="20"/>
      <c r="K33" s="20">
        <v>90</v>
      </c>
      <c r="L33" s="21"/>
      <c r="M33" s="19">
        <v>85</v>
      </c>
      <c r="N33" s="20"/>
      <c r="O33" s="20">
        <v>75</v>
      </c>
      <c r="P33" s="20"/>
      <c r="Q33" s="20">
        <v>92</v>
      </c>
      <c r="R33" s="20"/>
      <c r="S33" s="20">
        <v>90</v>
      </c>
      <c r="T33" s="21"/>
      <c r="U33" s="19">
        <v>80</v>
      </c>
      <c r="V33" s="20"/>
      <c r="W33" s="20">
        <v>83</v>
      </c>
      <c r="X33" s="20"/>
      <c r="Y33" s="20">
        <v>90</v>
      </c>
      <c r="Z33" s="20"/>
      <c r="AA33" s="20">
        <v>90</v>
      </c>
      <c r="AB33" s="21"/>
      <c r="AC33" s="1">
        <v>91</v>
      </c>
      <c r="AD33" s="20"/>
      <c r="AE33" s="20">
        <v>85</v>
      </c>
      <c r="AF33" s="20"/>
      <c r="AG33" s="20">
        <v>90</v>
      </c>
      <c r="AH33" s="20"/>
      <c r="AI33" s="20">
        <v>92</v>
      </c>
      <c r="AJ33" s="3"/>
      <c r="AK33" s="44">
        <f t="shared" si="4"/>
        <v>85.75</v>
      </c>
      <c r="AL33" s="45">
        <f t="shared" si="5"/>
        <v>85.5</v>
      </c>
      <c r="AM33" s="46">
        <f t="shared" si="6"/>
        <v>85.75</v>
      </c>
      <c r="AN33" s="47">
        <f t="shared" si="7"/>
        <v>89.5</v>
      </c>
      <c r="AO33" s="48">
        <f t="shared" si="8"/>
        <v>86.625</v>
      </c>
      <c r="AP33" s="37"/>
      <c r="AR33" s="54" t="str">
        <f t="shared" si="9"/>
        <v/>
      </c>
      <c r="AS33" s="20"/>
      <c r="AT33" s="56">
        <f t="shared" si="10"/>
        <v>0</v>
      </c>
      <c r="AU33" s="57" t="str">
        <f t="shared" si="11"/>
        <v/>
      </c>
      <c r="AV33" s="54" t="str">
        <f t="shared" si="12"/>
        <v/>
      </c>
      <c r="AW33" s="20"/>
      <c r="AX33" s="56">
        <f t="shared" si="13"/>
        <v>0</v>
      </c>
      <c r="AY33" s="60" t="str">
        <f t="shared" si="14"/>
        <v/>
      </c>
      <c r="AZ33" s="54" t="str">
        <f t="shared" si="15"/>
        <v/>
      </c>
      <c r="BA33" s="21"/>
      <c r="BB33" s="62">
        <f t="shared" si="16"/>
        <v>86.625</v>
      </c>
      <c r="BC33" s="64" t="str">
        <f t="shared" si="17"/>
        <v/>
      </c>
      <c r="BE33" s="20">
        <f t="shared" si="18"/>
        <v>85.25</v>
      </c>
      <c r="BF33" s="20">
        <f t="shared" si="19"/>
        <v>80.25</v>
      </c>
      <c r="BG33" s="89">
        <f t="shared" si="20"/>
        <v>90.5</v>
      </c>
      <c r="BH33" s="20">
        <f t="shared" si="21"/>
        <v>90.5</v>
      </c>
      <c r="BI33" s="20">
        <f t="shared" si="22"/>
        <v>86.625</v>
      </c>
    </row>
    <row r="34" spans="1:61" x14ac:dyDescent="0.2">
      <c r="A34" s="29">
        <v>32</v>
      </c>
      <c r="B34" s="88" t="s">
        <v>143</v>
      </c>
      <c r="C34" s="70" t="s">
        <v>93</v>
      </c>
      <c r="D34" s="70" t="s">
        <v>94</v>
      </c>
      <c r="E34" s="19">
        <v>85</v>
      </c>
      <c r="F34" s="20"/>
      <c r="G34" s="20">
        <v>75</v>
      </c>
      <c r="H34" s="20"/>
      <c r="I34" s="20">
        <v>78</v>
      </c>
      <c r="J34" s="20"/>
      <c r="K34" s="20">
        <v>80</v>
      </c>
      <c r="L34" s="21"/>
      <c r="M34" s="19">
        <v>88</v>
      </c>
      <c r="N34" s="20"/>
      <c r="O34" s="20">
        <v>80</v>
      </c>
      <c r="P34" s="20"/>
      <c r="Q34" s="20">
        <v>85</v>
      </c>
      <c r="R34" s="20"/>
      <c r="S34" s="20">
        <v>75</v>
      </c>
      <c r="T34" s="21"/>
      <c r="U34" s="19">
        <v>90</v>
      </c>
      <c r="V34" s="20"/>
      <c r="W34" s="20">
        <v>79</v>
      </c>
      <c r="X34" s="20"/>
      <c r="Y34" s="20">
        <v>82</v>
      </c>
      <c r="Z34" s="20"/>
      <c r="AA34" s="20">
        <v>75</v>
      </c>
      <c r="AB34" s="21"/>
      <c r="AC34" s="1">
        <v>85</v>
      </c>
      <c r="AD34" s="20"/>
      <c r="AE34" s="20">
        <v>83</v>
      </c>
      <c r="AF34" s="20"/>
      <c r="AG34" s="20">
        <v>80</v>
      </c>
      <c r="AH34" s="20"/>
      <c r="AI34" s="20">
        <v>70</v>
      </c>
      <c r="AJ34" s="3"/>
      <c r="AK34" s="44">
        <f t="shared" si="4"/>
        <v>79.5</v>
      </c>
      <c r="AL34" s="45">
        <f t="shared" si="5"/>
        <v>82</v>
      </c>
      <c r="AM34" s="46">
        <f t="shared" si="6"/>
        <v>81.5</v>
      </c>
      <c r="AN34" s="47">
        <f t="shared" si="7"/>
        <v>79.5</v>
      </c>
      <c r="AO34" s="48">
        <f t="shared" si="8"/>
        <v>80.625</v>
      </c>
      <c r="AP34" s="37"/>
      <c r="AR34" s="54" t="str">
        <f t="shared" si="9"/>
        <v/>
      </c>
      <c r="AS34" s="20"/>
      <c r="AT34" s="56">
        <f t="shared" si="10"/>
        <v>0</v>
      </c>
      <c r="AU34" s="57" t="str">
        <f t="shared" si="11"/>
        <v/>
      </c>
      <c r="AV34" s="54" t="str">
        <f t="shared" si="12"/>
        <v/>
      </c>
      <c r="AW34" s="20"/>
      <c r="AX34" s="56">
        <f t="shared" si="13"/>
        <v>0</v>
      </c>
      <c r="AY34" s="60" t="str">
        <f t="shared" si="14"/>
        <v/>
      </c>
      <c r="AZ34" s="54" t="str">
        <f t="shared" si="15"/>
        <v/>
      </c>
      <c r="BA34" s="21"/>
      <c r="BB34" s="62">
        <f t="shared" si="16"/>
        <v>80.625</v>
      </c>
      <c r="BC34" s="64" t="str">
        <f t="shared" si="17"/>
        <v/>
      </c>
      <c r="BE34" s="20">
        <f t="shared" si="18"/>
        <v>87</v>
      </c>
      <c r="BF34" s="20">
        <f t="shared" si="19"/>
        <v>79.25</v>
      </c>
      <c r="BG34" s="89">
        <f t="shared" si="20"/>
        <v>81.25</v>
      </c>
      <c r="BH34" s="20">
        <f t="shared" si="21"/>
        <v>75</v>
      </c>
      <c r="BI34" s="20">
        <f t="shared" si="22"/>
        <v>80.625</v>
      </c>
    </row>
    <row r="35" spans="1:61" x14ac:dyDescent="0.2">
      <c r="A35" s="29">
        <v>33</v>
      </c>
      <c r="B35" s="88" t="s">
        <v>144</v>
      </c>
      <c r="C35" s="71" t="s">
        <v>95</v>
      </c>
      <c r="D35" s="71" t="s">
        <v>96</v>
      </c>
      <c r="E35" s="19">
        <v>80</v>
      </c>
      <c r="F35" s="20"/>
      <c r="G35" s="20">
        <v>82</v>
      </c>
      <c r="H35" s="20"/>
      <c r="I35" s="20">
        <v>85</v>
      </c>
      <c r="J35" s="20"/>
      <c r="K35" s="20">
        <v>84</v>
      </c>
      <c r="L35" s="21"/>
      <c r="M35" s="19">
        <v>85</v>
      </c>
      <c r="N35" s="20"/>
      <c r="O35" s="20">
        <v>80</v>
      </c>
      <c r="P35" s="20"/>
      <c r="Q35" s="20">
        <v>82</v>
      </c>
      <c r="R35" s="20"/>
      <c r="S35" s="20">
        <v>85</v>
      </c>
      <c r="T35" s="21"/>
      <c r="U35" s="19">
        <v>87</v>
      </c>
      <c r="V35" s="20"/>
      <c r="W35" s="20">
        <v>81</v>
      </c>
      <c r="X35" s="20"/>
      <c r="Y35" s="20">
        <v>85</v>
      </c>
      <c r="Z35" s="20"/>
      <c r="AA35" s="20">
        <v>80</v>
      </c>
      <c r="AB35" s="21"/>
      <c r="AC35" s="1">
        <v>80</v>
      </c>
      <c r="AD35" s="20"/>
      <c r="AE35" s="20">
        <v>85</v>
      </c>
      <c r="AF35" s="20"/>
      <c r="AG35" s="20">
        <v>87</v>
      </c>
      <c r="AH35" s="20"/>
      <c r="AI35" s="20">
        <v>89</v>
      </c>
      <c r="AJ35" s="3"/>
      <c r="AK35" s="44">
        <f t="shared" si="4"/>
        <v>82.75</v>
      </c>
      <c r="AL35" s="45">
        <f t="shared" si="5"/>
        <v>83</v>
      </c>
      <c r="AM35" s="46">
        <f t="shared" si="6"/>
        <v>83.25</v>
      </c>
      <c r="AN35" s="47">
        <f t="shared" si="7"/>
        <v>85.25</v>
      </c>
      <c r="AO35" s="48">
        <f t="shared" si="8"/>
        <v>83.5625</v>
      </c>
      <c r="AP35" s="37"/>
      <c r="AR35" s="54" t="str">
        <f t="shared" si="9"/>
        <v/>
      </c>
      <c r="AS35" s="20"/>
      <c r="AT35" s="56">
        <f t="shared" si="10"/>
        <v>0</v>
      </c>
      <c r="AU35" s="57" t="str">
        <f t="shared" si="11"/>
        <v/>
      </c>
      <c r="AV35" s="54" t="str">
        <f t="shared" si="12"/>
        <v/>
      </c>
      <c r="AW35" s="20"/>
      <c r="AX35" s="56">
        <f t="shared" si="13"/>
        <v>0</v>
      </c>
      <c r="AY35" s="60" t="str">
        <f t="shared" si="14"/>
        <v/>
      </c>
      <c r="AZ35" s="54" t="str">
        <f t="shared" si="15"/>
        <v/>
      </c>
      <c r="BA35" s="21"/>
      <c r="BB35" s="62">
        <f t="shared" si="16"/>
        <v>83.5625</v>
      </c>
      <c r="BC35" s="64" t="str">
        <f t="shared" si="17"/>
        <v/>
      </c>
      <c r="BE35" s="20">
        <f t="shared" si="18"/>
        <v>83</v>
      </c>
      <c r="BF35" s="20">
        <f t="shared" si="19"/>
        <v>82</v>
      </c>
      <c r="BG35" s="89">
        <f t="shared" si="20"/>
        <v>84.75</v>
      </c>
      <c r="BH35" s="20">
        <f t="shared" si="21"/>
        <v>84.5</v>
      </c>
      <c r="BI35" s="20">
        <f t="shared" si="22"/>
        <v>83.5625</v>
      </c>
    </row>
    <row r="36" spans="1:61" x14ac:dyDescent="0.2">
      <c r="A36" s="29">
        <v>34</v>
      </c>
      <c r="B36" s="88" t="s">
        <v>145</v>
      </c>
      <c r="C36" s="70" t="s">
        <v>97</v>
      </c>
      <c r="D36" s="70" t="s">
        <v>98</v>
      </c>
      <c r="E36" s="19">
        <v>95</v>
      </c>
      <c r="F36" s="20"/>
      <c r="G36" s="20">
        <v>100</v>
      </c>
      <c r="H36" s="20"/>
      <c r="I36" s="20">
        <v>95</v>
      </c>
      <c r="J36" s="20"/>
      <c r="K36" s="20">
        <v>98</v>
      </c>
      <c r="L36" s="21"/>
      <c r="M36" s="19">
        <v>100</v>
      </c>
      <c r="N36" s="20"/>
      <c r="O36" s="20">
        <v>100</v>
      </c>
      <c r="P36" s="20"/>
      <c r="Q36" s="20">
        <v>98</v>
      </c>
      <c r="R36" s="20"/>
      <c r="S36" s="20">
        <v>100</v>
      </c>
      <c r="T36" s="21"/>
      <c r="U36" s="19">
        <v>100</v>
      </c>
      <c r="V36" s="20"/>
      <c r="W36" s="20">
        <v>98</v>
      </c>
      <c r="X36" s="20"/>
      <c r="Y36" s="20">
        <v>98</v>
      </c>
      <c r="Z36" s="20"/>
      <c r="AA36" s="20">
        <v>95</v>
      </c>
      <c r="AB36" s="21"/>
      <c r="AC36" s="1">
        <v>100</v>
      </c>
      <c r="AD36" s="20"/>
      <c r="AE36" s="20">
        <v>98</v>
      </c>
      <c r="AF36" s="20"/>
      <c r="AG36" s="20">
        <v>95</v>
      </c>
      <c r="AH36" s="20"/>
      <c r="AI36" s="20">
        <v>100</v>
      </c>
      <c r="AJ36" s="3"/>
      <c r="AK36" s="44">
        <f t="shared" si="4"/>
        <v>97</v>
      </c>
      <c r="AL36" s="45">
        <f t="shared" si="5"/>
        <v>99.5</v>
      </c>
      <c r="AM36" s="46">
        <f t="shared" si="6"/>
        <v>97.75</v>
      </c>
      <c r="AN36" s="47">
        <f t="shared" si="7"/>
        <v>98.25</v>
      </c>
      <c r="AO36" s="48">
        <f t="shared" si="8"/>
        <v>98.125</v>
      </c>
      <c r="AP36" s="37"/>
      <c r="AR36" s="54" t="str">
        <f t="shared" si="9"/>
        <v/>
      </c>
      <c r="AS36" s="20"/>
      <c r="AT36" s="56">
        <f t="shared" si="10"/>
        <v>0</v>
      </c>
      <c r="AU36" s="57" t="str">
        <f t="shared" si="11"/>
        <v/>
      </c>
      <c r="AV36" s="54" t="str">
        <f t="shared" si="12"/>
        <v/>
      </c>
      <c r="AW36" s="20"/>
      <c r="AX36" s="56">
        <f t="shared" si="13"/>
        <v>0</v>
      </c>
      <c r="AY36" s="60" t="str">
        <f t="shared" si="14"/>
        <v/>
      </c>
      <c r="AZ36" s="54" t="str">
        <f t="shared" si="15"/>
        <v/>
      </c>
      <c r="BA36" s="21"/>
      <c r="BB36" s="62">
        <f t="shared" si="16"/>
        <v>98.125</v>
      </c>
      <c r="BC36" s="64" t="str">
        <f t="shared" si="17"/>
        <v/>
      </c>
      <c r="BE36" s="20">
        <f t="shared" si="18"/>
        <v>98.75</v>
      </c>
      <c r="BF36" s="20">
        <f t="shared" si="19"/>
        <v>99</v>
      </c>
      <c r="BG36" s="89">
        <f t="shared" si="20"/>
        <v>96.5</v>
      </c>
      <c r="BH36" s="20">
        <f t="shared" si="21"/>
        <v>98.25</v>
      </c>
      <c r="BI36" s="20">
        <f t="shared" si="22"/>
        <v>98.125</v>
      </c>
    </row>
    <row r="37" spans="1:61" x14ac:dyDescent="0.2">
      <c r="A37" s="29">
        <v>35</v>
      </c>
      <c r="B37" s="88" t="s">
        <v>146</v>
      </c>
      <c r="C37" s="69" t="s">
        <v>99</v>
      </c>
      <c r="D37" s="69" t="s">
        <v>100</v>
      </c>
      <c r="E37" s="19">
        <v>90</v>
      </c>
      <c r="F37" s="20"/>
      <c r="G37" s="20">
        <v>98</v>
      </c>
      <c r="H37" s="20"/>
      <c r="I37" s="20">
        <v>90</v>
      </c>
      <c r="J37" s="20"/>
      <c r="K37" s="20">
        <v>93</v>
      </c>
      <c r="L37" s="21"/>
      <c r="M37" s="19">
        <v>85</v>
      </c>
      <c r="N37" s="20"/>
      <c r="O37" s="20">
        <v>94</v>
      </c>
      <c r="P37" s="20"/>
      <c r="Q37" s="20">
        <v>92</v>
      </c>
      <c r="R37" s="20"/>
      <c r="S37" s="20">
        <v>90</v>
      </c>
      <c r="T37" s="3"/>
      <c r="U37" s="19">
        <v>90</v>
      </c>
      <c r="V37" s="20"/>
      <c r="W37" s="20">
        <v>85</v>
      </c>
      <c r="X37" s="20"/>
      <c r="Y37" s="20">
        <v>87</v>
      </c>
      <c r="Z37" s="20"/>
      <c r="AA37" s="20">
        <v>90</v>
      </c>
      <c r="AB37" s="21"/>
      <c r="AC37" s="1">
        <v>90</v>
      </c>
      <c r="AD37" s="20"/>
      <c r="AE37" s="20">
        <v>88</v>
      </c>
      <c r="AF37" s="20"/>
      <c r="AG37" s="20">
        <v>92</v>
      </c>
      <c r="AH37" s="20"/>
      <c r="AI37" s="20">
        <v>90</v>
      </c>
      <c r="AJ37" s="3"/>
      <c r="AK37" s="44">
        <f t="shared" si="4"/>
        <v>92.75</v>
      </c>
      <c r="AL37" s="45">
        <f t="shared" si="5"/>
        <v>90.25</v>
      </c>
      <c r="AM37" s="46">
        <f t="shared" si="6"/>
        <v>88</v>
      </c>
      <c r="AN37" s="47">
        <f t="shared" si="7"/>
        <v>90</v>
      </c>
      <c r="AO37" s="48">
        <f t="shared" si="8"/>
        <v>90.25</v>
      </c>
      <c r="AP37" s="37"/>
      <c r="AR37" s="54" t="str">
        <f t="shared" si="9"/>
        <v/>
      </c>
      <c r="AS37" s="20"/>
      <c r="AT37" s="56">
        <f t="shared" si="10"/>
        <v>0</v>
      </c>
      <c r="AU37" s="57" t="str">
        <f t="shared" si="11"/>
        <v/>
      </c>
      <c r="AV37" s="54" t="str">
        <f t="shared" si="12"/>
        <v/>
      </c>
      <c r="AW37" s="20"/>
      <c r="AX37" s="56">
        <f t="shared" si="13"/>
        <v>0</v>
      </c>
      <c r="AY37" s="60" t="str">
        <f t="shared" si="14"/>
        <v/>
      </c>
      <c r="AZ37" s="54" t="str">
        <f t="shared" si="15"/>
        <v/>
      </c>
      <c r="BA37" s="21"/>
      <c r="BB37" s="62">
        <f t="shared" si="16"/>
        <v>90.25</v>
      </c>
      <c r="BC37" s="64" t="str">
        <f t="shared" si="17"/>
        <v/>
      </c>
      <c r="BE37" s="20">
        <f t="shared" si="18"/>
        <v>88.75</v>
      </c>
      <c r="BF37" s="20">
        <f t="shared" si="19"/>
        <v>91.25</v>
      </c>
      <c r="BG37" s="89">
        <f t="shared" si="20"/>
        <v>90.25</v>
      </c>
      <c r="BH37" s="20">
        <f t="shared" si="21"/>
        <v>90.75</v>
      </c>
      <c r="BI37" s="20">
        <f t="shared" si="22"/>
        <v>90.25</v>
      </c>
    </row>
    <row r="38" spans="1:61" x14ac:dyDescent="0.2">
      <c r="A38" s="29">
        <v>36</v>
      </c>
      <c r="B38" s="88" t="s">
        <v>147</v>
      </c>
      <c r="C38" s="70" t="s">
        <v>101</v>
      </c>
      <c r="D38" s="70" t="s">
        <v>102</v>
      </c>
      <c r="E38" s="76">
        <v>80</v>
      </c>
      <c r="F38" s="77"/>
      <c r="G38" s="77">
        <v>82</v>
      </c>
      <c r="H38" s="77"/>
      <c r="I38" s="77">
        <v>80</v>
      </c>
      <c r="J38" s="77"/>
      <c r="K38" s="77">
        <v>85</v>
      </c>
      <c r="L38" s="78"/>
      <c r="M38" s="76">
        <v>80</v>
      </c>
      <c r="N38" s="77"/>
      <c r="O38" s="77">
        <v>80</v>
      </c>
      <c r="P38" s="77"/>
      <c r="Q38" s="77">
        <v>84</v>
      </c>
      <c r="R38" s="77"/>
      <c r="S38" s="77">
        <v>84</v>
      </c>
      <c r="T38" s="78"/>
      <c r="U38" s="76">
        <v>83</v>
      </c>
      <c r="V38" s="77"/>
      <c r="W38" s="77">
        <v>85</v>
      </c>
      <c r="X38" s="77"/>
      <c r="Y38" s="77">
        <v>88</v>
      </c>
      <c r="Z38" s="77"/>
      <c r="AA38" s="77">
        <v>85</v>
      </c>
      <c r="AB38" s="78"/>
      <c r="AC38" s="76">
        <v>87</v>
      </c>
      <c r="AD38" s="77"/>
      <c r="AE38" s="77">
        <v>85</v>
      </c>
      <c r="AF38" s="77"/>
      <c r="AG38" s="77">
        <v>89</v>
      </c>
      <c r="AH38" s="77"/>
      <c r="AI38" s="77">
        <v>85</v>
      </c>
      <c r="AJ38" s="78"/>
      <c r="AK38" s="79">
        <f t="shared" ref="AK38:AK42" si="23">SUMIF(E38, "&gt;=70") / 4 +SUMIF(G38, "&gt;=70") / 4 +SUMIF(I38, "&gt;=70") / 4 +SUMIF(K38, "&gt;=70") / 4 + SUMIF(F38, "&gt;1") / 4 + SUMIF(H38, "&gt;1") / 4 + SUMIF(J38, "&gt;1") / 4 + SUMIF(L38, "&gt;1") / 4</f>
        <v>81.75</v>
      </c>
      <c r="AL38" s="80">
        <f t="shared" ref="AL38:AL42" si="24">SUMIF(M38, "&gt;=70") / 4 +SUMIF(O38, "&gt;=70") / 4 +SUMIF(Q38, "&gt;=70") / 4 +SUMIF(S38, "&gt;=70") / 4 + SUMIF(N38, "&gt;1") / 4 + SUMIF(P38, "&gt;1") / 4 + SUMIF(R38, "&gt;1") / 4 + SUMIF(T38, "&gt;1") / 4</f>
        <v>82</v>
      </c>
      <c r="AM38" s="81">
        <f t="shared" ref="AM38:AM42" si="25">SUMIF(U38, "&gt;=70") / 4 +SUMIF(W38, "&gt;=70") / 4 +SUMIF(Y38, "&gt;=70") / 4 +SUMIF(AA38, "&gt;=70") / 4 + SUMIF(V38, "&gt;1") / 4 + SUMIF(X38, "&gt;1") / 4 + SUMIF(Z38, "&gt;1") / 4 + SUMIF(AB38, "&gt;1") / 4</f>
        <v>85.25</v>
      </c>
      <c r="AN38" s="82">
        <f t="shared" ref="AN38:AN42" si="26">SUMIF(AC38, "&gt;=65") / 4 +SUMIF(AE38, "&gt;=65") / 4 +SUMIF(AG38, "&gt;=65") / 4 +SUMIF(AI38, "&gt;=65") / 4 + SUMIF(AD38, "&gt;1") / 4 + SUMIF(AF38, "&gt;1") / 4 + SUMIF(AH38, "&gt;1") / 4 + SUMIF(AJ38, "&gt;1") / 4</f>
        <v>86.5</v>
      </c>
      <c r="AO38" s="83">
        <f t="shared" si="8"/>
        <v>83.875</v>
      </c>
      <c r="AP38" s="37"/>
      <c r="AR38" s="54" t="str">
        <f t="shared" si="9"/>
        <v/>
      </c>
      <c r="AS38" s="20"/>
      <c r="AT38" s="56">
        <f t="shared" si="10"/>
        <v>0</v>
      </c>
      <c r="AU38" s="57" t="str">
        <f t="shared" si="11"/>
        <v/>
      </c>
      <c r="AV38" s="54" t="str">
        <f t="shared" si="12"/>
        <v/>
      </c>
      <c r="AW38" s="20"/>
      <c r="AX38" s="56">
        <f t="shared" si="13"/>
        <v>0</v>
      </c>
      <c r="AY38" s="60" t="str">
        <f t="shared" si="14"/>
        <v/>
      </c>
      <c r="AZ38" s="54" t="str">
        <f t="shared" si="15"/>
        <v/>
      </c>
      <c r="BA38" s="21"/>
      <c r="BB38" s="62">
        <f t="shared" si="16"/>
        <v>83.875</v>
      </c>
      <c r="BC38" s="64" t="str">
        <f t="shared" si="17"/>
        <v/>
      </c>
      <c r="BE38" s="20">
        <f t="shared" si="18"/>
        <v>82.5</v>
      </c>
      <c r="BF38" s="20">
        <f t="shared" si="19"/>
        <v>83</v>
      </c>
      <c r="BG38" s="89">
        <f t="shared" si="20"/>
        <v>85.25</v>
      </c>
      <c r="BH38" s="20">
        <f t="shared" si="21"/>
        <v>84.75</v>
      </c>
      <c r="BI38" s="20">
        <f t="shared" si="22"/>
        <v>83.875</v>
      </c>
    </row>
    <row r="39" spans="1:61" x14ac:dyDescent="0.2">
      <c r="A39" s="29">
        <v>37</v>
      </c>
      <c r="B39" s="88" t="s">
        <v>148</v>
      </c>
      <c r="C39" s="69" t="s">
        <v>103</v>
      </c>
      <c r="D39" s="69" t="s">
        <v>104</v>
      </c>
      <c r="E39" s="76">
        <v>0</v>
      </c>
      <c r="F39" s="19">
        <v>60</v>
      </c>
      <c r="G39" s="19">
        <v>60</v>
      </c>
      <c r="H39" s="20"/>
      <c r="I39" s="20">
        <v>65</v>
      </c>
      <c r="J39" s="20"/>
      <c r="K39" s="20">
        <v>63</v>
      </c>
      <c r="L39" s="20"/>
      <c r="M39" s="20">
        <v>68</v>
      </c>
      <c r="N39" s="19">
        <v>60</v>
      </c>
      <c r="O39" s="19">
        <v>60</v>
      </c>
      <c r="P39" s="20"/>
      <c r="Q39" s="20">
        <v>65</v>
      </c>
      <c r="R39" s="20"/>
      <c r="S39" s="20">
        <v>63</v>
      </c>
      <c r="T39" s="20"/>
      <c r="U39" s="20">
        <v>68</v>
      </c>
      <c r="V39" s="19">
        <v>60</v>
      </c>
      <c r="W39" s="19">
        <v>60</v>
      </c>
      <c r="X39" s="20"/>
      <c r="Y39" s="20">
        <v>65</v>
      </c>
      <c r="Z39" s="20"/>
      <c r="AA39" s="20">
        <v>63</v>
      </c>
      <c r="AB39" s="20"/>
      <c r="AC39" s="20">
        <v>68</v>
      </c>
      <c r="AD39" s="19">
        <v>60</v>
      </c>
      <c r="AE39" s="19">
        <v>60</v>
      </c>
      <c r="AF39" s="20"/>
      <c r="AG39" s="20">
        <v>65</v>
      </c>
      <c r="AH39" s="20"/>
      <c r="AI39" s="20">
        <v>63</v>
      </c>
      <c r="AJ39" s="20"/>
      <c r="AK39" s="20">
        <v>68</v>
      </c>
      <c r="AL39" s="80">
        <f t="shared" si="24"/>
        <v>15</v>
      </c>
      <c r="AM39" s="81">
        <f t="shared" si="25"/>
        <v>15</v>
      </c>
      <c r="AN39" s="82">
        <f t="shared" si="26"/>
        <v>48.25</v>
      </c>
      <c r="AO39" s="83">
        <f t="shared" si="8"/>
        <v>36.5625</v>
      </c>
      <c r="AP39" s="37"/>
      <c r="AR39" s="54">
        <f t="shared" si="9"/>
        <v>18.28125</v>
      </c>
      <c r="AS39" s="20"/>
      <c r="AT39" s="56">
        <f t="shared" si="10"/>
        <v>0</v>
      </c>
      <c r="AU39" s="57" t="str">
        <f t="shared" si="11"/>
        <v/>
      </c>
      <c r="AV39" s="54" t="str">
        <f t="shared" si="12"/>
        <v/>
      </c>
      <c r="AW39" s="20"/>
      <c r="AX39" s="56">
        <f t="shared" si="13"/>
        <v>0</v>
      </c>
      <c r="AY39" s="60" t="str">
        <f t="shared" si="14"/>
        <v/>
      </c>
      <c r="AZ39" s="54" t="str">
        <f t="shared" si="15"/>
        <v/>
      </c>
      <c r="BA39" s="21"/>
      <c r="BB39" s="62" t="str">
        <f t="shared" si="16"/>
        <v/>
      </c>
      <c r="BC39" s="64">
        <f t="shared" si="17"/>
        <v>36.5625</v>
      </c>
      <c r="BE39" s="20">
        <f t="shared" si="18"/>
        <v>51</v>
      </c>
      <c r="BF39" s="20">
        <f t="shared" si="19"/>
        <v>60</v>
      </c>
      <c r="BG39" s="89">
        <f t="shared" si="20"/>
        <v>65</v>
      </c>
      <c r="BH39" s="20">
        <f t="shared" si="21"/>
        <v>63</v>
      </c>
      <c r="BI39" s="20">
        <f t="shared" si="22"/>
        <v>59.75</v>
      </c>
    </row>
    <row r="40" spans="1:61" x14ac:dyDescent="0.2">
      <c r="A40" s="29">
        <v>38</v>
      </c>
      <c r="B40" s="88" t="s">
        <v>149</v>
      </c>
      <c r="C40" s="70" t="s">
        <v>105</v>
      </c>
      <c r="D40" s="70" t="s">
        <v>106</v>
      </c>
      <c r="E40" s="76">
        <v>80</v>
      </c>
      <c r="F40" s="77"/>
      <c r="G40" s="77">
        <v>84</v>
      </c>
      <c r="H40" s="77"/>
      <c r="I40" s="77">
        <v>82</v>
      </c>
      <c r="J40" s="77"/>
      <c r="K40" s="77">
        <v>80</v>
      </c>
      <c r="L40" s="78"/>
      <c r="M40" s="76">
        <v>78</v>
      </c>
      <c r="N40" s="77"/>
      <c r="O40" s="77">
        <v>77</v>
      </c>
      <c r="P40" s="77"/>
      <c r="Q40" s="77">
        <v>76</v>
      </c>
      <c r="R40" s="77"/>
      <c r="S40" s="77">
        <v>79</v>
      </c>
      <c r="T40" s="78"/>
      <c r="U40" s="76">
        <v>80</v>
      </c>
      <c r="V40" s="77"/>
      <c r="W40" s="77">
        <v>80</v>
      </c>
      <c r="X40" s="77"/>
      <c r="Y40" s="77">
        <v>80</v>
      </c>
      <c r="Z40" s="77"/>
      <c r="AA40" s="77">
        <v>84</v>
      </c>
      <c r="AB40" s="78"/>
      <c r="AC40" s="76">
        <v>82</v>
      </c>
      <c r="AD40" s="77"/>
      <c r="AE40" s="77">
        <v>80</v>
      </c>
      <c r="AF40" s="77"/>
      <c r="AG40" s="77">
        <v>80</v>
      </c>
      <c r="AH40" s="77"/>
      <c r="AI40" s="77">
        <v>82</v>
      </c>
      <c r="AJ40" s="78"/>
      <c r="AK40" s="79">
        <f t="shared" si="23"/>
        <v>81.5</v>
      </c>
      <c r="AL40" s="80">
        <f t="shared" si="24"/>
        <v>77.5</v>
      </c>
      <c r="AM40" s="81">
        <f t="shared" si="25"/>
        <v>81</v>
      </c>
      <c r="AN40" s="82">
        <f t="shared" si="26"/>
        <v>81</v>
      </c>
      <c r="AO40" s="83">
        <f t="shared" si="8"/>
        <v>80.25</v>
      </c>
      <c r="AP40" s="37"/>
      <c r="AR40" s="54" t="str">
        <f t="shared" si="9"/>
        <v/>
      </c>
      <c r="AS40" s="20"/>
      <c r="AT40" s="56">
        <f t="shared" si="10"/>
        <v>0</v>
      </c>
      <c r="AU40" s="57" t="str">
        <f t="shared" si="11"/>
        <v/>
      </c>
      <c r="AV40" s="54" t="str">
        <f t="shared" si="12"/>
        <v/>
      </c>
      <c r="AW40" s="20"/>
      <c r="AX40" s="56">
        <f t="shared" si="13"/>
        <v>0</v>
      </c>
      <c r="AY40" s="60" t="str">
        <f t="shared" si="14"/>
        <v/>
      </c>
      <c r="AZ40" s="54" t="str">
        <f t="shared" si="15"/>
        <v/>
      </c>
      <c r="BA40" s="21"/>
      <c r="BB40" s="62">
        <f t="shared" si="16"/>
        <v>80.25</v>
      </c>
      <c r="BC40" s="64" t="str">
        <f t="shared" si="17"/>
        <v/>
      </c>
      <c r="BE40" s="20">
        <f t="shared" si="18"/>
        <v>80</v>
      </c>
      <c r="BF40" s="20">
        <f t="shared" si="19"/>
        <v>80.25</v>
      </c>
      <c r="BG40" s="89">
        <f t="shared" si="20"/>
        <v>79.5</v>
      </c>
      <c r="BH40" s="20">
        <f t="shared" si="21"/>
        <v>81.25</v>
      </c>
      <c r="BI40" s="20">
        <f t="shared" si="22"/>
        <v>80.25</v>
      </c>
    </row>
    <row r="41" spans="1:61" x14ac:dyDescent="0.2">
      <c r="A41" s="29">
        <v>39</v>
      </c>
      <c r="B41" s="88" t="s">
        <v>150</v>
      </c>
      <c r="C41" s="69" t="s">
        <v>107</v>
      </c>
      <c r="D41" s="69" t="s">
        <v>108</v>
      </c>
      <c r="E41" s="76">
        <v>81</v>
      </c>
      <c r="F41" s="77"/>
      <c r="G41" s="77">
        <v>75</v>
      </c>
      <c r="H41" s="77"/>
      <c r="I41" s="77">
        <v>77</v>
      </c>
      <c r="J41" s="77"/>
      <c r="K41" s="77">
        <v>80</v>
      </c>
      <c r="L41" s="78"/>
      <c r="M41" s="76">
        <v>85</v>
      </c>
      <c r="N41" s="77"/>
      <c r="O41" s="77">
        <v>70</v>
      </c>
      <c r="P41" s="77"/>
      <c r="Q41" s="77">
        <v>78</v>
      </c>
      <c r="R41" s="77"/>
      <c r="S41" s="77">
        <v>70</v>
      </c>
      <c r="T41" s="78"/>
      <c r="U41" s="76">
        <v>87</v>
      </c>
      <c r="V41" s="77"/>
      <c r="W41" s="77">
        <v>75</v>
      </c>
      <c r="X41" s="77"/>
      <c r="Y41" s="77">
        <v>80</v>
      </c>
      <c r="Z41" s="77"/>
      <c r="AA41" s="77">
        <v>82</v>
      </c>
      <c r="AB41" s="78"/>
      <c r="AC41" s="76">
        <v>80</v>
      </c>
      <c r="AD41" s="77"/>
      <c r="AE41" s="77">
        <v>75</v>
      </c>
      <c r="AF41" s="77"/>
      <c r="AG41" s="77">
        <v>85</v>
      </c>
      <c r="AH41" s="77"/>
      <c r="AI41" s="77">
        <v>84</v>
      </c>
      <c r="AJ41" s="78"/>
      <c r="AK41" s="79">
        <f t="shared" si="23"/>
        <v>78.25</v>
      </c>
      <c r="AL41" s="80">
        <f t="shared" si="24"/>
        <v>75.75</v>
      </c>
      <c r="AM41" s="81">
        <f t="shared" si="25"/>
        <v>81</v>
      </c>
      <c r="AN41" s="82">
        <f t="shared" si="26"/>
        <v>81</v>
      </c>
      <c r="AO41" s="83">
        <f t="shared" si="8"/>
        <v>79</v>
      </c>
      <c r="AP41" s="37"/>
      <c r="AR41" s="54" t="str">
        <f t="shared" si="9"/>
        <v/>
      </c>
      <c r="AS41" s="20"/>
      <c r="AT41" s="56">
        <f t="shared" si="10"/>
        <v>0</v>
      </c>
      <c r="AU41" s="57" t="str">
        <f t="shared" si="11"/>
        <v/>
      </c>
      <c r="AV41" s="54" t="str">
        <f t="shared" si="12"/>
        <v/>
      </c>
      <c r="AW41" s="20"/>
      <c r="AX41" s="56">
        <f t="shared" si="13"/>
        <v>0</v>
      </c>
      <c r="AY41" s="60" t="str">
        <f t="shared" si="14"/>
        <v/>
      </c>
      <c r="AZ41" s="54" t="str">
        <f t="shared" si="15"/>
        <v/>
      </c>
      <c r="BA41" s="21"/>
      <c r="BB41" s="62">
        <f t="shared" si="16"/>
        <v>79</v>
      </c>
      <c r="BC41" s="64" t="str">
        <f t="shared" si="17"/>
        <v/>
      </c>
      <c r="BE41" s="20">
        <f t="shared" si="18"/>
        <v>83.25</v>
      </c>
      <c r="BF41" s="20">
        <f t="shared" si="19"/>
        <v>73.75</v>
      </c>
      <c r="BG41" s="89">
        <f t="shared" si="20"/>
        <v>80</v>
      </c>
      <c r="BH41" s="20">
        <f t="shared" si="21"/>
        <v>79</v>
      </c>
      <c r="BI41" s="20">
        <f t="shared" si="22"/>
        <v>79</v>
      </c>
    </row>
    <row r="42" spans="1:61" x14ac:dyDescent="0.2">
      <c r="A42" s="29">
        <v>40</v>
      </c>
      <c r="B42" s="88" t="s">
        <v>151</v>
      </c>
      <c r="C42" s="70" t="s">
        <v>109</v>
      </c>
      <c r="D42" s="70" t="s">
        <v>110</v>
      </c>
      <c r="E42" s="76">
        <v>0</v>
      </c>
      <c r="F42" s="19">
        <v>60</v>
      </c>
      <c r="G42" s="19">
        <v>60</v>
      </c>
      <c r="H42" s="20"/>
      <c r="I42" s="20">
        <v>65</v>
      </c>
      <c r="J42" s="20"/>
      <c r="K42" s="20">
        <v>63</v>
      </c>
      <c r="L42" s="20"/>
      <c r="M42" s="20">
        <v>68</v>
      </c>
      <c r="N42" s="19">
        <v>60</v>
      </c>
      <c r="O42" s="19">
        <v>60</v>
      </c>
      <c r="P42" s="20"/>
      <c r="Q42" s="20">
        <v>65</v>
      </c>
      <c r="R42" s="20"/>
      <c r="S42" s="20">
        <v>63</v>
      </c>
      <c r="T42" s="20"/>
      <c r="U42" s="20">
        <v>68</v>
      </c>
      <c r="V42" s="19">
        <v>60</v>
      </c>
      <c r="W42" s="19">
        <v>60</v>
      </c>
      <c r="X42" s="20"/>
      <c r="Y42" s="20">
        <v>65</v>
      </c>
      <c r="Z42" s="20"/>
      <c r="AA42" s="20">
        <v>63</v>
      </c>
      <c r="AB42" s="20"/>
      <c r="AC42" s="20">
        <v>68</v>
      </c>
      <c r="AD42" s="19">
        <v>60</v>
      </c>
      <c r="AE42" s="19">
        <v>60</v>
      </c>
      <c r="AF42" s="20"/>
      <c r="AG42" s="20">
        <v>65</v>
      </c>
      <c r="AH42" s="20"/>
      <c r="AI42" s="20">
        <v>63</v>
      </c>
      <c r="AJ42" s="20"/>
      <c r="AK42" s="20">
        <v>68</v>
      </c>
      <c r="AL42" s="80">
        <f t="shared" si="24"/>
        <v>15</v>
      </c>
      <c r="AM42" s="81">
        <f t="shared" si="25"/>
        <v>15</v>
      </c>
      <c r="AN42" s="82">
        <f t="shared" si="26"/>
        <v>48.25</v>
      </c>
      <c r="AO42" s="83">
        <f t="shared" si="8"/>
        <v>36.5625</v>
      </c>
      <c r="AP42" s="37"/>
      <c r="AR42" s="54">
        <f t="shared" si="9"/>
        <v>18.28125</v>
      </c>
      <c r="AS42" s="20"/>
      <c r="AT42" s="56">
        <f t="shared" si="10"/>
        <v>0</v>
      </c>
      <c r="AU42" s="57" t="str">
        <f t="shared" si="11"/>
        <v/>
      </c>
      <c r="AV42" s="54" t="str">
        <f t="shared" si="12"/>
        <v/>
      </c>
      <c r="AW42" s="20"/>
      <c r="AX42" s="56">
        <f t="shared" si="13"/>
        <v>0</v>
      </c>
      <c r="AY42" s="60" t="str">
        <f t="shared" si="14"/>
        <v/>
      </c>
      <c r="AZ42" s="54" t="str">
        <f t="shared" si="15"/>
        <v/>
      </c>
      <c r="BA42" s="21"/>
      <c r="BB42" s="62" t="str">
        <f t="shared" si="16"/>
        <v/>
      </c>
      <c r="BC42" s="64">
        <f t="shared" si="17"/>
        <v>36.5625</v>
      </c>
      <c r="BE42" s="20">
        <f t="shared" si="18"/>
        <v>51</v>
      </c>
      <c r="BF42" s="20">
        <f t="shared" si="19"/>
        <v>60</v>
      </c>
      <c r="BG42" s="89">
        <f t="shared" si="20"/>
        <v>65</v>
      </c>
      <c r="BH42" s="20">
        <f t="shared" si="21"/>
        <v>63</v>
      </c>
      <c r="BI42" s="20">
        <f t="shared" si="22"/>
        <v>59.75</v>
      </c>
    </row>
    <row r="43" spans="1:61" x14ac:dyDescent="0.2">
      <c r="A43" s="29">
        <v>41</v>
      </c>
      <c r="B43" s="88" t="s">
        <v>152</v>
      </c>
      <c r="C43" s="67"/>
      <c r="D43" s="67"/>
      <c r="E43" s="19"/>
      <c r="F43" s="20"/>
      <c r="G43" s="20"/>
      <c r="H43" s="20"/>
      <c r="I43" s="20"/>
      <c r="J43" s="20"/>
      <c r="K43" s="20"/>
      <c r="L43" s="21"/>
      <c r="M43" s="19"/>
      <c r="N43" s="20"/>
      <c r="O43" s="20"/>
      <c r="P43" s="20"/>
      <c r="Q43" s="20"/>
      <c r="R43" s="20"/>
      <c r="S43" s="20"/>
      <c r="T43" s="3"/>
      <c r="U43" s="19"/>
      <c r="V43" s="20"/>
      <c r="W43" s="20"/>
      <c r="X43" s="20"/>
      <c r="Y43" s="20"/>
      <c r="Z43" s="20"/>
      <c r="AA43" s="20"/>
      <c r="AB43" s="21"/>
      <c r="AC43" s="1"/>
      <c r="AD43" s="20"/>
      <c r="AE43" s="20"/>
      <c r="AF43" s="20"/>
      <c r="AG43" s="20"/>
      <c r="AH43" s="20"/>
      <c r="AI43" s="20"/>
      <c r="AJ43" s="3"/>
      <c r="AK43" s="44">
        <f t="shared" si="4"/>
        <v>0</v>
      </c>
      <c r="AL43" s="45">
        <f t="shared" si="5"/>
        <v>0</v>
      </c>
      <c r="AM43" s="46">
        <f t="shared" si="6"/>
        <v>0</v>
      </c>
      <c r="AN43" s="47">
        <f t="shared" si="7"/>
        <v>0</v>
      </c>
      <c r="AO43" s="48">
        <f t="shared" si="8"/>
        <v>0</v>
      </c>
      <c r="AP43" s="37"/>
      <c r="AR43" s="54">
        <f t="shared" si="9"/>
        <v>0</v>
      </c>
      <c r="AS43" s="20"/>
      <c r="AT43" s="56">
        <f t="shared" si="10"/>
        <v>0</v>
      </c>
      <c r="AU43" s="57" t="str">
        <f t="shared" si="11"/>
        <v/>
      </c>
      <c r="AV43" s="54" t="str">
        <f t="shared" si="12"/>
        <v/>
      </c>
      <c r="AW43" s="20"/>
      <c r="AX43" s="56">
        <f t="shared" si="13"/>
        <v>0</v>
      </c>
      <c r="AY43" s="60" t="str">
        <f t="shared" si="14"/>
        <v/>
      </c>
      <c r="AZ43" s="54" t="str">
        <f t="shared" si="15"/>
        <v/>
      </c>
      <c r="BA43" s="21"/>
      <c r="BB43" s="62" t="str">
        <f t="shared" si="16"/>
        <v/>
      </c>
      <c r="BC43" s="64">
        <f t="shared" si="17"/>
        <v>0</v>
      </c>
      <c r="BE43" s="20">
        <f t="shared" si="18"/>
        <v>0</v>
      </c>
      <c r="BF43" s="20">
        <f t="shared" si="19"/>
        <v>0</v>
      </c>
      <c r="BG43" s="89">
        <f t="shared" si="20"/>
        <v>0</v>
      </c>
      <c r="BH43" s="20">
        <f t="shared" si="21"/>
        <v>0</v>
      </c>
      <c r="BI43" s="20">
        <f t="shared" si="22"/>
        <v>0</v>
      </c>
    </row>
    <row r="44" spans="1:61" x14ac:dyDescent="0.2">
      <c r="A44" s="29">
        <v>42</v>
      </c>
      <c r="B44" s="88" t="s">
        <v>153</v>
      </c>
      <c r="C44" s="68"/>
      <c r="D44" s="68"/>
      <c r="E44" s="19"/>
      <c r="F44" s="20"/>
      <c r="G44" s="20"/>
      <c r="H44" s="20"/>
      <c r="I44" s="20"/>
      <c r="J44" s="20"/>
      <c r="K44" s="20"/>
      <c r="L44" s="21"/>
      <c r="M44" s="19"/>
      <c r="N44" s="20"/>
      <c r="O44" s="20"/>
      <c r="P44" s="20"/>
      <c r="Q44" s="20"/>
      <c r="R44" s="20"/>
      <c r="S44" s="20"/>
      <c r="T44" s="3"/>
      <c r="U44" s="19"/>
      <c r="V44" s="20"/>
      <c r="W44" s="20"/>
      <c r="X44" s="20"/>
      <c r="Y44" s="20"/>
      <c r="Z44" s="20"/>
      <c r="AA44" s="20"/>
      <c r="AB44" s="21"/>
      <c r="AC44" s="1"/>
      <c r="AD44" s="20"/>
      <c r="AE44" s="20"/>
      <c r="AF44" s="20"/>
      <c r="AG44" s="20"/>
      <c r="AH44" s="20"/>
      <c r="AI44" s="20"/>
      <c r="AJ44" s="3"/>
      <c r="AK44" s="44">
        <f t="shared" si="4"/>
        <v>0</v>
      </c>
      <c r="AL44" s="45">
        <f t="shared" si="5"/>
        <v>0</v>
      </c>
      <c r="AM44" s="46">
        <f t="shared" si="6"/>
        <v>0</v>
      </c>
      <c r="AN44" s="47">
        <f t="shared" si="7"/>
        <v>0</v>
      </c>
      <c r="AO44" s="48">
        <f t="shared" si="8"/>
        <v>0</v>
      </c>
      <c r="AP44" s="37"/>
      <c r="AR44" s="54">
        <f t="shared" si="9"/>
        <v>0</v>
      </c>
      <c r="AS44" s="20"/>
      <c r="AT44" s="56">
        <f t="shared" si="10"/>
        <v>0</v>
      </c>
      <c r="AU44" s="57" t="str">
        <f t="shared" si="11"/>
        <v/>
      </c>
      <c r="AV44" s="54" t="str">
        <f t="shared" si="12"/>
        <v/>
      </c>
      <c r="AW44" s="20"/>
      <c r="AX44" s="56">
        <f t="shared" si="13"/>
        <v>0</v>
      </c>
      <c r="AY44" s="60" t="str">
        <f t="shared" si="14"/>
        <v/>
      </c>
      <c r="AZ44" s="54" t="str">
        <f t="shared" si="15"/>
        <v/>
      </c>
      <c r="BA44" s="21"/>
      <c r="BB44" s="62" t="str">
        <f t="shared" si="16"/>
        <v/>
      </c>
      <c r="BC44" s="64">
        <f t="shared" si="17"/>
        <v>0</v>
      </c>
      <c r="BE44" s="20">
        <f t="shared" si="18"/>
        <v>0</v>
      </c>
      <c r="BF44" s="20">
        <f t="shared" si="19"/>
        <v>0</v>
      </c>
      <c r="BG44" s="89">
        <f t="shared" si="20"/>
        <v>0</v>
      </c>
      <c r="BH44" s="20">
        <f t="shared" si="21"/>
        <v>0</v>
      </c>
      <c r="BI44" s="20">
        <f t="shared" si="22"/>
        <v>0</v>
      </c>
    </row>
    <row r="45" spans="1:61" x14ac:dyDescent="0.2">
      <c r="A45" s="29">
        <v>43</v>
      </c>
      <c r="B45" s="88" t="s">
        <v>154</v>
      </c>
      <c r="C45" s="22"/>
      <c r="D45" s="24"/>
      <c r="E45" s="19"/>
      <c r="F45" s="20"/>
      <c r="G45" s="20"/>
      <c r="H45" s="20"/>
      <c r="I45" s="20"/>
      <c r="J45" s="20"/>
      <c r="K45" s="20"/>
      <c r="L45" s="21"/>
      <c r="M45" s="19"/>
      <c r="N45" s="20"/>
      <c r="O45" s="20"/>
      <c r="P45" s="20"/>
      <c r="Q45" s="20"/>
      <c r="R45" s="20"/>
      <c r="S45" s="20"/>
      <c r="T45" s="3"/>
      <c r="U45" s="19"/>
      <c r="V45" s="20"/>
      <c r="W45" s="20"/>
      <c r="X45" s="20"/>
      <c r="Y45" s="20"/>
      <c r="Z45" s="20"/>
      <c r="AA45" s="20"/>
      <c r="AB45" s="21"/>
      <c r="AC45" s="1"/>
      <c r="AD45" s="20"/>
      <c r="AE45" s="20"/>
      <c r="AF45" s="20"/>
      <c r="AG45" s="20"/>
      <c r="AH45" s="20"/>
      <c r="AI45" s="20"/>
      <c r="AJ45" s="3"/>
      <c r="AK45" s="44">
        <f t="shared" si="4"/>
        <v>0</v>
      </c>
      <c r="AL45" s="45">
        <f t="shared" si="5"/>
        <v>0</v>
      </c>
      <c r="AM45" s="46">
        <f t="shared" si="6"/>
        <v>0</v>
      </c>
      <c r="AN45" s="47">
        <f t="shared" si="7"/>
        <v>0</v>
      </c>
      <c r="AO45" s="48">
        <f t="shared" si="8"/>
        <v>0</v>
      </c>
      <c r="AP45" s="37"/>
      <c r="AR45" s="54">
        <f t="shared" si="9"/>
        <v>0</v>
      </c>
      <c r="AS45" s="20"/>
      <c r="AT45" s="56">
        <f t="shared" si="10"/>
        <v>0</v>
      </c>
      <c r="AU45" s="57" t="str">
        <f t="shared" si="11"/>
        <v/>
      </c>
      <c r="AV45" s="54" t="str">
        <f t="shared" si="12"/>
        <v/>
      </c>
      <c r="AW45" s="20"/>
      <c r="AX45" s="56">
        <f t="shared" si="13"/>
        <v>0</v>
      </c>
      <c r="AY45" s="60" t="str">
        <f t="shared" si="14"/>
        <v/>
      </c>
      <c r="AZ45" s="54" t="str">
        <f t="shared" si="15"/>
        <v/>
      </c>
      <c r="BA45" s="21"/>
      <c r="BB45" s="62" t="str">
        <f t="shared" si="16"/>
        <v/>
      </c>
      <c r="BC45" s="64">
        <f t="shared" si="17"/>
        <v>0</v>
      </c>
      <c r="BE45" s="20">
        <f t="shared" si="18"/>
        <v>0</v>
      </c>
      <c r="BF45" s="20">
        <f t="shared" si="19"/>
        <v>0</v>
      </c>
      <c r="BG45" s="89">
        <f t="shared" si="20"/>
        <v>0</v>
      </c>
      <c r="BH45" s="20">
        <f t="shared" si="21"/>
        <v>0</v>
      </c>
      <c r="BI45" s="20">
        <f t="shared" si="22"/>
        <v>0</v>
      </c>
    </row>
    <row r="46" spans="1:61" x14ac:dyDescent="0.2">
      <c r="A46" s="29">
        <v>44</v>
      </c>
      <c r="B46" s="88" t="s">
        <v>155</v>
      </c>
      <c r="C46" s="22"/>
      <c r="D46" s="24"/>
      <c r="E46" s="19"/>
      <c r="F46" s="20"/>
      <c r="G46" s="20"/>
      <c r="H46" s="20"/>
      <c r="I46" s="20"/>
      <c r="J46" s="20"/>
      <c r="K46" s="20"/>
      <c r="L46" s="21"/>
      <c r="M46" s="19"/>
      <c r="N46" s="20"/>
      <c r="O46" s="20"/>
      <c r="P46" s="20"/>
      <c r="Q46" s="20"/>
      <c r="R46" s="20"/>
      <c r="S46" s="20"/>
      <c r="T46" s="3"/>
      <c r="U46" s="19"/>
      <c r="V46" s="20"/>
      <c r="W46" s="20"/>
      <c r="X46" s="20"/>
      <c r="Y46" s="20"/>
      <c r="Z46" s="20"/>
      <c r="AA46" s="20"/>
      <c r="AB46" s="21"/>
      <c r="AC46" s="1"/>
      <c r="AD46" s="20"/>
      <c r="AE46" s="20"/>
      <c r="AF46" s="20"/>
      <c r="AG46" s="20"/>
      <c r="AH46" s="20"/>
      <c r="AI46" s="20"/>
      <c r="AJ46" s="3"/>
      <c r="AK46" s="44">
        <f t="shared" si="4"/>
        <v>0</v>
      </c>
      <c r="AL46" s="45">
        <f t="shared" si="5"/>
        <v>0</v>
      </c>
      <c r="AM46" s="46">
        <f t="shared" si="6"/>
        <v>0</v>
      </c>
      <c r="AN46" s="47">
        <f t="shared" si="7"/>
        <v>0</v>
      </c>
      <c r="AO46" s="48">
        <f t="shared" si="8"/>
        <v>0</v>
      </c>
      <c r="AP46" s="37"/>
      <c r="AR46" s="54">
        <f t="shared" si="9"/>
        <v>0</v>
      </c>
      <c r="AS46" s="20"/>
      <c r="AT46" s="56">
        <f t="shared" si="10"/>
        <v>0</v>
      </c>
      <c r="AU46" s="57" t="str">
        <f t="shared" si="11"/>
        <v/>
      </c>
      <c r="AV46" s="54" t="str">
        <f t="shared" si="12"/>
        <v/>
      </c>
      <c r="AW46" s="20"/>
      <c r="AX46" s="56">
        <f t="shared" si="13"/>
        <v>0</v>
      </c>
      <c r="AY46" s="60" t="str">
        <f t="shared" si="14"/>
        <v/>
      </c>
      <c r="AZ46" s="54" t="str">
        <f t="shared" si="15"/>
        <v/>
      </c>
      <c r="BA46" s="21"/>
      <c r="BB46" s="62" t="str">
        <f t="shared" si="16"/>
        <v/>
      </c>
      <c r="BC46" s="64">
        <f t="shared" si="17"/>
        <v>0</v>
      </c>
      <c r="BE46" s="20">
        <f t="shared" si="18"/>
        <v>0</v>
      </c>
      <c r="BF46" s="20">
        <f t="shared" si="19"/>
        <v>0</v>
      </c>
      <c r="BG46" s="89">
        <f t="shared" si="20"/>
        <v>0</v>
      </c>
      <c r="BH46" s="20">
        <f t="shared" si="21"/>
        <v>0</v>
      </c>
      <c r="BI46" s="20">
        <f t="shared" si="22"/>
        <v>0</v>
      </c>
    </row>
    <row r="47" spans="1:61" ht="16" thickBot="1" x14ac:dyDescent="0.25">
      <c r="A47" s="30">
        <v>45</v>
      </c>
      <c r="B47" s="88" t="s">
        <v>156</v>
      </c>
      <c r="C47" s="23"/>
      <c r="D47" s="25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4"/>
      <c r="U47" s="31"/>
      <c r="V47" s="32"/>
      <c r="W47" s="32"/>
      <c r="X47" s="32"/>
      <c r="Y47" s="32"/>
      <c r="Z47" s="32"/>
      <c r="AA47" s="32"/>
      <c r="AB47" s="33"/>
      <c r="AC47" s="5"/>
      <c r="AD47" s="32"/>
      <c r="AE47" s="32"/>
      <c r="AF47" s="32"/>
      <c r="AG47" s="32"/>
      <c r="AH47" s="32"/>
      <c r="AI47" s="32"/>
      <c r="AJ47" s="4"/>
      <c r="AK47" s="49">
        <f t="shared" si="4"/>
        <v>0</v>
      </c>
      <c r="AL47" s="50">
        <f t="shared" si="5"/>
        <v>0</v>
      </c>
      <c r="AM47" s="51">
        <f t="shared" si="6"/>
        <v>0</v>
      </c>
      <c r="AN47" s="52">
        <f t="shared" si="7"/>
        <v>0</v>
      </c>
      <c r="AO47" s="53">
        <f t="shared" si="8"/>
        <v>0</v>
      </c>
      <c r="AP47" s="38"/>
      <c r="AR47" s="55">
        <f t="shared" si="9"/>
        <v>0</v>
      </c>
      <c r="AS47" s="32"/>
      <c r="AT47" s="58">
        <f t="shared" si="10"/>
        <v>0</v>
      </c>
      <c r="AU47" s="59" t="str">
        <f t="shared" si="11"/>
        <v/>
      </c>
      <c r="AV47" s="55" t="str">
        <f t="shared" si="12"/>
        <v/>
      </c>
      <c r="AW47" s="32"/>
      <c r="AX47" s="58">
        <f t="shared" si="13"/>
        <v>0</v>
      </c>
      <c r="AY47" s="61" t="str">
        <f t="shared" si="14"/>
        <v/>
      </c>
      <c r="AZ47" s="55" t="str">
        <f t="shared" si="15"/>
        <v/>
      </c>
      <c r="BA47" s="33"/>
      <c r="BB47" s="65" t="str">
        <f t="shared" si="16"/>
        <v/>
      </c>
      <c r="BC47" s="66">
        <f t="shared" si="17"/>
        <v>0</v>
      </c>
      <c r="BE47" s="20">
        <f t="shared" si="18"/>
        <v>0</v>
      </c>
      <c r="BF47" s="20">
        <f t="shared" si="19"/>
        <v>0</v>
      </c>
      <c r="BG47" s="89">
        <f t="shared" si="20"/>
        <v>0</v>
      </c>
      <c r="BH47" s="20">
        <f t="shared" si="21"/>
        <v>0</v>
      </c>
      <c r="BI47" s="20">
        <f t="shared" si="22"/>
        <v>0</v>
      </c>
    </row>
  </sheetData>
  <mergeCells count="26">
    <mergeCell ref="AN1:AN2"/>
    <mergeCell ref="AR1:AR2"/>
    <mergeCell ref="AS1:AS2"/>
    <mergeCell ref="U1:AB1"/>
    <mergeCell ref="AC1:AJ1"/>
    <mergeCell ref="AK1:AK2"/>
    <mergeCell ref="AL1:AL2"/>
    <mergeCell ref="AM1:AM2"/>
    <mergeCell ref="AO1:AO2"/>
    <mergeCell ref="AP1:AP2"/>
    <mergeCell ref="A1:A2"/>
    <mergeCell ref="C1:C2"/>
    <mergeCell ref="D1:D2"/>
    <mergeCell ref="E1:L1"/>
    <mergeCell ref="M1:T1"/>
    <mergeCell ref="B1:B2"/>
    <mergeCell ref="AZ1:AZ2"/>
    <mergeCell ref="BA1:BA2"/>
    <mergeCell ref="BB1:BB2"/>
    <mergeCell ref="BC1:BC2"/>
    <mergeCell ref="AT1:AT2"/>
    <mergeCell ref="AU1:AU2"/>
    <mergeCell ref="AV1:AV2"/>
    <mergeCell ref="AW1:AW2"/>
    <mergeCell ref="AX1:AX2"/>
    <mergeCell ref="AY1:AY2"/>
  </mergeCells>
  <conditionalFormatting sqref="E3">
    <cfRule type="cellIs" dxfId="411" priority="45" operator="lessThan">
      <formula>70</formula>
    </cfRule>
  </conditionalFormatting>
  <conditionalFormatting sqref="E38:AO38 E40:AO41 E39 AL39:AO39 E42 AL42:AO42">
    <cfRule type="cellIs" dxfId="410" priority="43" operator="lessThan">
      <formula>70</formula>
    </cfRule>
  </conditionalFormatting>
  <conditionalFormatting sqref="G4:L11 G13:L15 G28:L33 G17:L26">
    <cfRule type="cellIs" dxfId="409" priority="48" operator="lessThan">
      <formula>70</formula>
    </cfRule>
  </conditionalFormatting>
  <conditionalFormatting sqref="O4:AB11 O13:AB15 O28:AB33 O17:AB26">
    <cfRule type="cellIs" dxfId="408" priority="47" operator="lessThan">
      <formula>70</formula>
    </cfRule>
  </conditionalFormatting>
  <conditionalFormatting sqref="AE4:AJ11 AE13:AJ15 AE28:AJ33 AE17:AJ26">
    <cfRule type="cellIs" dxfId="407" priority="46" operator="lessThan">
      <formula>70</formula>
    </cfRule>
  </conditionalFormatting>
  <conditionalFormatting sqref="AK4:AP11 E4:F11 M4:N11 AC4:AD11 E34:AJ37 AP38:AP42 E43:AP47 AL3:AP3 AC13:AD15 M13:N15 E13:F15 E12 AK13:AP15 AL12:AP12 AK17:AP26 AL16:AP16 E16 AC28:AD33 M28:N33 E28:F33 E27 AK28:AP37 AL27:AP27 E17:F26 M17:N26 AC17:AD26">
    <cfRule type="cellIs" dxfId="406" priority="51" operator="lessThan">
      <formula>70</formula>
    </cfRule>
  </conditionalFormatting>
  <conditionalFormatting sqref="AR3:AR47">
    <cfRule type="cellIs" dxfId="405" priority="49" operator="lessThan">
      <formula>70</formula>
    </cfRule>
  </conditionalFormatting>
  <conditionalFormatting sqref="AR3:AY47">
    <cfRule type="cellIs" dxfId="404" priority="50" operator="lessThan">
      <formula>70</formula>
    </cfRule>
  </conditionalFormatting>
  <conditionalFormatting sqref="AZ3:AZ47">
    <cfRule type="cellIs" dxfId="403" priority="44" operator="lessThan">
      <formula>70</formula>
    </cfRule>
  </conditionalFormatting>
  <conditionalFormatting sqref="F3:H3 N3:P3 AD3:AF3">
    <cfRule type="cellIs" dxfId="189" priority="42" operator="lessThan">
      <formula>70</formula>
    </cfRule>
  </conditionalFormatting>
  <conditionalFormatting sqref="H3:M3">
    <cfRule type="cellIs" dxfId="188" priority="41" operator="lessThan">
      <formula>70</formula>
    </cfRule>
  </conditionalFormatting>
  <conditionalFormatting sqref="V3">
    <cfRule type="cellIs" dxfId="187" priority="40" operator="lessThan">
      <formula>70</formula>
    </cfRule>
  </conditionalFormatting>
  <conditionalFormatting sqref="P3:U3">
    <cfRule type="cellIs" dxfId="186" priority="39" operator="lessThan">
      <formula>70</formula>
    </cfRule>
  </conditionalFormatting>
  <conditionalFormatting sqref="W3:X3">
    <cfRule type="cellIs" dxfId="185" priority="38" operator="lessThan">
      <formula>70</formula>
    </cfRule>
  </conditionalFormatting>
  <conditionalFormatting sqref="X3:AC3">
    <cfRule type="cellIs" dxfId="184" priority="37" operator="lessThan">
      <formula>70</formula>
    </cfRule>
  </conditionalFormatting>
  <conditionalFormatting sqref="AF3:AK3">
    <cfRule type="cellIs" dxfId="183" priority="36" operator="lessThan">
      <formula>70</formula>
    </cfRule>
  </conditionalFormatting>
  <conditionalFormatting sqref="F12:H12 N12:P12 AD12:AF12">
    <cfRule type="cellIs" dxfId="182" priority="35" operator="lessThan">
      <formula>70</formula>
    </cfRule>
  </conditionalFormatting>
  <conditionalFormatting sqref="H12:M12">
    <cfRule type="cellIs" dxfId="181" priority="34" operator="lessThan">
      <formula>70</formula>
    </cfRule>
  </conditionalFormatting>
  <conditionalFormatting sqref="V12">
    <cfRule type="cellIs" dxfId="180" priority="33" operator="lessThan">
      <formula>70</formula>
    </cfRule>
  </conditionalFormatting>
  <conditionalFormatting sqref="P12:U12">
    <cfRule type="cellIs" dxfId="179" priority="32" operator="lessThan">
      <formula>70</formula>
    </cfRule>
  </conditionalFormatting>
  <conditionalFormatting sqref="W12:X12">
    <cfRule type="cellIs" dxfId="178" priority="31" operator="lessThan">
      <formula>70</formula>
    </cfRule>
  </conditionalFormatting>
  <conditionalFormatting sqref="X12:AC12">
    <cfRule type="cellIs" dxfId="177" priority="30" operator="lessThan">
      <formula>70</formula>
    </cfRule>
  </conditionalFormatting>
  <conditionalFormatting sqref="AF12:AK12">
    <cfRule type="cellIs" dxfId="176" priority="29" operator="lessThan">
      <formula>70</formula>
    </cfRule>
  </conditionalFormatting>
  <conditionalFormatting sqref="F16:H16 N16:P16 AD16:AF16">
    <cfRule type="cellIs" dxfId="175" priority="28" operator="lessThan">
      <formula>70</formula>
    </cfRule>
  </conditionalFormatting>
  <conditionalFormatting sqref="H16:M16">
    <cfRule type="cellIs" dxfId="174" priority="27" operator="lessThan">
      <formula>70</formula>
    </cfRule>
  </conditionalFormatting>
  <conditionalFormatting sqref="V16">
    <cfRule type="cellIs" dxfId="173" priority="26" operator="lessThan">
      <formula>70</formula>
    </cfRule>
  </conditionalFormatting>
  <conditionalFormatting sqref="P16:U16">
    <cfRule type="cellIs" dxfId="172" priority="25" operator="lessThan">
      <formula>70</formula>
    </cfRule>
  </conditionalFormatting>
  <conditionalFormatting sqref="W16:X16">
    <cfRule type="cellIs" dxfId="171" priority="24" operator="lessThan">
      <formula>70</formula>
    </cfRule>
  </conditionalFormatting>
  <conditionalFormatting sqref="X16:AC16">
    <cfRule type="cellIs" dxfId="170" priority="23" operator="lessThan">
      <formula>70</formula>
    </cfRule>
  </conditionalFormatting>
  <conditionalFormatting sqref="AF16:AK16">
    <cfRule type="cellIs" dxfId="169" priority="22" operator="lessThan">
      <formula>70</formula>
    </cfRule>
  </conditionalFormatting>
  <conditionalFormatting sqref="F27:H27 N27:P27 AD27:AF27">
    <cfRule type="cellIs" dxfId="168" priority="21" operator="lessThan">
      <formula>70</formula>
    </cfRule>
  </conditionalFormatting>
  <conditionalFormatting sqref="H27:M27">
    <cfRule type="cellIs" dxfId="167" priority="20" operator="lessThan">
      <formula>70</formula>
    </cfRule>
  </conditionalFormatting>
  <conditionalFormatting sqref="V27">
    <cfRule type="cellIs" dxfId="166" priority="19" operator="lessThan">
      <formula>70</formula>
    </cfRule>
  </conditionalFormatting>
  <conditionalFormatting sqref="P27:U27">
    <cfRule type="cellIs" dxfId="165" priority="18" operator="lessThan">
      <formula>70</formula>
    </cfRule>
  </conditionalFormatting>
  <conditionalFormatting sqref="W27:X27">
    <cfRule type="cellIs" dxfId="164" priority="17" operator="lessThan">
      <formula>70</formula>
    </cfRule>
  </conditionalFormatting>
  <conditionalFormatting sqref="X27:AC27">
    <cfRule type="cellIs" dxfId="163" priority="16" operator="lessThan">
      <formula>70</formula>
    </cfRule>
  </conditionalFormatting>
  <conditionalFormatting sqref="AF27:AK27">
    <cfRule type="cellIs" dxfId="162" priority="15" operator="lessThan">
      <formula>70</formula>
    </cfRule>
  </conditionalFormatting>
  <conditionalFormatting sqref="F39:H39 N39:P39 AD39:AF39">
    <cfRule type="cellIs" dxfId="161" priority="14" operator="lessThan">
      <formula>70</formula>
    </cfRule>
  </conditionalFormatting>
  <conditionalFormatting sqref="H39:M39">
    <cfRule type="cellIs" dxfId="160" priority="13" operator="lessThan">
      <formula>70</formula>
    </cfRule>
  </conditionalFormatting>
  <conditionalFormatting sqref="V39">
    <cfRule type="cellIs" dxfId="159" priority="12" operator="lessThan">
      <formula>70</formula>
    </cfRule>
  </conditionalFormatting>
  <conditionalFormatting sqref="P39:U39">
    <cfRule type="cellIs" dxfId="158" priority="11" operator="lessThan">
      <formula>70</formula>
    </cfRule>
  </conditionalFormatting>
  <conditionalFormatting sqref="W39:X39">
    <cfRule type="cellIs" dxfId="157" priority="10" operator="lessThan">
      <formula>70</formula>
    </cfRule>
  </conditionalFormatting>
  <conditionalFormatting sqref="X39:AC39">
    <cfRule type="cellIs" dxfId="156" priority="9" operator="lessThan">
      <formula>70</formula>
    </cfRule>
  </conditionalFormatting>
  <conditionalFormatting sqref="AF39:AK39">
    <cfRule type="cellIs" dxfId="155" priority="8" operator="lessThan">
      <formula>70</formula>
    </cfRule>
  </conditionalFormatting>
  <conditionalFormatting sqref="F42:H42 N42:P42 AD42:AF42">
    <cfRule type="cellIs" dxfId="154" priority="7" operator="lessThan">
      <formula>70</formula>
    </cfRule>
  </conditionalFormatting>
  <conditionalFormatting sqref="H42:M42">
    <cfRule type="cellIs" dxfId="153" priority="6" operator="lessThan">
      <formula>70</formula>
    </cfRule>
  </conditionalFormatting>
  <conditionalFormatting sqref="V42">
    <cfRule type="cellIs" dxfId="152" priority="5" operator="lessThan">
      <formula>70</formula>
    </cfRule>
  </conditionalFormatting>
  <conditionalFormatting sqref="P42:U42">
    <cfRule type="cellIs" dxfId="151" priority="4" operator="lessThan">
      <formula>70</formula>
    </cfRule>
  </conditionalFormatting>
  <conditionalFormatting sqref="W42:X42">
    <cfRule type="cellIs" dxfId="150" priority="3" operator="lessThan">
      <formula>70</formula>
    </cfRule>
  </conditionalFormatting>
  <conditionalFormatting sqref="X42:AC42">
    <cfRule type="cellIs" dxfId="149" priority="2" operator="lessThan">
      <formula>70</formula>
    </cfRule>
  </conditionalFormatting>
  <conditionalFormatting sqref="AF42:AK42">
    <cfRule type="cellIs" dxfId="148" priority="1" operator="lessThan">
      <formula>70</formula>
    </cfRule>
  </conditionalFormatting>
  <dataValidations count="2">
    <dataValidation type="custom" allowBlank="1" showErrorMessage="1" sqref="E38:E42 F38:AJ38 F40:AJ41" xr:uid="{D56FA9B5-3DA7-46A5-ACAE-49B2E7647E2C}">
      <formula1>ISNUMBER(E38:E87)</formula1>
    </dataValidation>
    <dataValidation type="custom" allowBlank="1" showInputMessage="1" showErrorMessage="1" sqref="F3:AK3 F12:AK12 F16:AK16 F27:AK27 F39:AK39 F42:AK42" xr:uid="{E9D75FC3-D575-AB40-B51C-8C964895D290}">
      <formula1>ISNUMBER(F3:F52)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1:BI47"/>
  <sheetViews>
    <sheetView zoomScale="90" zoomScaleNormal="90" workbookViewId="0">
      <selection activeCell="Q34" sqref="Q34"/>
    </sheetView>
  </sheetViews>
  <sheetFormatPr baseColWidth="10" defaultColWidth="11.5" defaultRowHeight="15" x14ac:dyDescent="0.2"/>
  <cols>
    <col min="1" max="1" width="4" style="12" customWidth="1"/>
    <col min="2" max="2" width="17.1640625" style="12" customWidth="1"/>
    <col min="3" max="3" width="21.33203125" style="13" customWidth="1"/>
    <col min="4" max="4" width="19.83203125" style="13" customWidth="1"/>
    <col min="5" max="36" width="4.6640625" style="13" customWidth="1"/>
    <col min="37" max="43" width="5.83203125" style="13" customWidth="1"/>
    <col min="44" max="44" width="7.6640625" style="13" customWidth="1"/>
    <col min="45" max="46" width="5.83203125" style="13" customWidth="1"/>
    <col min="47" max="47" width="6.5" style="13" customWidth="1"/>
    <col min="48" max="51" width="5.83203125" style="13" customWidth="1"/>
    <col min="52" max="53" width="5.33203125" style="13" customWidth="1"/>
    <col min="54" max="55" width="6.1640625" style="13" customWidth="1"/>
    <col min="56" max="56" width="11.5" style="13"/>
    <col min="57" max="58" width="6.33203125" style="13" customWidth="1"/>
    <col min="59" max="59" width="6.33203125" customWidth="1"/>
    <col min="60" max="61" width="6.33203125" style="13" customWidth="1"/>
    <col min="62" max="16384" width="11.5" style="13"/>
  </cols>
  <sheetData>
    <row r="1" spans="1:61" x14ac:dyDescent="0.2">
      <c r="A1" s="105" t="s">
        <v>5</v>
      </c>
      <c r="B1" s="117" t="s">
        <v>111</v>
      </c>
      <c r="C1" s="117" t="s">
        <v>4</v>
      </c>
      <c r="D1" s="109" t="s">
        <v>10</v>
      </c>
      <c r="E1" s="111" t="s">
        <v>18</v>
      </c>
      <c r="F1" s="112"/>
      <c r="G1" s="112"/>
      <c r="H1" s="112"/>
      <c r="I1" s="112"/>
      <c r="J1" s="112"/>
      <c r="K1" s="112"/>
      <c r="L1" s="113"/>
      <c r="M1" s="114" t="s">
        <v>19</v>
      </c>
      <c r="N1" s="115"/>
      <c r="O1" s="115"/>
      <c r="P1" s="115"/>
      <c r="Q1" s="115"/>
      <c r="R1" s="115"/>
      <c r="S1" s="115"/>
      <c r="T1" s="116"/>
      <c r="U1" s="121" t="s">
        <v>20</v>
      </c>
      <c r="V1" s="122"/>
      <c r="W1" s="122"/>
      <c r="X1" s="122"/>
      <c r="Y1" s="122"/>
      <c r="Z1" s="122"/>
      <c r="AA1" s="122"/>
      <c r="AB1" s="123"/>
      <c r="AC1" s="124" t="s">
        <v>21</v>
      </c>
      <c r="AD1" s="125"/>
      <c r="AE1" s="125"/>
      <c r="AF1" s="125"/>
      <c r="AG1" s="125"/>
      <c r="AH1" s="125"/>
      <c r="AI1" s="125"/>
      <c r="AJ1" s="126"/>
      <c r="AK1" s="127" t="s">
        <v>22</v>
      </c>
      <c r="AL1" s="129" t="s">
        <v>23</v>
      </c>
      <c r="AM1" s="131" t="s">
        <v>24</v>
      </c>
      <c r="AN1" s="119" t="s">
        <v>25</v>
      </c>
      <c r="AO1" s="133"/>
      <c r="AP1" s="135"/>
      <c r="AR1" s="99" t="s">
        <v>11</v>
      </c>
      <c r="AS1" s="101" t="s">
        <v>12</v>
      </c>
      <c r="AT1" s="95" t="s">
        <v>13</v>
      </c>
      <c r="AU1" s="97" t="s">
        <v>26</v>
      </c>
      <c r="AV1" s="99" t="s">
        <v>14</v>
      </c>
      <c r="AW1" s="101" t="s">
        <v>29</v>
      </c>
      <c r="AX1" s="95" t="s">
        <v>30</v>
      </c>
      <c r="AY1" s="103" t="s">
        <v>31</v>
      </c>
      <c r="AZ1" s="90" t="s">
        <v>27</v>
      </c>
      <c r="BA1" s="92" t="s">
        <v>28</v>
      </c>
      <c r="BB1" s="91" t="s">
        <v>16</v>
      </c>
      <c r="BC1" s="94" t="s">
        <v>17</v>
      </c>
    </row>
    <row r="2" spans="1:61" ht="16" thickBot="1" x14ac:dyDescent="0.25">
      <c r="A2" s="106"/>
      <c r="B2" s="118"/>
      <c r="C2" s="139"/>
      <c r="D2" s="110"/>
      <c r="E2" s="14" t="s">
        <v>0</v>
      </c>
      <c r="F2" s="15" t="s">
        <v>6</v>
      </c>
      <c r="G2" s="15" t="s">
        <v>1</v>
      </c>
      <c r="H2" s="15" t="s">
        <v>7</v>
      </c>
      <c r="I2" s="15" t="s">
        <v>2</v>
      </c>
      <c r="J2" s="15" t="s">
        <v>8</v>
      </c>
      <c r="K2" s="15" t="s">
        <v>3</v>
      </c>
      <c r="L2" s="16" t="s">
        <v>9</v>
      </c>
      <c r="M2" s="7" t="s">
        <v>0</v>
      </c>
      <c r="N2" s="7" t="s">
        <v>6</v>
      </c>
      <c r="O2" s="7" t="s">
        <v>1</v>
      </c>
      <c r="P2" s="7" t="s">
        <v>7</v>
      </c>
      <c r="Q2" s="7" t="s">
        <v>2</v>
      </c>
      <c r="R2" s="7" t="s">
        <v>8</v>
      </c>
      <c r="S2" s="7" t="s">
        <v>3</v>
      </c>
      <c r="T2" s="8" t="s">
        <v>9</v>
      </c>
      <c r="U2" s="9" t="s">
        <v>0</v>
      </c>
      <c r="V2" s="10" t="s">
        <v>6</v>
      </c>
      <c r="W2" s="10" t="s">
        <v>1</v>
      </c>
      <c r="X2" s="10" t="s">
        <v>8</v>
      </c>
      <c r="Y2" s="10" t="s">
        <v>2</v>
      </c>
      <c r="Z2" s="10" t="s">
        <v>9</v>
      </c>
      <c r="AA2" s="10" t="s">
        <v>3</v>
      </c>
      <c r="AB2" s="11" t="s">
        <v>9</v>
      </c>
      <c r="AC2" s="6" t="s">
        <v>0</v>
      </c>
      <c r="AD2" s="17" t="s">
        <v>6</v>
      </c>
      <c r="AE2" s="17" t="s">
        <v>1</v>
      </c>
      <c r="AF2" s="17" t="s">
        <v>8</v>
      </c>
      <c r="AG2" s="17" t="s">
        <v>2</v>
      </c>
      <c r="AH2" s="17" t="s">
        <v>9</v>
      </c>
      <c r="AI2" s="17" t="s">
        <v>3</v>
      </c>
      <c r="AJ2" s="18" t="s">
        <v>9</v>
      </c>
      <c r="AK2" s="128"/>
      <c r="AL2" s="130"/>
      <c r="AM2" s="132"/>
      <c r="AN2" s="120"/>
      <c r="AO2" s="134"/>
      <c r="AP2" s="136"/>
      <c r="AR2" s="100"/>
      <c r="AS2" s="102"/>
      <c r="AT2" s="96"/>
      <c r="AU2" s="98"/>
      <c r="AV2" s="100"/>
      <c r="AW2" s="102"/>
      <c r="AX2" s="96"/>
      <c r="AY2" s="104"/>
      <c r="AZ2" s="91"/>
      <c r="BA2" s="93"/>
      <c r="BB2" s="91"/>
      <c r="BC2" s="94"/>
      <c r="BE2" s="20" t="s">
        <v>0</v>
      </c>
      <c r="BF2" s="20" t="s">
        <v>1</v>
      </c>
      <c r="BG2" s="89" t="s">
        <v>2</v>
      </c>
      <c r="BH2" s="20" t="s">
        <v>3</v>
      </c>
      <c r="BI2" s="20" t="s">
        <v>15</v>
      </c>
    </row>
    <row r="3" spans="1:61" x14ac:dyDescent="0.2">
      <c r="A3" s="26">
        <v>1</v>
      </c>
      <c r="B3" s="88" t="s">
        <v>112</v>
      </c>
      <c r="C3" s="69" t="s">
        <v>33</v>
      </c>
      <c r="D3" s="69" t="s">
        <v>34</v>
      </c>
      <c r="E3" s="19">
        <v>70</v>
      </c>
      <c r="F3" s="20"/>
      <c r="G3" s="20">
        <v>87</v>
      </c>
      <c r="H3" s="20"/>
      <c r="I3" s="20">
        <v>79</v>
      </c>
      <c r="J3" s="20"/>
      <c r="K3" s="20">
        <v>80</v>
      </c>
      <c r="L3" s="21"/>
      <c r="M3" s="19">
        <v>84</v>
      </c>
      <c r="N3" s="20"/>
      <c r="O3" s="20">
        <v>80</v>
      </c>
      <c r="P3" s="20"/>
      <c r="Q3" s="20">
        <v>81</v>
      </c>
      <c r="R3" s="20"/>
      <c r="S3" s="20">
        <v>83</v>
      </c>
      <c r="T3" s="21"/>
      <c r="U3" s="19">
        <v>84</v>
      </c>
      <c r="V3" s="20"/>
      <c r="W3" s="20">
        <v>79</v>
      </c>
      <c r="X3" s="20"/>
      <c r="Y3" s="20">
        <v>78</v>
      </c>
      <c r="Z3" s="20"/>
      <c r="AA3" s="20">
        <v>80</v>
      </c>
      <c r="AB3" s="21"/>
      <c r="AC3" s="19">
        <v>85</v>
      </c>
      <c r="AD3" s="20"/>
      <c r="AE3" s="20">
        <v>83</v>
      </c>
      <c r="AF3" s="20"/>
      <c r="AG3" s="20">
        <v>84</v>
      </c>
      <c r="AH3" s="20"/>
      <c r="AI3" s="20">
        <v>84</v>
      </c>
      <c r="AJ3" s="2"/>
      <c r="AK3" s="39">
        <f>SUMIF(E3:E3, "&gt;=70") / 4 +SUMIF(G3:G3, "&gt;=70") / 4 +SUMIF(I3:I3, "&gt;=70") / 4 +SUMIF(K3:K3, "&gt;=70") / 4 + SUMIF(F3:F3, "&gt;1") / 4 + SUMIF(H3:H3, "&gt;1") / 4 + SUMIF(J3:J3, "&gt;1") / 4 + SUMIF(L3:L3, "&gt;1") / 4</f>
        <v>79</v>
      </c>
      <c r="AL3" s="40">
        <f>SUMIF(M3:M3, "&gt;=70") / 4 +SUMIF(O3:O3, "&gt;=70") / 4 +SUMIF(Q3:Q3, "&gt;=70") / 4 +SUMIF(S3:S3, "&gt;=70") / 4 + SUMIF(N3:N3, "&gt;1") / 4 + SUMIF(P3:P3, "&gt;1") / 4 + SUMIF(R3:R3, "&gt;1") / 4 + SUMIF(T3:T3, "&gt;1") / 4</f>
        <v>82</v>
      </c>
      <c r="AM3" s="41">
        <f>SUMIF(U3:U3, "&gt;=70") / 4 +SUMIF(W3:W3, "&gt;=70") / 4 +SUMIF(Y3:Y3, "&gt;=70") / 4 +SUMIF(AA3:AA3, "&gt;=70") / 4 + SUMIF(V3:V3, "&gt;1") / 4 + SUMIF(X3:X3, "&gt;1") / 4 + SUMIF(Z3:Z3, "&gt;1") / 4 + SUMIF(AB3:AB3, "&gt;1") / 4</f>
        <v>80.25</v>
      </c>
      <c r="AN3" s="42">
        <f>SUMIF(AC3:AC3, "&gt;=70") / 4 +SUMIF(AE3:AE3, "&gt;=70") / 4 +SUMIF(AG3:AG3, "&gt;=70") / 4 +SUMIF(AI3:AI3, "&gt;=70") / 4 + SUMIF(AD3:AD3, "&gt;1") / 4 + SUMIF(AF3:AF3, "&gt;1") / 4 + SUMIF(AH3:AH3, "&gt;1") / 4 + SUMIF(AJ3:AJ3, "&gt;1") / 4</f>
        <v>84</v>
      </c>
      <c r="AO3" s="43">
        <f>AVERAGE(AK3:AN3)</f>
        <v>81.3125</v>
      </c>
      <c r="AP3" s="34"/>
      <c r="AR3" s="54" t="str">
        <f>IF(AO3&lt;70, AO3*0.5, "")</f>
        <v/>
      </c>
      <c r="AS3" s="35"/>
      <c r="AT3" s="56">
        <f>AS3*50%</f>
        <v>0</v>
      </c>
      <c r="AU3" s="57" t="str">
        <f>IF(AS3&lt;&gt;"", IF(AR3="","",AR3+AT3), "")</f>
        <v/>
      </c>
      <c r="AV3" s="54" t="str">
        <f>IF(AU3 &lt; 70, AR3*30%, "")</f>
        <v/>
      </c>
      <c r="AW3" s="36"/>
      <c r="AX3" s="56">
        <f>AW3*70%</f>
        <v>0</v>
      </c>
      <c r="AY3" s="60" t="str">
        <f>IF(AW3&lt;&gt;"", IF(AV3="", "", AV3+AX3), "")</f>
        <v/>
      </c>
      <c r="AZ3" s="54" t="str">
        <f>IF(AND(AU3&lt;70, AY3&lt;70), AO3, "")</f>
        <v/>
      </c>
      <c r="BA3" s="21"/>
      <c r="BB3" s="62">
        <f>IF(AW3&lt;&gt;"", IF(AY3&gt;=70, AY3, IF(AZ3+BA3&gt;=70, AZ3+BA3, "")),
   IF(AS3&lt;&gt;"", IF(AU3&gt;=70, AU3, ""),
   IF(AO3&gt;=70, AO3, "")))</f>
        <v>81.3125</v>
      </c>
      <c r="BC3" s="63" t="str">
        <f>IF(AW3&lt;&gt;"", IF(AY3&lt;70, IF(AZ3+BA3&lt;70, AZ3+BA3, ""), ""), IF(AS3&lt;&gt;"", IF(AU3&lt;70, AU3, ""), IF(AO3&lt;70, AO3, "")))</f>
        <v/>
      </c>
      <c r="BE3" s="20">
        <f t="shared" ref="BE3:BE4" si="0">SUM(E3+M3+U3+AC3)/4</f>
        <v>80.75</v>
      </c>
      <c r="BF3" s="20">
        <f t="shared" ref="BF3:BF4" si="1">SUM(G3+O3+W3+AE3)/4</f>
        <v>82.25</v>
      </c>
      <c r="BG3" s="89">
        <f t="shared" ref="BG3:BG4" si="2">SUM(I3+Q3+Y3+AG3)/4</f>
        <v>80.5</v>
      </c>
      <c r="BH3" s="20">
        <f t="shared" ref="BH3:BH4" si="3">SUM(K3+S3+AA3+AI3)/4</f>
        <v>81.75</v>
      </c>
      <c r="BI3" s="20">
        <f>AVERAGE(BE3:BH3)</f>
        <v>81.3125</v>
      </c>
    </row>
    <row r="4" spans="1:61" x14ac:dyDescent="0.2">
      <c r="A4" s="29">
        <v>2</v>
      </c>
      <c r="B4" s="88" t="s">
        <v>113</v>
      </c>
      <c r="C4" s="70" t="s">
        <v>35</v>
      </c>
      <c r="D4" s="70" t="s">
        <v>34</v>
      </c>
      <c r="E4" s="19">
        <v>85</v>
      </c>
      <c r="F4" s="20"/>
      <c r="G4" s="20">
        <v>87</v>
      </c>
      <c r="H4" s="20"/>
      <c r="I4" s="20">
        <v>79</v>
      </c>
      <c r="J4" s="20"/>
      <c r="K4" s="20">
        <v>80</v>
      </c>
      <c r="L4" s="21"/>
      <c r="M4" s="19">
        <v>84</v>
      </c>
      <c r="N4" s="20"/>
      <c r="O4" s="20">
        <v>80</v>
      </c>
      <c r="P4" s="20"/>
      <c r="Q4" s="20">
        <v>81</v>
      </c>
      <c r="R4" s="20"/>
      <c r="S4" s="20">
        <v>83</v>
      </c>
      <c r="T4" s="21"/>
      <c r="U4" s="19">
        <v>84</v>
      </c>
      <c r="V4" s="20"/>
      <c r="W4" s="20">
        <v>79</v>
      </c>
      <c r="X4" s="20"/>
      <c r="Y4" s="20">
        <v>78</v>
      </c>
      <c r="Z4" s="20"/>
      <c r="AA4" s="20">
        <v>80</v>
      </c>
      <c r="AB4" s="21"/>
      <c r="AC4" s="19">
        <v>85</v>
      </c>
      <c r="AD4" s="20"/>
      <c r="AE4" s="20">
        <v>83</v>
      </c>
      <c r="AF4" s="20"/>
      <c r="AG4" s="20">
        <v>84</v>
      </c>
      <c r="AH4" s="20"/>
      <c r="AI4" s="20">
        <v>84</v>
      </c>
      <c r="AJ4" s="3"/>
      <c r="AK4" s="44">
        <f t="shared" ref="AK4:AK47" si="4">SUMIF(E4:E4, "&gt;=70") / 4 +SUMIF(G4:G4, "&gt;=70") / 4 +SUMIF(I4:I4, "&gt;=70") / 4 +SUMIF(K4:K4, "&gt;=70") / 4 + SUMIF(F4:F4, "&gt;1") / 4 + SUMIF(H4:H4, "&gt;1") / 4 + SUMIF(J4:J4, "&gt;1") / 4 + SUMIF(L4:L4, "&gt;1") / 4</f>
        <v>82.75</v>
      </c>
      <c r="AL4" s="45">
        <f t="shared" ref="AL4:AL47" si="5">SUMIF(M4:M4, "&gt;=70") / 4 +SUMIF(O4:O4, "&gt;=70") / 4 +SUMIF(Q4:Q4, "&gt;=70") / 4 +SUMIF(S4:S4, "&gt;=70") / 4 + SUMIF(N4:N4, "&gt;1") / 4 + SUMIF(P4:P4, "&gt;1") / 4 + SUMIF(R4:R4, "&gt;1") / 4 + SUMIF(T4:T4, "&gt;1") / 4</f>
        <v>82</v>
      </c>
      <c r="AM4" s="46">
        <f t="shared" ref="AM4:AM47" si="6">SUMIF(U4:U4, "&gt;=70") / 4 +SUMIF(W4:W4, "&gt;=70") / 4 +SUMIF(Y4:Y4, "&gt;=70") / 4 +SUMIF(AA4:AA4, "&gt;=70") / 4 + SUMIF(V4:V4, "&gt;1") / 4 + SUMIF(X4:X4, "&gt;1") / 4 + SUMIF(Z4:Z4, "&gt;1") / 4 + SUMIF(AB4:AB4, "&gt;1") / 4</f>
        <v>80.25</v>
      </c>
      <c r="AN4" s="47">
        <f t="shared" ref="AN4:AN47" si="7">SUMIF(AC4:AC4, "&gt;=65") / 4 +SUMIF(AE4:AE4, "&gt;=65") / 4 +SUMIF(AG4:AG4, "&gt;=65") / 4 +SUMIF(AI4:AI4, "&gt;=65") / 4 + SUMIF(AD4:AD4, "&gt;1") / 4 + SUMIF(AF4:AF4, "&gt;1") / 4 + SUMIF(AH4:AH4, "&gt;1") / 4 + SUMIF(AJ4:AJ4, "&gt;1") / 4</f>
        <v>84</v>
      </c>
      <c r="AO4" s="48">
        <f t="shared" ref="AO4:AO47" si="8">AVERAGE(AK4:AN4)</f>
        <v>82.25</v>
      </c>
      <c r="AP4" s="37"/>
      <c r="AR4" s="54" t="str">
        <f t="shared" ref="AR4:AR47" si="9">IF(AO4&lt;70, AO4*0.5, "")</f>
        <v/>
      </c>
      <c r="AS4" s="35"/>
      <c r="AT4" s="56">
        <f t="shared" ref="AT4:AT47" si="10">AS4*50%</f>
        <v>0</v>
      </c>
      <c r="AU4" s="57" t="str">
        <f t="shared" ref="AU4:AU47" si="11">IF(AS4&lt;&gt;"", IF(AR4="","",AR4+AT4), "")</f>
        <v/>
      </c>
      <c r="AV4" s="54" t="str">
        <f t="shared" ref="AV4:AV47" si="12">IF(AU4 &lt; 70, AR4*30%, "")</f>
        <v/>
      </c>
      <c r="AW4" s="36"/>
      <c r="AX4" s="56">
        <f t="shared" ref="AX4:AX47" si="13">AW4*70%</f>
        <v>0</v>
      </c>
      <c r="AY4" s="60" t="str">
        <f t="shared" ref="AY4:AY47" si="14">IF(AW4&lt;&gt;"", IF(AV4="", "", AV4+AX4), "")</f>
        <v/>
      </c>
      <c r="AZ4" s="54" t="str">
        <f t="shared" ref="AZ4:AZ47" si="15">IF(AND(AU4&lt;70, AY4&lt;70), AO4, "")</f>
        <v/>
      </c>
      <c r="BA4" s="21"/>
      <c r="BB4" s="62">
        <f t="shared" ref="BB4:BB47" si="16">IF(AW4&lt;&gt;"", IF(AY4&gt;=70, AY4, IF(AZ4+BA4&gt;=70, AZ4+BA4, "")),
   IF(AS4&lt;&gt;"", IF(AU4&gt;=70, AU4, ""),
   IF(AO4&gt;=70, AO4, "")))</f>
        <v>82.25</v>
      </c>
      <c r="BC4" s="64" t="str">
        <f t="shared" ref="BC4:BC47" si="17">IF(AW4&lt;&gt;"", IF(AY4&lt;70, IF(AZ4+BA4&lt;70, AZ4+BA4, ""), ""), IF(AS4&lt;&gt;"", IF(AU4&lt;70, AU4, ""), IF(AO4&lt;70, AO4, "")))</f>
        <v/>
      </c>
      <c r="BE4" s="20">
        <f t="shared" si="0"/>
        <v>84.5</v>
      </c>
      <c r="BF4" s="20">
        <f t="shared" si="1"/>
        <v>82.25</v>
      </c>
      <c r="BG4" s="89">
        <f t="shared" si="2"/>
        <v>80.5</v>
      </c>
      <c r="BH4" s="20">
        <f t="shared" si="3"/>
        <v>81.75</v>
      </c>
      <c r="BI4" s="20">
        <f>AVERAGE(BE4:BH4)</f>
        <v>82.25</v>
      </c>
    </row>
    <row r="5" spans="1:61" x14ac:dyDescent="0.2">
      <c r="A5" s="29">
        <v>3</v>
      </c>
      <c r="B5" s="88" t="s">
        <v>114</v>
      </c>
      <c r="C5" s="69" t="s">
        <v>36</v>
      </c>
      <c r="D5" s="69" t="s">
        <v>37</v>
      </c>
      <c r="E5" s="19">
        <v>83</v>
      </c>
      <c r="F5" s="20"/>
      <c r="G5" s="20">
        <v>84</v>
      </c>
      <c r="H5" s="20"/>
      <c r="I5" s="20">
        <v>79</v>
      </c>
      <c r="J5" s="20"/>
      <c r="K5" s="20">
        <v>80</v>
      </c>
      <c r="L5" s="21"/>
      <c r="M5" s="19">
        <v>84</v>
      </c>
      <c r="N5" s="20"/>
      <c r="O5" s="20">
        <v>80</v>
      </c>
      <c r="P5" s="20"/>
      <c r="Q5" s="20">
        <v>81</v>
      </c>
      <c r="R5" s="20"/>
      <c r="S5" s="20">
        <v>83</v>
      </c>
      <c r="T5" s="21"/>
      <c r="U5" s="19">
        <v>84</v>
      </c>
      <c r="V5" s="20"/>
      <c r="W5" s="20">
        <v>79</v>
      </c>
      <c r="X5" s="20"/>
      <c r="Y5" s="20">
        <v>78</v>
      </c>
      <c r="Z5" s="20"/>
      <c r="AA5" s="20">
        <v>80</v>
      </c>
      <c r="AB5" s="21"/>
      <c r="AC5" s="19">
        <v>85</v>
      </c>
      <c r="AD5" s="20"/>
      <c r="AE5" s="20">
        <v>83</v>
      </c>
      <c r="AF5" s="20"/>
      <c r="AG5" s="20">
        <v>84</v>
      </c>
      <c r="AH5" s="20"/>
      <c r="AI5" s="20">
        <v>84</v>
      </c>
      <c r="AJ5" s="3"/>
      <c r="AK5" s="44">
        <f t="shared" si="4"/>
        <v>81.5</v>
      </c>
      <c r="AL5" s="45">
        <f t="shared" si="5"/>
        <v>82</v>
      </c>
      <c r="AM5" s="46">
        <f t="shared" si="6"/>
        <v>80.25</v>
      </c>
      <c r="AN5" s="47">
        <f t="shared" si="7"/>
        <v>84</v>
      </c>
      <c r="AO5" s="48">
        <f t="shared" si="8"/>
        <v>81.9375</v>
      </c>
      <c r="AP5" s="37"/>
      <c r="AR5" s="54" t="str">
        <f t="shared" si="9"/>
        <v/>
      </c>
      <c r="AS5" s="35"/>
      <c r="AT5" s="56">
        <f t="shared" si="10"/>
        <v>0</v>
      </c>
      <c r="AU5" s="57" t="str">
        <f t="shared" si="11"/>
        <v/>
      </c>
      <c r="AV5" s="54" t="str">
        <f t="shared" si="12"/>
        <v/>
      </c>
      <c r="AW5" s="36"/>
      <c r="AX5" s="56">
        <f t="shared" si="13"/>
        <v>0</v>
      </c>
      <c r="AY5" s="60" t="str">
        <f t="shared" si="14"/>
        <v/>
      </c>
      <c r="AZ5" s="54" t="str">
        <f t="shared" si="15"/>
        <v/>
      </c>
      <c r="BA5" s="21"/>
      <c r="BB5" s="62">
        <f t="shared" si="16"/>
        <v>81.9375</v>
      </c>
      <c r="BC5" s="64" t="str">
        <f t="shared" si="17"/>
        <v/>
      </c>
      <c r="BE5" s="20">
        <f>SUM(E5+M5+U5+AC5)/4</f>
        <v>84</v>
      </c>
      <c r="BF5" s="20">
        <f>SUM(G5+O5+W5+AE5)/4</f>
        <v>81.5</v>
      </c>
      <c r="BG5" s="89">
        <f>SUM(I5+Q5+Y5+AG5)/4</f>
        <v>80.5</v>
      </c>
      <c r="BH5" s="20">
        <f>SUM(K5+S5+AA5+AI5)/4</f>
        <v>81.75</v>
      </c>
      <c r="BI5" s="20">
        <f>AVERAGE(BE5:BH5)</f>
        <v>81.9375</v>
      </c>
    </row>
    <row r="6" spans="1:61" x14ac:dyDescent="0.2">
      <c r="A6" s="29">
        <v>4</v>
      </c>
      <c r="B6" s="88" t="s">
        <v>115</v>
      </c>
      <c r="C6" s="70" t="s">
        <v>38</v>
      </c>
      <c r="D6" s="70" t="s">
        <v>39</v>
      </c>
      <c r="E6" s="19">
        <v>90</v>
      </c>
      <c r="F6" s="20"/>
      <c r="G6" s="20">
        <v>89</v>
      </c>
      <c r="H6" s="20"/>
      <c r="I6" s="20">
        <v>88</v>
      </c>
      <c r="J6" s="20"/>
      <c r="K6" s="20">
        <v>87</v>
      </c>
      <c r="L6" s="21"/>
      <c r="M6" s="19">
        <v>89</v>
      </c>
      <c r="N6" s="20"/>
      <c r="O6" s="20">
        <v>88</v>
      </c>
      <c r="P6" s="20"/>
      <c r="Q6" s="20">
        <v>87</v>
      </c>
      <c r="R6" s="20"/>
      <c r="S6" s="20">
        <v>84</v>
      </c>
      <c r="T6" s="21"/>
      <c r="U6" s="19">
        <v>88</v>
      </c>
      <c r="V6" s="20"/>
      <c r="W6" s="20">
        <v>87</v>
      </c>
      <c r="X6" s="20"/>
      <c r="Y6" s="20">
        <v>86</v>
      </c>
      <c r="Z6" s="20"/>
      <c r="AA6" s="20">
        <v>87</v>
      </c>
      <c r="AB6" s="21"/>
      <c r="AC6" s="19">
        <v>87</v>
      </c>
      <c r="AD6" s="20"/>
      <c r="AE6" s="20">
        <v>87</v>
      </c>
      <c r="AF6" s="20"/>
      <c r="AG6" s="20">
        <v>87</v>
      </c>
      <c r="AH6" s="20"/>
      <c r="AI6" s="20">
        <v>89</v>
      </c>
      <c r="AJ6" s="3"/>
      <c r="AK6" s="44">
        <f t="shared" si="4"/>
        <v>88.5</v>
      </c>
      <c r="AL6" s="45">
        <f t="shared" si="5"/>
        <v>87</v>
      </c>
      <c r="AM6" s="46">
        <f t="shared" si="6"/>
        <v>87</v>
      </c>
      <c r="AN6" s="47">
        <f t="shared" si="7"/>
        <v>87.5</v>
      </c>
      <c r="AO6" s="48">
        <f t="shared" si="8"/>
        <v>87.5</v>
      </c>
      <c r="AP6" s="37"/>
      <c r="AR6" s="54" t="str">
        <f t="shared" si="9"/>
        <v/>
      </c>
      <c r="AS6" s="35"/>
      <c r="AT6" s="56">
        <f t="shared" si="10"/>
        <v>0</v>
      </c>
      <c r="AU6" s="57" t="str">
        <f t="shared" si="11"/>
        <v/>
      </c>
      <c r="AV6" s="54" t="str">
        <f t="shared" si="12"/>
        <v/>
      </c>
      <c r="AW6" s="35"/>
      <c r="AX6" s="56">
        <f t="shared" si="13"/>
        <v>0</v>
      </c>
      <c r="AY6" s="60" t="str">
        <f t="shared" si="14"/>
        <v/>
      </c>
      <c r="AZ6" s="54" t="str">
        <f t="shared" si="15"/>
        <v/>
      </c>
      <c r="BA6" s="21"/>
      <c r="BB6" s="62">
        <f t="shared" si="16"/>
        <v>87.5</v>
      </c>
      <c r="BC6" s="64" t="str">
        <f t="shared" si="17"/>
        <v/>
      </c>
      <c r="BE6" s="20">
        <f t="shared" ref="BE6:BE47" si="18">SUM(E6+M6+U6+AC6)/4</f>
        <v>88.5</v>
      </c>
      <c r="BF6" s="20">
        <f t="shared" ref="BF6:BF47" si="19">SUM(G6+O6+W6+AE6)/4</f>
        <v>87.75</v>
      </c>
      <c r="BG6" s="89">
        <f t="shared" ref="BG6:BG47" si="20">SUM(I6+Q6+Y6+AG6)/4</f>
        <v>87</v>
      </c>
      <c r="BH6" s="20">
        <f t="shared" ref="BH6:BH47" si="21">SUM(K6+S6+AA6+AI6)/4</f>
        <v>86.75</v>
      </c>
      <c r="BI6" s="20">
        <f t="shared" ref="BI6:BI47" si="22">AVERAGE(BE6:BH6)</f>
        <v>87.5</v>
      </c>
    </row>
    <row r="7" spans="1:61" x14ac:dyDescent="0.2">
      <c r="A7" s="29">
        <v>5</v>
      </c>
      <c r="B7" s="88" t="s">
        <v>116</v>
      </c>
      <c r="C7" s="71" t="s">
        <v>32</v>
      </c>
      <c r="D7" s="72" t="s">
        <v>40</v>
      </c>
      <c r="E7" s="19">
        <v>90</v>
      </c>
      <c r="F7" s="20"/>
      <c r="G7" s="20">
        <v>95</v>
      </c>
      <c r="H7" s="20"/>
      <c r="I7" s="20">
        <v>96</v>
      </c>
      <c r="J7" s="20"/>
      <c r="K7" s="20">
        <v>93</v>
      </c>
      <c r="L7" s="21"/>
      <c r="M7" s="19">
        <v>91</v>
      </c>
      <c r="N7" s="20"/>
      <c r="O7" s="20">
        <v>95</v>
      </c>
      <c r="P7" s="20"/>
      <c r="Q7" s="20">
        <v>96</v>
      </c>
      <c r="R7" s="20"/>
      <c r="S7" s="20">
        <v>95</v>
      </c>
      <c r="T7" s="21"/>
      <c r="U7" s="19">
        <v>90</v>
      </c>
      <c r="V7" s="20"/>
      <c r="W7" s="20">
        <v>94</v>
      </c>
      <c r="X7" s="20"/>
      <c r="Y7" s="20">
        <v>95</v>
      </c>
      <c r="Z7" s="20"/>
      <c r="AA7" s="20">
        <v>96</v>
      </c>
      <c r="AB7" s="21"/>
      <c r="AC7" s="19">
        <v>90</v>
      </c>
      <c r="AD7" s="20"/>
      <c r="AE7" s="20">
        <v>94</v>
      </c>
      <c r="AF7" s="20"/>
      <c r="AG7" s="20">
        <v>95</v>
      </c>
      <c r="AH7" s="20"/>
      <c r="AI7" s="20">
        <v>90</v>
      </c>
      <c r="AJ7" s="3"/>
      <c r="AK7" s="44">
        <f t="shared" si="4"/>
        <v>93.5</v>
      </c>
      <c r="AL7" s="45">
        <f t="shared" si="5"/>
        <v>94.25</v>
      </c>
      <c r="AM7" s="46">
        <f t="shared" si="6"/>
        <v>93.75</v>
      </c>
      <c r="AN7" s="47">
        <f t="shared" si="7"/>
        <v>92.25</v>
      </c>
      <c r="AO7" s="48">
        <f t="shared" si="8"/>
        <v>93.4375</v>
      </c>
      <c r="AP7" s="37"/>
      <c r="AR7" s="54" t="str">
        <f t="shared" si="9"/>
        <v/>
      </c>
      <c r="AS7" s="35"/>
      <c r="AT7" s="56">
        <f t="shared" si="10"/>
        <v>0</v>
      </c>
      <c r="AU7" s="57" t="str">
        <f t="shared" si="11"/>
        <v/>
      </c>
      <c r="AV7" s="54" t="str">
        <f t="shared" si="12"/>
        <v/>
      </c>
      <c r="AW7" s="35"/>
      <c r="AX7" s="56">
        <f t="shared" si="13"/>
        <v>0</v>
      </c>
      <c r="AY7" s="60" t="str">
        <f t="shared" si="14"/>
        <v/>
      </c>
      <c r="AZ7" s="54" t="str">
        <f t="shared" si="15"/>
        <v/>
      </c>
      <c r="BA7" s="21"/>
      <c r="BB7" s="62">
        <f t="shared" si="16"/>
        <v>93.4375</v>
      </c>
      <c r="BC7" s="64" t="str">
        <f t="shared" si="17"/>
        <v/>
      </c>
      <c r="BE7" s="20">
        <f t="shared" si="18"/>
        <v>90.25</v>
      </c>
      <c r="BF7" s="20">
        <f t="shared" si="19"/>
        <v>94.5</v>
      </c>
      <c r="BG7" s="89">
        <f t="shared" si="20"/>
        <v>95.5</v>
      </c>
      <c r="BH7" s="20">
        <f t="shared" si="21"/>
        <v>93.5</v>
      </c>
      <c r="BI7" s="20">
        <f t="shared" si="22"/>
        <v>93.4375</v>
      </c>
    </row>
    <row r="8" spans="1:61" x14ac:dyDescent="0.2">
      <c r="A8" s="29">
        <v>6</v>
      </c>
      <c r="B8" s="88" t="s">
        <v>117</v>
      </c>
      <c r="C8" s="70" t="s">
        <v>41</v>
      </c>
      <c r="D8" s="70" t="s">
        <v>42</v>
      </c>
      <c r="E8" s="19">
        <v>80</v>
      </c>
      <c r="F8" s="20"/>
      <c r="G8" s="20">
        <v>81</v>
      </c>
      <c r="H8" s="20"/>
      <c r="I8" s="20">
        <v>82</v>
      </c>
      <c r="J8" s="20"/>
      <c r="K8" s="20">
        <v>83</v>
      </c>
      <c r="L8" s="20"/>
      <c r="M8" s="19">
        <v>84</v>
      </c>
      <c r="N8" s="20"/>
      <c r="O8" s="20">
        <v>84</v>
      </c>
      <c r="P8" s="20"/>
      <c r="Q8" s="20">
        <v>85</v>
      </c>
      <c r="R8" s="20"/>
      <c r="S8" s="20">
        <v>83</v>
      </c>
      <c r="T8" s="21"/>
      <c r="U8" s="19">
        <v>83</v>
      </c>
      <c r="V8" s="20"/>
      <c r="W8" s="20">
        <v>85</v>
      </c>
      <c r="X8" s="20"/>
      <c r="Y8" s="20">
        <v>83</v>
      </c>
      <c r="Z8" s="20"/>
      <c r="AA8" s="20">
        <v>82</v>
      </c>
      <c r="AB8" s="20"/>
      <c r="AC8" s="19">
        <v>84</v>
      </c>
      <c r="AD8" s="20"/>
      <c r="AE8" s="20">
        <v>84</v>
      </c>
      <c r="AF8" s="20"/>
      <c r="AG8" s="20">
        <v>85</v>
      </c>
      <c r="AH8" s="20"/>
      <c r="AI8" s="20">
        <v>86</v>
      </c>
      <c r="AJ8" s="3"/>
      <c r="AK8" s="44">
        <f t="shared" si="4"/>
        <v>81.5</v>
      </c>
      <c r="AL8" s="45">
        <f t="shared" si="5"/>
        <v>84</v>
      </c>
      <c r="AM8" s="46">
        <f t="shared" si="6"/>
        <v>83.25</v>
      </c>
      <c r="AN8" s="47">
        <f t="shared" si="7"/>
        <v>84.75</v>
      </c>
      <c r="AO8" s="48">
        <f t="shared" si="8"/>
        <v>83.375</v>
      </c>
      <c r="AP8" s="37"/>
      <c r="AR8" s="54" t="str">
        <f t="shared" si="9"/>
        <v/>
      </c>
      <c r="AS8" s="35"/>
      <c r="AT8" s="56">
        <f t="shared" si="10"/>
        <v>0</v>
      </c>
      <c r="AU8" s="57" t="str">
        <f t="shared" si="11"/>
        <v/>
      </c>
      <c r="AV8" s="54" t="str">
        <f t="shared" si="12"/>
        <v/>
      </c>
      <c r="AW8" s="35"/>
      <c r="AX8" s="56">
        <f t="shared" si="13"/>
        <v>0</v>
      </c>
      <c r="AY8" s="60" t="str">
        <f t="shared" si="14"/>
        <v/>
      </c>
      <c r="AZ8" s="54" t="str">
        <f t="shared" si="15"/>
        <v/>
      </c>
      <c r="BA8" s="21"/>
      <c r="BB8" s="62">
        <f t="shared" si="16"/>
        <v>83.375</v>
      </c>
      <c r="BC8" s="64" t="str">
        <f t="shared" si="17"/>
        <v/>
      </c>
      <c r="BE8" s="20">
        <f t="shared" si="18"/>
        <v>82.75</v>
      </c>
      <c r="BF8" s="20">
        <f t="shared" si="19"/>
        <v>83.5</v>
      </c>
      <c r="BG8" s="89">
        <f t="shared" si="20"/>
        <v>83.75</v>
      </c>
      <c r="BH8" s="20">
        <f t="shared" si="21"/>
        <v>83.5</v>
      </c>
      <c r="BI8" s="20">
        <f t="shared" si="22"/>
        <v>83.375</v>
      </c>
    </row>
    <row r="9" spans="1:61" x14ac:dyDescent="0.2">
      <c r="A9" s="29">
        <v>7</v>
      </c>
      <c r="B9" s="88" t="s">
        <v>118</v>
      </c>
      <c r="C9" s="69" t="s">
        <v>43</v>
      </c>
      <c r="D9" s="69" t="s">
        <v>44</v>
      </c>
      <c r="E9" s="19">
        <v>80</v>
      </c>
      <c r="F9" s="20"/>
      <c r="G9" s="20">
        <v>84</v>
      </c>
      <c r="H9" s="20"/>
      <c r="I9" s="20">
        <v>85</v>
      </c>
      <c r="J9" s="20"/>
      <c r="K9" s="20">
        <v>83</v>
      </c>
      <c r="L9" s="21"/>
      <c r="M9" s="19">
        <v>80</v>
      </c>
      <c r="N9" s="20"/>
      <c r="O9" s="20">
        <v>82</v>
      </c>
      <c r="P9" s="20"/>
      <c r="Q9" s="20">
        <v>81</v>
      </c>
      <c r="R9" s="20"/>
      <c r="S9" s="20">
        <v>83</v>
      </c>
      <c r="T9" s="21"/>
      <c r="U9" s="19">
        <v>84</v>
      </c>
      <c r="V9" s="20"/>
      <c r="W9" s="20">
        <v>85</v>
      </c>
      <c r="X9" s="20"/>
      <c r="Y9" s="20">
        <v>84</v>
      </c>
      <c r="Z9" s="20"/>
      <c r="AA9" s="20">
        <v>83</v>
      </c>
      <c r="AB9" s="21"/>
      <c r="AC9" s="19">
        <v>83</v>
      </c>
      <c r="AD9" s="20"/>
      <c r="AE9" s="20">
        <v>84</v>
      </c>
      <c r="AF9" s="20"/>
      <c r="AG9" s="20">
        <v>82</v>
      </c>
      <c r="AH9" s="20"/>
      <c r="AI9" s="20">
        <v>83</v>
      </c>
      <c r="AJ9" s="3"/>
      <c r="AK9" s="44">
        <f t="shared" si="4"/>
        <v>83</v>
      </c>
      <c r="AL9" s="45">
        <f t="shared" si="5"/>
        <v>81.5</v>
      </c>
      <c r="AM9" s="46">
        <f t="shared" si="6"/>
        <v>84</v>
      </c>
      <c r="AN9" s="47">
        <f t="shared" si="7"/>
        <v>83</v>
      </c>
      <c r="AO9" s="48">
        <f t="shared" si="8"/>
        <v>82.875</v>
      </c>
      <c r="AP9" s="37"/>
      <c r="AR9" s="54" t="str">
        <f t="shared" si="9"/>
        <v/>
      </c>
      <c r="AS9" s="35"/>
      <c r="AT9" s="56">
        <f t="shared" si="10"/>
        <v>0</v>
      </c>
      <c r="AU9" s="57" t="str">
        <f t="shared" si="11"/>
        <v/>
      </c>
      <c r="AV9" s="54" t="str">
        <f t="shared" si="12"/>
        <v/>
      </c>
      <c r="AW9" s="35"/>
      <c r="AX9" s="56">
        <f t="shared" si="13"/>
        <v>0</v>
      </c>
      <c r="AY9" s="60" t="str">
        <f t="shared" si="14"/>
        <v/>
      </c>
      <c r="AZ9" s="54" t="str">
        <f t="shared" si="15"/>
        <v/>
      </c>
      <c r="BA9" s="21"/>
      <c r="BB9" s="62">
        <f t="shared" si="16"/>
        <v>82.875</v>
      </c>
      <c r="BC9" s="64" t="str">
        <f t="shared" si="17"/>
        <v/>
      </c>
      <c r="BE9" s="20">
        <f t="shared" si="18"/>
        <v>81.75</v>
      </c>
      <c r="BF9" s="20">
        <f t="shared" si="19"/>
        <v>83.75</v>
      </c>
      <c r="BG9" s="89">
        <f t="shared" si="20"/>
        <v>83</v>
      </c>
      <c r="BH9" s="20">
        <f t="shared" si="21"/>
        <v>83</v>
      </c>
      <c r="BI9" s="20">
        <f t="shared" si="22"/>
        <v>82.875</v>
      </c>
    </row>
    <row r="10" spans="1:61" x14ac:dyDescent="0.2">
      <c r="A10" s="29">
        <v>8</v>
      </c>
      <c r="B10" s="88" t="s">
        <v>119</v>
      </c>
      <c r="C10" s="70" t="s">
        <v>45</v>
      </c>
      <c r="D10" s="70" t="s">
        <v>46</v>
      </c>
      <c r="E10" s="19">
        <v>75</v>
      </c>
      <c r="F10" s="20"/>
      <c r="G10" s="20">
        <v>76</v>
      </c>
      <c r="H10" s="20"/>
      <c r="I10" s="20">
        <v>77</v>
      </c>
      <c r="J10" s="20"/>
      <c r="K10" s="20">
        <v>76</v>
      </c>
      <c r="L10" s="21"/>
      <c r="M10" s="19">
        <v>78</v>
      </c>
      <c r="N10" s="20"/>
      <c r="O10" s="20">
        <v>75</v>
      </c>
      <c r="P10" s="20"/>
      <c r="Q10" s="20">
        <v>76</v>
      </c>
      <c r="R10" s="20"/>
      <c r="S10" s="20">
        <v>77</v>
      </c>
      <c r="T10" s="21"/>
      <c r="U10" s="19">
        <v>75</v>
      </c>
      <c r="V10" s="20"/>
      <c r="W10" s="20">
        <v>76</v>
      </c>
      <c r="X10" s="20"/>
      <c r="Y10" s="20">
        <v>74</v>
      </c>
      <c r="Z10" s="20"/>
      <c r="AA10" s="20">
        <v>75</v>
      </c>
      <c r="AB10" s="21"/>
      <c r="AC10" s="19">
        <v>74</v>
      </c>
      <c r="AD10" s="20"/>
      <c r="AE10" s="20">
        <v>76</v>
      </c>
      <c r="AF10" s="20"/>
      <c r="AG10" s="20">
        <v>77</v>
      </c>
      <c r="AH10" s="20"/>
      <c r="AI10" s="20">
        <v>76</v>
      </c>
      <c r="AJ10" s="3"/>
      <c r="AK10" s="44">
        <f t="shared" si="4"/>
        <v>76</v>
      </c>
      <c r="AL10" s="45">
        <f t="shared" si="5"/>
        <v>76.5</v>
      </c>
      <c r="AM10" s="46">
        <f t="shared" si="6"/>
        <v>75</v>
      </c>
      <c r="AN10" s="47">
        <f t="shared" si="7"/>
        <v>75.75</v>
      </c>
      <c r="AO10" s="48">
        <f t="shared" si="8"/>
        <v>75.8125</v>
      </c>
      <c r="AP10" s="37"/>
      <c r="AR10" s="54" t="str">
        <f t="shared" si="9"/>
        <v/>
      </c>
      <c r="AS10" s="35"/>
      <c r="AT10" s="56">
        <f t="shared" si="10"/>
        <v>0</v>
      </c>
      <c r="AU10" s="57" t="str">
        <f t="shared" si="11"/>
        <v/>
      </c>
      <c r="AV10" s="54" t="str">
        <f t="shared" si="12"/>
        <v/>
      </c>
      <c r="AW10" s="35"/>
      <c r="AX10" s="56">
        <f t="shared" si="13"/>
        <v>0</v>
      </c>
      <c r="AY10" s="60" t="str">
        <f t="shared" si="14"/>
        <v/>
      </c>
      <c r="AZ10" s="54" t="str">
        <f t="shared" si="15"/>
        <v/>
      </c>
      <c r="BA10" s="21"/>
      <c r="BB10" s="62">
        <f t="shared" si="16"/>
        <v>75.8125</v>
      </c>
      <c r="BC10" s="64" t="str">
        <f t="shared" si="17"/>
        <v/>
      </c>
      <c r="BE10" s="20">
        <f t="shared" si="18"/>
        <v>75.5</v>
      </c>
      <c r="BF10" s="20">
        <f t="shared" si="19"/>
        <v>75.75</v>
      </c>
      <c r="BG10" s="89">
        <f t="shared" si="20"/>
        <v>76</v>
      </c>
      <c r="BH10" s="20">
        <f t="shared" si="21"/>
        <v>76</v>
      </c>
      <c r="BI10" s="20">
        <f t="shared" si="22"/>
        <v>75.8125</v>
      </c>
    </row>
    <row r="11" spans="1:61" x14ac:dyDescent="0.2">
      <c r="A11" s="29">
        <v>9</v>
      </c>
      <c r="B11" s="88" t="s">
        <v>120</v>
      </c>
      <c r="C11" s="69" t="s">
        <v>47</v>
      </c>
      <c r="D11" s="69" t="s">
        <v>48</v>
      </c>
      <c r="E11" s="19">
        <v>74</v>
      </c>
      <c r="F11" s="20"/>
      <c r="G11" s="20">
        <v>77</v>
      </c>
      <c r="H11" s="20"/>
      <c r="I11" s="20">
        <v>78</v>
      </c>
      <c r="J11" s="20"/>
      <c r="K11" s="20">
        <v>76</v>
      </c>
      <c r="L11" s="21"/>
      <c r="M11" s="19">
        <v>73</v>
      </c>
      <c r="N11" s="20"/>
      <c r="O11" s="20">
        <v>75</v>
      </c>
      <c r="P11" s="20"/>
      <c r="Q11" s="20">
        <v>74</v>
      </c>
      <c r="R11" s="20"/>
      <c r="S11" s="20">
        <v>75</v>
      </c>
      <c r="T11" s="21"/>
      <c r="U11" s="19">
        <v>72</v>
      </c>
      <c r="V11" s="20"/>
      <c r="W11" s="20">
        <v>73</v>
      </c>
      <c r="X11" s="20"/>
      <c r="Y11" s="20">
        <v>74</v>
      </c>
      <c r="Z11" s="20"/>
      <c r="AA11" s="20">
        <v>75</v>
      </c>
      <c r="AB11" s="21"/>
      <c r="AC11" s="19">
        <v>74</v>
      </c>
      <c r="AD11" s="20"/>
      <c r="AE11" s="20">
        <v>74</v>
      </c>
      <c r="AF11" s="20"/>
      <c r="AG11" s="20">
        <v>75</v>
      </c>
      <c r="AH11" s="20"/>
      <c r="AI11" s="20">
        <v>77</v>
      </c>
      <c r="AJ11" s="3"/>
      <c r="AK11" s="44">
        <f t="shared" si="4"/>
        <v>76.25</v>
      </c>
      <c r="AL11" s="45">
        <f t="shared" si="5"/>
        <v>74.25</v>
      </c>
      <c r="AM11" s="46">
        <f t="shared" si="6"/>
        <v>73.5</v>
      </c>
      <c r="AN11" s="47">
        <f t="shared" si="7"/>
        <v>75</v>
      </c>
      <c r="AO11" s="48">
        <f t="shared" si="8"/>
        <v>74.75</v>
      </c>
      <c r="AP11" s="37"/>
      <c r="AR11" s="54" t="str">
        <f t="shared" si="9"/>
        <v/>
      </c>
      <c r="AS11" s="35"/>
      <c r="AT11" s="56">
        <f t="shared" si="10"/>
        <v>0</v>
      </c>
      <c r="AU11" s="57" t="str">
        <f t="shared" si="11"/>
        <v/>
      </c>
      <c r="AV11" s="54" t="str">
        <f t="shared" si="12"/>
        <v/>
      </c>
      <c r="AW11" s="35"/>
      <c r="AX11" s="56">
        <f t="shared" si="13"/>
        <v>0</v>
      </c>
      <c r="AY11" s="60" t="str">
        <f t="shared" si="14"/>
        <v/>
      </c>
      <c r="AZ11" s="54" t="str">
        <f t="shared" si="15"/>
        <v/>
      </c>
      <c r="BA11" s="21"/>
      <c r="BB11" s="62">
        <f t="shared" si="16"/>
        <v>74.75</v>
      </c>
      <c r="BC11" s="64" t="str">
        <f t="shared" si="17"/>
        <v/>
      </c>
      <c r="BE11" s="20">
        <f t="shared" si="18"/>
        <v>73.25</v>
      </c>
      <c r="BF11" s="20">
        <f t="shared" si="19"/>
        <v>74.75</v>
      </c>
      <c r="BG11" s="89">
        <f t="shared" si="20"/>
        <v>75.25</v>
      </c>
      <c r="BH11" s="20">
        <f t="shared" si="21"/>
        <v>75.75</v>
      </c>
      <c r="BI11" s="20">
        <f t="shared" si="22"/>
        <v>74.75</v>
      </c>
    </row>
    <row r="12" spans="1:61" x14ac:dyDescent="0.2">
      <c r="A12" s="29">
        <v>10</v>
      </c>
      <c r="B12" s="88" t="s">
        <v>121</v>
      </c>
      <c r="C12" s="70" t="s">
        <v>49</v>
      </c>
      <c r="D12" s="70" t="s">
        <v>50</v>
      </c>
      <c r="E12" s="19"/>
      <c r="F12" s="19">
        <v>60</v>
      </c>
      <c r="G12" s="19">
        <v>60</v>
      </c>
      <c r="H12" s="20"/>
      <c r="I12" s="20">
        <v>65</v>
      </c>
      <c r="J12" s="20"/>
      <c r="K12" s="20">
        <v>63</v>
      </c>
      <c r="L12" s="20"/>
      <c r="M12" s="20">
        <v>68</v>
      </c>
      <c r="N12" s="19">
        <v>60</v>
      </c>
      <c r="O12" s="19">
        <v>60</v>
      </c>
      <c r="P12" s="20"/>
      <c r="Q12" s="20">
        <v>65</v>
      </c>
      <c r="R12" s="20"/>
      <c r="S12" s="20">
        <v>63</v>
      </c>
      <c r="T12" s="20"/>
      <c r="U12" s="20">
        <v>68</v>
      </c>
      <c r="V12" s="19">
        <v>60</v>
      </c>
      <c r="W12" s="19">
        <v>60</v>
      </c>
      <c r="X12" s="20"/>
      <c r="Y12" s="20">
        <v>65</v>
      </c>
      <c r="Z12" s="20"/>
      <c r="AA12" s="20">
        <v>63</v>
      </c>
      <c r="AB12" s="20"/>
      <c r="AC12" s="20">
        <v>68</v>
      </c>
      <c r="AD12" s="19">
        <v>60</v>
      </c>
      <c r="AE12" s="19">
        <v>60</v>
      </c>
      <c r="AF12" s="20"/>
      <c r="AG12" s="20">
        <v>65</v>
      </c>
      <c r="AH12" s="20"/>
      <c r="AI12" s="20">
        <v>63</v>
      </c>
      <c r="AJ12" s="3"/>
      <c r="AK12" s="44">
        <f t="shared" si="4"/>
        <v>15</v>
      </c>
      <c r="AL12" s="45">
        <f t="shared" si="5"/>
        <v>15</v>
      </c>
      <c r="AM12" s="46">
        <f t="shared" si="6"/>
        <v>15</v>
      </c>
      <c r="AN12" s="47">
        <f t="shared" si="7"/>
        <v>48.25</v>
      </c>
      <c r="AO12" s="48">
        <f t="shared" si="8"/>
        <v>23.3125</v>
      </c>
      <c r="AP12" s="37"/>
      <c r="AR12" s="54">
        <f t="shared" si="9"/>
        <v>11.65625</v>
      </c>
      <c r="AS12" s="20"/>
      <c r="AT12" s="56">
        <f t="shared" si="10"/>
        <v>0</v>
      </c>
      <c r="AU12" s="57" t="str">
        <f t="shared" si="11"/>
        <v/>
      </c>
      <c r="AV12" s="54" t="str">
        <f t="shared" si="12"/>
        <v/>
      </c>
      <c r="AW12" s="20"/>
      <c r="AX12" s="56">
        <f t="shared" si="13"/>
        <v>0</v>
      </c>
      <c r="AY12" s="60" t="str">
        <f t="shared" si="14"/>
        <v/>
      </c>
      <c r="AZ12" s="54" t="str">
        <f t="shared" si="15"/>
        <v/>
      </c>
      <c r="BA12" s="21"/>
      <c r="BB12" s="62" t="str">
        <f t="shared" si="16"/>
        <v/>
      </c>
      <c r="BC12" s="64">
        <f t="shared" si="17"/>
        <v>23.3125</v>
      </c>
      <c r="BE12" s="20">
        <f t="shared" si="18"/>
        <v>51</v>
      </c>
      <c r="BF12" s="20">
        <f t="shared" si="19"/>
        <v>60</v>
      </c>
      <c r="BG12" s="89">
        <f t="shared" si="20"/>
        <v>65</v>
      </c>
      <c r="BH12" s="20">
        <f t="shared" si="21"/>
        <v>63</v>
      </c>
      <c r="BI12" s="20">
        <f t="shared" si="22"/>
        <v>59.75</v>
      </c>
    </row>
    <row r="13" spans="1:61" x14ac:dyDescent="0.2">
      <c r="A13" s="29">
        <v>11</v>
      </c>
      <c r="B13" s="88" t="s">
        <v>122</v>
      </c>
      <c r="C13" s="69" t="s">
        <v>51</v>
      </c>
      <c r="D13" s="69" t="s">
        <v>52</v>
      </c>
      <c r="E13" s="19"/>
      <c r="F13" s="19">
        <v>60</v>
      </c>
      <c r="G13" s="19">
        <v>60</v>
      </c>
      <c r="H13" s="20"/>
      <c r="I13" s="20">
        <v>65</v>
      </c>
      <c r="J13" s="20"/>
      <c r="K13" s="20">
        <v>63</v>
      </c>
      <c r="L13" s="20"/>
      <c r="M13" s="20">
        <v>68</v>
      </c>
      <c r="N13" s="19">
        <v>60</v>
      </c>
      <c r="O13" s="19">
        <v>60</v>
      </c>
      <c r="P13" s="20"/>
      <c r="Q13" s="20">
        <v>65</v>
      </c>
      <c r="R13" s="20"/>
      <c r="S13" s="20">
        <v>63</v>
      </c>
      <c r="T13" s="20"/>
      <c r="U13" s="20">
        <v>68</v>
      </c>
      <c r="V13" s="19">
        <v>60</v>
      </c>
      <c r="W13" s="19">
        <v>60</v>
      </c>
      <c r="X13" s="20"/>
      <c r="Y13" s="20">
        <v>65</v>
      </c>
      <c r="Z13" s="20"/>
      <c r="AA13" s="20">
        <v>63</v>
      </c>
      <c r="AB13" s="20"/>
      <c r="AC13" s="20">
        <v>68</v>
      </c>
      <c r="AD13" s="19">
        <v>60</v>
      </c>
      <c r="AE13" s="19">
        <v>60</v>
      </c>
      <c r="AF13" s="20"/>
      <c r="AG13" s="20">
        <v>65</v>
      </c>
      <c r="AH13" s="20"/>
      <c r="AI13" s="20">
        <v>63</v>
      </c>
      <c r="AJ13" s="3"/>
      <c r="AK13" s="44">
        <f t="shared" si="4"/>
        <v>15</v>
      </c>
      <c r="AL13" s="45">
        <f t="shared" si="5"/>
        <v>15</v>
      </c>
      <c r="AM13" s="46">
        <f t="shared" si="6"/>
        <v>15</v>
      </c>
      <c r="AN13" s="47">
        <f t="shared" si="7"/>
        <v>48.25</v>
      </c>
      <c r="AO13" s="48">
        <f t="shared" si="8"/>
        <v>23.3125</v>
      </c>
      <c r="AP13" s="37"/>
      <c r="AR13" s="54">
        <f t="shared" si="9"/>
        <v>11.65625</v>
      </c>
      <c r="AS13" s="20"/>
      <c r="AT13" s="56">
        <f t="shared" si="10"/>
        <v>0</v>
      </c>
      <c r="AU13" s="57" t="str">
        <f t="shared" si="11"/>
        <v/>
      </c>
      <c r="AV13" s="54" t="str">
        <f t="shared" si="12"/>
        <v/>
      </c>
      <c r="AW13" s="20"/>
      <c r="AX13" s="56">
        <f t="shared" si="13"/>
        <v>0</v>
      </c>
      <c r="AY13" s="60" t="str">
        <f t="shared" si="14"/>
        <v/>
      </c>
      <c r="AZ13" s="54" t="str">
        <f t="shared" si="15"/>
        <v/>
      </c>
      <c r="BA13" s="21"/>
      <c r="BB13" s="62" t="str">
        <f t="shared" si="16"/>
        <v/>
      </c>
      <c r="BC13" s="64">
        <f t="shared" si="17"/>
        <v>23.3125</v>
      </c>
      <c r="BE13" s="20">
        <f t="shared" si="18"/>
        <v>51</v>
      </c>
      <c r="BF13" s="20">
        <f t="shared" si="19"/>
        <v>60</v>
      </c>
      <c r="BG13" s="89">
        <f t="shared" si="20"/>
        <v>65</v>
      </c>
      <c r="BH13" s="20">
        <f t="shared" si="21"/>
        <v>63</v>
      </c>
      <c r="BI13" s="20">
        <f t="shared" si="22"/>
        <v>59.75</v>
      </c>
    </row>
    <row r="14" spans="1:61" x14ac:dyDescent="0.2">
      <c r="A14" s="29">
        <v>12</v>
      </c>
      <c r="B14" s="88" t="s">
        <v>123</v>
      </c>
      <c r="C14" s="70" t="s">
        <v>53</v>
      </c>
      <c r="D14" s="70" t="s">
        <v>54</v>
      </c>
      <c r="E14" s="19">
        <v>86</v>
      </c>
      <c r="F14" s="20"/>
      <c r="G14" s="20">
        <v>89</v>
      </c>
      <c r="H14" s="20"/>
      <c r="I14" s="20">
        <v>87</v>
      </c>
      <c r="J14" s="20"/>
      <c r="K14" s="20">
        <v>86</v>
      </c>
      <c r="L14" s="21"/>
      <c r="M14" s="19">
        <v>84</v>
      </c>
      <c r="N14" s="20"/>
      <c r="O14" s="20">
        <v>85</v>
      </c>
      <c r="P14" s="20"/>
      <c r="Q14" s="20">
        <v>83</v>
      </c>
      <c r="R14" s="20"/>
      <c r="S14" s="20">
        <v>84</v>
      </c>
      <c r="T14" s="21"/>
      <c r="U14" s="19">
        <v>84</v>
      </c>
      <c r="V14" s="20"/>
      <c r="W14" s="20">
        <v>85</v>
      </c>
      <c r="X14" s="20"/>
      <c r="Y14" s="20">
        <v>84</v>
      </c>
      <c r="Z14" s="20"/>
      <c r="AA14" s="20">
        <v>85</v>
      </c>
      <c r="AB14" s="21"/>
      <c r="AC14" s="19">
        <v>84</v>
      </c>
      <c r="AD14" s="20"/>
      <c r="AE14" s="20">
        <v>86</v>
      </c>
      <c r="AF14" s="20"/>
      <c r="AG14" s="20">
        <v>86</v>
      </c>
      <c r="AH14" s="20"/>
      <c r="AI14" s="20">
        <v>87</v>
      </c>
      <c r="AJ14" s="3"/>
      <c r="AK14" s="44">
        <f t="shared" si="4"/>
        <v>87</v>
      </c>
      <c r="AL14" s="45">
        <f t="shared" si="5"/>
        <v>84</v>
      </c>
      <c r="AM14" s="46">
        <f t="shared" si="6"/>
        <v>84.5</v>
      </c>
      <c r="AN14" s="47">
        <f t="shared" si="7"/>
        <v>85.75</v>
      </c>
      <c r="AO14" s="48">
        <f t="shared" si="8"/>
        <v>85.3125</v>
      </c>
      <c r="AP14" s="37"/>
      <c r="AR14" s="54" t="str">
        <f t="shared" si="9"/>
        <v/>
      </c>
      <c r="AS14" s="20"/>
      <c r="AT14" s="56">
        <f t="shared" si="10"/>
        <v>0</v>
      </c>
      <c r="AU14" s="57" t="str">
        <f t="shared" si="11"/>
        <v/>
      </c>
      <c r="AV14" s="54" t="str">
        <f t="shared" si="12"/>
        <v/>
      </c>
      <c r="AW14" s="20"/>
      <c r="AX14" s="56">
        <f t="shared" si="13"/>
        <v>0</v>
      </c>
      <c r="AY14" s="60" t="str">
        <f t="shared" si="14"/>
        <v/>
      </c>
      <c r="AZ14" s="54" t="str">
        <f t="shared" si="15"/>
        <v/>
      </c>
      <c r="BA14" s="21"/>
      <c r="BB14" s="62">
        <f t="shared" si="16"/>
        <v>85.3125</v>
      </c>
      <c r="BC14" s="64" t="str">
        <f t="shared" si="17"/>
        <v/>
      </c>
      <c r="BE14" s="20">
        <f t="shared" si="18"/>
        <v>84.5</v>
      </c>
      <c r="BF14" s="20">
        <f t="shared" si="19"/>
        <v>86.25</v>
      </c>
      <c r="BG14" s="89">
        <f t="shared" si="20"/>
        <v>85</v>
      </c>
      <c r="BH14" s="20">
        <f t="shared" si="21"/>
        <v>85.5</v>
      </c>
      <c r="BI14" s="20">
        <f t="shared" si="22"/>
        <v>85.3125</v>
      </c>
    </row>
    <row r="15" spans="1:61" x14ac:dyDescent="0.2">
      <c r="A15" s="29">
        <v>13</v>
      </c>
      <c r="B15" s="88" t="s">
        <v>124</v>
      </c>
      <c r="C15" s="69" t="s">
        <v>55</v>
      </c>
      <c r="D15" s="69" t="s">
        <v>56</v>
      </c>
      <c r="E15" s="19">
        <v>70</v>
      </c>
      <c r="F15" s="20"/>
      <c r="G15" s="20">
        <v>75</v>
      </c>
      <c r="H15" s="20"/>
      <c r="I15" s="20">
        <v>76</v>
      </c>
      <c r="J15" s="20"/>
      <c r="K15" s="20">
        <v>75</v>
      </c>
      <c r="L15" s="21"/>
      <c r="M15" s="19">
        <v>73</v>
      </c>
      <c r="N15" s="20"/>
      <c r="O15" s="20">
        <v>76</v>
      </c>
      <c r="P15" s="20"/>
      <c r="Q15" s="20">
        <v>77</v>
      </c>
      <c r="R15" s="20"/>
      <c r="S15" s="20">
        <v>76</v>
      </c>
      <c r="T15" s="21"/>
      <c r="U15" s="19">
        <v>74</v>
      </c>
      <c r="V15" s="20"/>
      <c r="W15" s="20">
        <v>76</v>
      </c>
      <c r="X15" s="20"/>
      <c r="Y15" s="20">
        <v>75</v>
      </c>
      <c r="Z15" s="20"/>
      <c r="AA15" s="20">
        <v>78</v>
      </c>
      <c r="AB15" s="21"/>
      <c r="AC15" s="19">
        <v>75</v>
      </c>
      <c r="AD15" s="20"/>
      <c r="AE15" s="20">
        <v>74</v>
      </c>
      <c r="AF15" s="20"/>
      <c r="AG15" s="20">
        <v>76</v>
      </c>
      <c r="AH15" s="20"/>
      <c r="AI15" s="20">
        <v>77</v>
      </c>
      <c r="AJ15" s="3"/>
      <c r="AK15" s="44">
        <f t="shared" si="4"/>
        <v>74</v>
      </c>
      <c r="AL15" s="45">
        <f t="shared" si="5"/>
        <v>75.5</v>
      </c>
      <c r="AM15" s="46">
        <f t="shared" si="6"/>
        <v>75.75</v>
      </c>
      <c r="AN15" s="47">
        <f t="shared" si="7"/>
        <v>75.5</v>
      </c>
      <c r="AO15" s="48">
        <f t="shared" si="8"/>
        <v>75.1875</v>
      </c>
      <c r="AP15" s="37"/>
      <c r="AR15" s="54" t="str">
        <f t="shared" si="9"/>
        <v/>
      </c>
      <c r="AS15" s="20"/>
      <c r="AT15" s="56">
        <f t="shared" si="10"/>
        <v>0</v>
      </c>
      <c r="AU15" s="57" t="str">
        <f t="shared" si="11"/>
        <v/>
      </c>
      <c r="AV15" s="54" t="str">
        <f t="shared" si="12"/>
        <v/>
      </c>
      <c r="AW15" s="20"/>
      <c r="AX15" s="56">
        <f t="shared" si="13"/>
        <v>0</v>
      </c>
      <c r="AY15" s="60" t="str">
        <f t="shared" si="14"/>
        <v/>
      </c>
      <c r="AZ15" s="54" t="str">
        <f t="shared" si="15"/>
        <v/>
      </c>
      <c r="BA15" s="21"/>
      <c r="BB15" s="62">
        <f t="shared" si="16"/>
        <v>75.1875</v>
      </c>
      <c r="BC15" s="64" t="str">
        <f t="shared" si="17"/>
        <v/>
      </c>
      <c r="BE15" s="20">
        <f t="shared" si="18"/>
        <v>73</v>
      </c>
      <c r="BF15" s="20">
        <f t="shared" si="19"/>
        <v>75.25</v>
      </c>
      <c r="BG15" s="89">
        <f t="shared" si="20"/>
        <v>76</v>
      </c>
      <c r="BH15" s="20">
        <f t="shared" si="21"/>
        <v>76.5</v>
      </c>
      <c r="BI15" s="20">
        <f t="shared" si="22"/>
        <v>75.1875</v>
      </c>
    </row>
    <row r="16" spans="1:61" x14ac:dyDescent="0.2">
      <c r="A16" s="29">
        <v>14</v>
      </c>
      <c r="B16" s="88" t="s">
        <v>125</v>
      </c>
      <c r="C16" s="70" t="s">
        <v>57</v>
      </c>
      <c r="D16" s="70" t="s">
        <v>58</v>
      </c>
      <c r="E16" s="19"/>
      <c r="F16" s="19">
        <v>60</v>
      </c>
      <c r="G16" s="19">
        <v>60</v>
      </c>
      <c r="H16" s="20"/>
      <c r="I16" s="20">
        <v>65</v>
      </c>
      <c r="J16" s="20"/>
      <c r="K16" s="20">
        <v>63</v>
      </c>
      <c r="L16" s="20"/>
      <c r="M16" s="20">
        <v>68</v>
      </c>
      <c r="N16" s="19">
        <v>60</v>
      </c>
      <c r="O16" s="19">
        <v>60</v>
      </c>
      <c r="P16" s="20"/>
      <c r="Q16" s="20">
        <v>65</v>
      </c>
      <c r="R16" s="20"/>
      <c r="S16" s="20">
        <v>63</v>
      </c>
      <c r="T16" s="20"/>
      <c r="U16" s="20">
        <v>68</v>
      </c>
      <c r="V16" s="19">
        <v>60</v>
      </c>
      <c r="W16" s="19">
        <v>60</v>
      </c>
      <c r="X16" s="20"/>
      <c r="Y16" s="20">
        <v>65</v>
      </c>
      <c r="Z16" s="20"/>
      <c r="AA16" s="20">
        <v>63</v>
      </c>
      <c r="AB16" s="20"/>
      <c r="AC16" s="20">
        <v>68</v>
      </c>
      <c r="AD16" s="19">
        <v>60</v>
      </c>
      <c r="AE16" s="19">
        <v>60</v>
      </c>
      <c r="AF16" s="20"/>
      <c r="AG16" s="20">
        <v>65</v>
      </c>
      <c r="AH16" s="20"/>
      <c r="AI16" s="20">
        <v>63</v>
      </c>
      <c r="AJ16" s="3"/>
      <c r="AK16" s="44">
        <f t="shared" si="4"/>
        <v>15</v>
      </c>
      <c r="AL16" s="45">
        <f t="shared" si="5"/>
        <v>15</v>
      </c>
      <c r="AM16" s="46">
        <f t="shared" si="6"/>
        <v>15</v>
      </c>
      <c r="AN16" s="47">
        <f t="shared" si="7"/>
        <v>48.25</v>
      </c>
      <c r="AO16" s="48">
        <f t="shared" si="8"/>
        <v>23.3125</v>
      </c>
      <c r="AP16" s="37"/>
      <c r="AR16" s="54">
        <f t="shared" si="9"/>
        <v>11.65625</v>
      </c>
      <c r="AS16" s="20"/>
      <c r="AT16" s="56">
        <f t="shared" si="10"/>
        <v>0</v>
      </c>
      <c r="AU16" s="57" t="str">
        <f t="shared" si="11"/>
        <v/>
      </c>
      <c r="AV16" s="54" t="str">
        <f t="shared" si="12"/>
        <v/>
      </c>
      <c r="AW16" s="20"/>
      <c r="AX16" s="56">
        <f t="shared" si="13"/>
        <v>0</v>
      </c>
      <c r="AY16" s="60" t="str">
        <f t="shared" si="14"/>
        <v/>
      </c>
      <c r="AZ16" s="54" t="str">
        <f t="shared" si="15"/>
        <v/>
      </c>
      <c r="BA16" s="21"/>
      <c r="BB16" s="62" t="str">
        <f t="shared" si="16"/>
        <v/>
      </c>
      <c r="BC16" s="64">
        <f t="shared" si="17"/>
        <v>23.3125</v>
      </c>
      <c r="BE16" s="20">
        <f t="shared" si="18"/>
        <v>51</v>
      </c>
      <c r="BF16" s="20">
        <f t="shared" si="19"/>
        <v>60</v>
      </c>
      <c r="BG16" s="89">
        <f t="shared" si="20"/>
        <v>65</v>
      </c>
      <c r="BH16" s="20">
        <f t="shared" si="21"/>
        <v>63</v>
      </c>
      <c r="BI16" s="20">
        <f t="shared" si="22"/>
        <v>59.75</v>
      </c>
    </row>
    <row r="17" spans="1:61" x14ac:dyDescent="0.2">
      <c r="A17" s="29">
        <v>15</v>
      </c>
      <c r="B17" s="88" t="s">
        <v>126</v>
      </c>
      <c r="C17" s="69" t="s">
        <v>59</v>
      </c>
      <c r="D17" s="69" t="s">
        <v>60</v>
      </c>
      <c r="E17" s="19">
        <v>76</v>
      </c>
      <c r="F17" s="20"/>
      <c r="G17" s="20">
        <v>75</v>
      </c>
      <c r="H17" s="20"/>
      <c r="I17" s="20">
        <v>74</v>
      </c>
      <c r="J17" s="20"/>
      <c r="K17" s="20">
        <v>76</v>
      </c>
      <c r="L17" s="21"/>
      <c r="M17" s="19">
        <v>86</v>
      </c>
      <c r="N17" s="20"/>
      <c r="O17" s="20">
        <v>77</v>
      </c>
      <c r="P17" s="20"/>
      <c r="Q17" s="20">
        <v>78</v>
      </c>
      <c r="R17" s="20"/>
      <c r="S17" s="20">
        <v>79</v>
      </c>
      <c r="T17" s="21"/>
      <c r="U17" s="19">
        <v>78</v>
      </c>
      <c r="V17" s="20"/>
      <c r="W17" s="20">
        <v>79</v>
      </c>
      <c r="X17" s="20"/>
      <c r="Y17" s="20">
        <v>76</v>
      </c>
      <c r="Z17" s="20"/>
      <c r="AA17" s="20">
        <v>77</v>
      </c>
      <c r="AB17" s="21"/>
      <c r="AC17" s="19">
        <v>78</v>
      </c>
      <c r="AD17" s="20"/>
      <c r="AE17" s="20">
        <v>79</v>
      </c>
      <c r="AF17" s="20"/>
      <c r="AG17" s="20">
        <v>78</v>
      </c>
      <c r="AH17" s="20"/>
      <c r="AI17" s="20">
        <v>79</v>
      </c>
      <c r="AJ17" s="3"/>
      <c r="AK17" s="44">
        <f t="shared" si="4"/>
        <v>75.25</v>
      </c>
      <c r="AL17" s="45">
        <f t="shared" si="5"/>
        <v>80</v>
      </c>
      <c r="AM17" s="46">
        <f t="shared" si="6"/>
        <v>77.5</v>
      </c>
      <c r="AN17" s="47">
        <f t="shared" si="7"/>
        <v>78.5</v>
      </c>
      <c r="AO17" s="48">
        <f t="shared" si="8"/>
        <v>77.8125</v>
      </c>
      <c r="AP17" s="37"/>
      <c r="AR17" s="54" t="str">
        <f t="shared" si="9"/>
        <v/>
      </c>
      <c r="AS17" s="20"/>
      <c r="AT17" s="56">
        <f t="shared" si="10"/>
        <v>0</v>
      </c>
      <c r="AU17" s="57" t="str">
        <f t="shared" si="11"/>
        <v/>
      </c>
      <c r="AV17" s="54" t="str">
        <f t="shared" si="12"/>
        <v/>
      </c>
      <c r="AW17" s="20"/>
      <c r="AX17" s="56">
        <f t="shared" si="13"/>
        <v>0</v>
      </c>
      <c r="AY17" s="60" t="str">
        <f t="shared" si="14"/>
        <v/>
      </c>
      <c r="AZ17" s="54" t="str">
        <f t="shared" si="15"/>
        <v/>
      </c>
      <c r="BA17" s="21"/>
      <c r="BB17" s="62">
        <f t="shared" si="16"/>
        <v>77.8125</v>
      </c>
      <c r="BC17" s="64" t="str">
        <f t="shared" si="17"/>
        <v/>
      </c>
      <c r="BE17" s="20">
        <f t="shared" si="18"/>
        <v>79.5</v>
      </c>
      <c r="BF17" s="20">
        <f t="shared" si="19"/>
        <v>77.5</v>
      </c>
      <c r="BG17" s="89">
        <f t="shared" si="20"/>
        <v>76.5</v>
      </c>
      <c r="BH17" s="20">
        <f t="shared" si="21"/>
        <v>77.75</v>
      </c>
      <c r="BI17" s="20">
        <f t="shared" si="22"/>
        <v>77.8125</v>
      </c>
    </row>
    <row r="18" spans="1:61" x14ac:dyDescent="0.2">
      <c r="A18" s="29">
        <v>16</v>
      </c>
      <c r="B18" s="88" t="s">
        <v>127</v>
      </c>
      <c r="C18" s="70" t="s">
        <v>61</v>
      </c>
      <c r="D18" s="70" t="s">
        <v>62</v>
      </c>
      <c r="E18" s="19">
        <v>90</v>
      </c>
      <c r="F18" s="20"/>
      <c r="G18" s="20">
        <v>89</v>
      </c>
      <c r="H18" s="20"/>
      <c r="I18" s="20">
        <v>94</v>
      </c>
      <c r="J18" s="20"/>
      <c r="K18" s="20">
        <v>95</v>
      </c>
      <c r="L18" s="21"/>
      <c r="M18" s="19">
        <v>85</v>
      </c>
      <c r="N18" s="20"/>
      <c r="O18" s="20">
        <v>96</v>
      </c>
      <c r="P18" s="20"/>
      <c r="Q18" s="20">
        <v>91</v>
      </c>
      <c r="R18" s="20"/>
      <c r="S18" s="20">
        <v>93</v>
      </c>
      <c r="T18" s="21"/>
      <c r="U18" s="19">
        <v>89</v>
      </c>
      <c r="V18" s="20"/>
      <c r="W18" s="20">
        <v>95</v>
      </c>
      <c r="X18" s="20"/>
      <c r="Y18" s="20">
        <v>90</v>
      </c>
      <c r="Z18" s="20"/>
      <c r="AA18" s="20">
        <v>91</v>
      </c>
      <c r="AB18" s="21"/>
      <c r="AC18" s="19">
        <v>90</v>
      </c>
      <c r="AD18" s="20"/>
      <c r="AE18" s="20">
        <v>94</v>
      </c>
      <c r="AF18" s="20"/>
      <c r="AG18" s="20">
        <v>95</v>
      </c>
      <c r="AH18" s="20"/>
      <c r="AI18" s="20">
        <v>93</v>
      </c>
      <c r="AJ18" s="3"/>
      <c r="AK18" s="44">
        <f t="shared" si="4"/>
        <v>92</v>
      </c>
      <c r="AL18" s="45">
        <f t="shared" si="5"/>
        <v>91.25</v>
      </c>
      <c r="AM18" s="46">
        <f t="shared" si="6"/>
        <v>91.25</v>
      </c>
      <c r="AN18" s="47">
        <f t="shared" si="7"/>
        <v>93</v>
      </c>
      <c r="AO18" s="48">
        <f t="shared" si="8"/>
        <v>91.875</v>
      </c>
      <c r="AP18" s="37"/>
      <c r="AR18" s="54" t="str">
        <f t="shared" si="9"/>
        <v/>
      </c>
      <c r="AS18" s="20"/>
      <c r="AT18" s="56">
        <f t="shared" si="10"/>
        <v>0</v>
      </c>
      <c r="AU18" s="57" t="str">
        <f t="shared" si="11"/>
        <v/>
      </c>
      <c r="AV18" s="54" t="str">
        <f t="shared" si="12"/>
        <v/>
      </c>
      <c r="AW18" s="20"/>
      <c r="AX18" s="56">
        <f t="shared" si="13"/>
        <v>0</v>
      </c>
      <c r="AY18" s="60" t="str">
        <f t="shared" si="14"/>
        <v/>
      </c>
      <c r="AZ18" s="54" t="str">
        <f t="shared" si="15"/>
        <v/>
      </c>
      <c r="BA18" s="21"/>
      <c r="BB18" s="62">
        <f t="shared" si="16"/>
        <v>91.875</v>
      </c>
      <c r="BC18" s="64" t="str">
        <f t="shared" si="17"/>
        <v/>
      </c>
      <c r="BE18" s="20">
        <f t="shared" si="18"/>
        <v>88.5</v>
      </c>
      <c r="BF18" s="20">
        <f t="shared" si="19"/>
        <v>93.5</v>
      </c>
      <c r="BG18" s="89">
        <f t="shared" si="20"/>
        <v>92.5</v>
      </c>
      <c r="BH18" s="20">
        <f t="shared" si="21"/>
        <v>93</v>
      </c>
      <c r="BI18" s="20">
        <f t="shared" si="22"/>
        <v>91.875</v>
      </c>
    </row>
    <row r="19" spans="1:61" x14ac:dyDescent="0.2">
      <c r="A19" s="29">
        <v>17</v>
      </c>
      <c r="B19" s="88" t="s">
        <v>128</v>
      </c>
      <c r="C19" s="69" t="s">
        <v>63</v>
      </c>
      <c r="D19" s="69" t="s">
        <v>64</v>
      </c>
      <c r="E19" s="19">
        <v>84</v>
      </c>
      <c r="F19" s="20"/>
      <c r="G19" s="20">
        <v>85</v>
      </c>
      <c r="H19" s="20"/>
      <c r="I19" s="20">
        <v>87</v>
      </c>
      <c r="J19" s="20"/>
      <c r="K19" s="20">
        <v>88</v>
      </c>
      <c r="L19" s="21"/>
      <c r="M19" s="19">
        <v>78</v>
      </c>
      <c r="N19" s="20"/>
      <c r="O19" s="20">
        <v>89</v>
      </c>
      <c r="P19" s="20"/>
      <c r="Q19" s="20">
        <v>90</v>
      </c>
      <c r="R19" s="20"/>
      <c r="S19" s="20">
        <v>85</v>
      </c>
      <c r="T19" s="21"/>
      <c r="U19" s="19">
        <v>85</v>
      </c>
      <c r="V19" s="20"/>
      <c r="W19" s="20">
        <v>86</v>
      </c>
      <c r="X19" s="20"/>
      <c r="Y19" s="20">
        <v>87</v>
      </c>
      <c r="Z19" s="20"/>
      <c r="AA19" s="20">
        <v>88</v>
      </c>
      <c r="AB19" s="21"/>
      <c r="AC19" s="19">
        <v>86</v>
      </c>
      <c r="AD19" s="20"/>
      <c r="AE19" s="20">
        <v>89</v>
      </c>
      <c r="AF19" s="20"/>
      <c r="AG19" s="20">
        <v>87</v>
      </c>
      <c r="AH19" s="20"/>
      <c r="AI19" s="20">
        <v>88</v>
      </c>
      <c r="AJ19" s="3"/>
      <c r="AK19" s="44">
        <f t="shared" si="4"/>
        <v>86</v>
      </c>
      <c r="AL19" s="45">
        <f t="shared" si="5"/>
        <v>85.5</v>
      </c>
      <c r="AM19" s="46">
        <f t="shared" si="6"/>
        <v>86.5</v>
      </c>
      <c r="AN19" s="47">
        <f t="shared" si="7"/>
        <v>87.5</v>
      </c>
      <c r="AO19" s="48">
        <f t="shared" si="8"/>
        <v>86.375</v>
      </c>
      <c r="AP19" s="37"/>
      <c r="AR19" s="54" t="str">
        <f t="shared" si="9"/>
        <v/>
      </c>
      <c r="AS19" s="20"/>
      <c r="AT19" s="56">
        <f t="shared" si="10"/>
        <v>0</v>
      </c>
      <c r="AU19" s="57" t="str">
        <f t="shared" si="11"/>
        <v/>
      </c>
      <c r="AV19" s="54" t="str">
        <f t="shared" si="12"/>
        <v/>
      </c>
      <c r="AW19" s="20"/>
      <c r="AX19" s="56">
        <f t="shared" si="13"/>
        <v>0</v>
      </c>
      <c r="AY19" s="60" t="str">
        <f t="shared" si="14"/>
        <v/>
      </c>
      <c r="AZ19" s="54" t="str">
        <f t="shared" si="15"/>
        <v/>
      </c>
      <c r="BA19" s="21"/>
      <c r="BB19" s="62">
        <f t="shared" si="16"/>
        <v>86.375</v>
      </c>
      <c r="BC19" s="64" t="str">
        <f t="shared" si="17"/>
        <v/>
      </c>
      <c r="BE19" s="20">
        <f t="shared" si="18"/>
        <v>83.25</v>
      </c>
      <c r="BF19" s="20">
        <f t="shared" si="19"/>
        <v>87.25</v>
      </c>
      <c r="BG19" s="89">
        <f t="shared" si="20"/>
        <v>87.75</v>
      </c>
      <c r="BH19" s="20">
        <f t="shared" si="21"/>
        <v>87.25</v>
      </c>
      <c r="BI19" s="20">
        <f t="shared" si="22"/>
        <v>86.375</v>
      </c>
    </row>
    <row r="20" spans="1:61" x14ac:dyDescent="0.2">
      <c r="A20" s="29">
        <v>18</v>
      </c>
      <c r="B20" s="88" t="s">
        <v>129</v>
      </c>
      <c r="C20" s="70" t="s">
        <v>65</v>
      </c>
      <c r="D20" s="70" t="s">
        <v>66</v>
      </c>
      <c r="E20" s="19">
        <v>76</v>
      </c>
      <c r="F20" s="20"/>
      <c r="G20" s="20">
        <v>77</v>
      </c>
      <c r="H20" s="20"/>
      <c r="I20" s="20">
        <v>76</v>
      </c>
      <c r="J20" s="20"/>
      <c r="K20" s="20">
        <v>78</v>
      </c>
      <c r="L20" s="21"/>
      <c r="M20" s="19">
        <v>78</v>
      </c>
      <c r="N20" s="20"/>
      <c r="O20" s="20">
        <v>76</v>
      </c>
      <c r="P20" s="20"/>
      <c r="Q20" s="20">
        <v>75</v>
      </c>
      <c r="R20" s="20"/>
      <c r="S20" s="20">
        <v>76</v>
      </c>
      <c r="T20" s="21"/>
      <c r="U20" s="19">
        <v>77</v>
      </c>
      <c r="V20" s="20"/>
      <c r="W20" s="20">
        <v>76</v>
      </c>
      <c r="X20" s="20"/>
      <c r="Y20" s="20">
        <v>78</v>
      </c>
      <c r="Z20" s="20"/>
      <c r="AA20" s="20">
        <v>79</v>
      </c>
      <c r="AB20" s="21"/>
      <c r="AC20" s="19">
        <v>76</v>
      </c>
      <c r="AD20" s="20"/>
      <c r="AE20" s="20">
        <v>78</v>
      </c>
      <c r="AF20" s="20"/>
      <c r="AG20" s="20">
        <v>79</v>
      </c>
      <c r="AH20" s="20"/>
      <c r="AI20" s="20">
        <v>78</v>
      </c>
      <c r="AJ20" s="3"/>
      <c r="AK20" s="44">
        <f t="shared" si="4"/>
        <v>76.75</v>
      </c>
      <c r="AL20" s="45">
        <f t="shared" si="5"/>
        <v>76.25</v>
      </c>
      <c r="AM20" s="46">
        <f t="shared" si="6"/>
        <v>77.5</v>
      </c>
      <c r="AN20" s="47">
        <f t="shared" si="7"/>
        <v>77.75</v>
      </c>
      <c r="AO20" s="48">
        <f t="shared" si="8"/>
        <v>77.0625</v>
      </c>
      <c r="AP20" s="37"/>
      <c r="AR20" s="54" t="str">
        <f t="shared" si="9"/>
        <v/>
      </c>
      <c r="AS20" s="20"/>
      <c r="AT20" s="56">
        <f t="shared" si="10"/>
        <v>0</v>
      </c>
      <c r="AU20" s="57" t="str">
        <f t="shared" si="11"/>
        <v/>
      </c>
      <c r="AV20" s="54" t="str">
        <f t="shared" si="12"/>
        <v/>
      </c>
      <c r="AW20" s="20"/>
      <c r="AX20" s="56">
        <f t="shared" si="13"/>
        <v>0</v>
      </c>
      <c r="AY20" s="60" t="str">
        <f t="shared" si="14"/>
        <v/>
      </c>
      <c r="AZ20" s="54" t="str">
        <f t="shared" si="15"/>
        <v/>
      </c>
      <c r="BA20" s="21"/>
      <c r="BB20" s="62">
        <f t="shared" si="16"/>
        <v>77.0625</v>
      </c>
      <c r="BC20" s="64" t="str">
        <f t="shared" si="17"/>
        <v/>
      </c>
      <c r="BE20" s="20">
        <f t="shared" si="18"/>
        <v>76.75</v>
      </c>
      <c r="BF20" s="20">
        <f t="shared" si="19"/>
        <v>76.75</v>
      </c>
      <c r="BG20" s="89">
        <f t="shared" si="20"/>
        <v>77</v>
      </c>
      <c r="BH20" s="20">
        <f t="shared" si="21"/>
        <v>77.75</v>
      </c>
      <c r="BI20" s="20">
        <f t="shared" si="22"/>
        <v>77.0625</v>
      </c>
    </row>
    <row r="21" spans="1:61" x14ac:dyDescent="0.2">
      <c r="A21" s="29">
        <v>19</v>
      </c>
      <c r="B21" s="88" t="s">
        <v>130</v>
      </c>
      <c r="C21" s="69" t="s">
        <v>67</v>
      </c>
      <c r="D21" s="69" t="s">
        <v>68</v>
      </c>
      <c r="E21" s="19">
        <v>75</v>
      </c>
      <c r="F21" s="20"/>
      <c r="G21" s="20">
        <v>80</v>
      </c>
      <c r="H21" s="20"/>
      <c r="I21" s="20">
        <v>81</v>
      </c>
      <c r="J21" s="20"/>
      <c r="K21" s="20">
        <v>84</v>
      </c>
      <c r="L21" s="21"/>
      <c r="M21" s="19">
        <v>76</v>
      </c>
      <c r="N21" s="20"/>
      <c r="O21" s="20">
        <v>80</v>
      </c>
      <c r="P21" s="20"/>
      <c r="Q21" s="20">
        <v>81</v>
      </c>
      <c r="R21" s="20"/>
      <c r="S21" s="20">
        <v>82</v>
      </c>
      <c r="T21" s="21"/>
      <c r="U21" s="19">
        <v>76</v>
      </c>
      <c r="V21" s="20"/>
      <c r="W21" s="20">
        <v>80</v>
      </c>
      <c r="X21" s="20"/>
      <c r="Y21" s="20">
        <v>83</v>
      </c>
      <c r="Z21" s="20"/>
      <c r="AA21" s="20">
        <v>84</v>
      </c>
      <c r="AB21" s="21"/>
      <c r="AC21" s="19">
        <v>76</v>
      </c>
      <c r="AD21" s="20"/>
      <c r="AE21" s="20">
        <v>81</v>
      </c>
      <c r="AF21" s="20"/>
      <c r="AG21" s="20">
        <v>84</v>
      </c>
      <c r="AH21" s="20"/>
      <c r="AI21" s="20">
        <v>85</v>
      </c>
      <c r="AJ21" s="3"/>
      <c r="AK21" s="44">
        <f t="shared" si="4"/>
        <v>80</v>
      </c>
      <c r="AL21" s="45">
        <f t="shared" si="5"/>
        <v>79.75</v>
      </c>
      <c r="AM21" s="46">
        <f t="shared" si="6"/>
        <v>80.75</v>
      </c>
      <c r="AN21" s="47">
        <f t="shared" si="7"/>
        <v>81.5</v>
      </c>
      <c r="AO21" s="48">
        <f t="shared" si="8"/>
        <v>80.5</v>
      </c>
      <c r="AP21" s="37"/>
      <c r="AR21" s="54" t="str">
        <f t="shared" si="9"/>
        <v/>
      </c>
      <c r="AS21" s="20"/>
      <c r="AT21" s="56">
        <f t="shared" si="10"/>
        <v>0</v>
      </c>
      <c r="AU21" s="57" t="str">
        <f t="shared" si="11"/>
        <v/>
      </c>
      <c r="AV21" s="54" t="str">
        <f t="shared" si="12"/>
        <v/>
      </c>
      <c r="AW21" s="20"/>
      <c r="AX21" s="56">
        <f t="shared" si="13"/>
        <v>0</v>
      </c>
      <c r="AY21" s="60" t="str">
        <f t="shared" si="14"/>
        <v/>
      </c>
      <c r="AZ21" s="54" t="str">
        <f t="shared" si="15"/>
        <v/>
      </c>
      <c r="BA21" s="21"/>
      <c r="BB21" s="62">
        <f t="shared" si="16"/>
        <v>80.5</v>
      </c>
      <c r="BC21" s="64" t="str">
        <f t="shared" si="17"/>
        <v/>
      </c>
      <c r="BE21" s="20">
        <f t="shared" si="18"/>
        <v>75.75</v>
      </c>
      <c r="BF21" s="20">
        <f t="shared" si="19"/>
        <v>80.25</v>
      </c>
      <c r="BG21" s="89">
        <f t="shared" si="20"/>
        <v>82.25</v>
      </c>
      <c r="BH21" s="20">
        <f t="shared" si="21"/>
        <v>83.75</v>
      </c>
      <c r="BI21" s="20">
        <f t="shared" si="22"/>
        <v>80.5</v>
      </c>
    </row>
    <row r="22" spans="1:61" x14ac:dyDescent="0.2">
      <c r="A22" s="29">
        <v>20</v>
      </c>
      <c r="B22" s="88" t="s">
        <v>131</v>
      </c>
      <c r="C22" s="70" t="s">
        <v>69</v>
      </c>
      <c r="D22" s="70" t="s">
        <v>70</v>
      </c>
      <c r="E22" s="19">
        <v>77</v>
      </c>
      <c r="F22" s="20"/>
      <c r="G22" s="20">
        <v>79</v>
      </c>
      <c r="H22" s="20"/>
      <c r="I22" s="20">
        <v>75</v>
      </c>
      <c r="J22" s="20"/>
      <c r="K22" s="20">
        <v>78</v>
      </c>
      <c r="L22" s="21"/>
      <c r="M22" s="19">
        <v>76</v>
      </c>
      <c r="N22" s="20"/>
      <c r="O22" s="20">
        <v>77</v>
      </c>
      <c r="P22" s="20"/>
      <c r="Q22" s="20">
        <v>78</v>
      </c>
      <c r="R22" s="20"/>
      <c r="S22" s="20">
        <v>76</v>
      </c>
      <c r="T22" s="21"/>
      <c r="U22" s="19">
        <v>75</v>
      </c>
      <c r="V22" s="20"/>
      <c r="W22" s="20">
        <v>75</v>
      </c>
      <c r="X22" s="20"/>
      <c r="Y22" s="20">
        <v>77</v>
      </c>
      <c r="Z22" s="20"/>
      <c r="AA22" s="20">
        <v>78</v>
      </c>
      <c r="AB22" s="21"/>
      <c r="AC22" s="19">
        <v>76</v>
      </c>
      <c r="AD22" s="20"/>
      <c r="AE22" s="20">
        <v>79</v>
      </c>
      <c r="AF22" s="20"/>
      <c r="AG22" s="20">
        <v>79</v>
      </c>
      <c r="AH22" s="20"/>
      <c r="AI22" s="20">
        <v>78</v>
      </c>
      <c r="AJ22" s="3"/>
      <c r="AK22" s="44">
        <f t="shared" si="4"/>
        <v>77.25</v>
      </c>
      <c r="AL22" s="45">
        <f t="shared" si="5"/>
        <v>76.75</v>
      </c>
      <c r="AM22" s="46">
        <f t="shared" si="6"/>
        <v>76.25</v>
      </c>
      <c r="AN22" s="47">
        <f t="shared" si="7"/>
        <v>78</v>
      </c>
      <c r="AO22" s="48">
        <f t="shared" si="8"/>
        <v>77.0625</v>
      </c>
      <c r="AP22" s="37"/>
      <c r="AR22" s="54" t="str">
        <f t="shared" si="9"/>
        <v/>
      </c>
      <c r="AS22" s="20"/>
      <c r="AT22" s="56">
        <f t="shared" si="10"/>
        <v>0</v>
      </c>
      <c r="AU22" s="57" t="str">
        <f t="shared" si="11"/>
        <v/>
      </c>
      <c r="AV22" s="54" t="str">
        <f t="shared" si="12"/>
        <v/>
      </c>
      <c r="AW22" s="20"/>
      <c r="AX22" s="56">
        <f t="shared" si="13"/>
        <v>0</v>
      </c>
      <c r="AY22" s="60" t="str">
        <f t="shared" si="14"/>
        <v/>
      </c>
      <c r="AZ22" s="54" t="str">
        <f t="shared" si="15"/>
        <v/>
      </c>
      <c r="BA22" s="21"/>
      <c r="BB22" s="62">
        <f t="shared" si="16"/>
        <v>77.0625</v>
      </c>
      <c r="BC22" s="64" t="str">
        <f t="shared" si="17"/>
        <v/>
      </c>
      <c r="BE22" s="20">
        <f t="shared" si="18"/>
        <v>76</v>
      </c>
      <c r="BF22" s="20">
        <f t="shared" si="19"/>
        <v>77.5</v>
      </c>
      <c r="BG22" s="89">
        <f t="shared" si="20"/>
        <v>77.25</v>
      </c>
      <c r="BH22" s="20">
        <f t="shared" si="21"/>
        <v>77.5</v>
      </c>
      <c r="BI22" s="20">
        <f t="shared" si="22"/>
        <v>77.0625</v>
      </c>
    </row>
    <row r="23" spans="1:61" x14ac:dyDescent="0.2">
      <c r="A23" s="29">
        <v>21</v>
      </c>
      <c r="B23" s="88" t="s">
        <v>132</v>
      </c>
      <c r="C23" s="69" t="s">
        <v>71</v>
      </c>
      <c r="D23" s="69" t="s">
        <v>72</v>
      </c>
      <c r="E23" s="19"/>
      <c r="F23" s="19">
        <v>60</v>
      </c>
      <c r="G23" s="19">
        <v>60</v>
      </c>
      <c r="H23" s="20"/>
      <c r="I23" s="20">
        <v>65</v>
      </c>
      <c r="J23" s="20"/>
      <c r="K23" s="20">
        <v>63</v>
      </c>
      <c r="L23" s="20"/>
      <c r="M23" s="20">
        <v>68</v>
      </c>
      <c r="N23" s="19">
        <v>60</v>
      </c>
      <c r="O23" s="19">
        <v>60</v>
      </c>
      <c r="P23" s="20"/>
      <c r="Q23" s="20">
        <v>65</v>
      </c>
      <c r="R23" s="20"/>
      <c r="S23" s="20">
        <v>63</v>
      </c>
      <c r="T23" s="20"/>
      <c r="U23" s="20">
        <v>68</v>
      </c>
      <c r="V23" s="19">
        <v>60</v>
      </c>
      <c r="W23" s="19">
        <v>60</v>
      </c>
      <c r="X23" s="20"/>
      <c r="Y23" s="20">
        <v>65</v>
      </c>
      <c r="Z23" s="20"/>
      <c r="AA23" s="20">
        <v>63</v>
      </c>
      <c r="AB23" s="20"/>
      <c r="AC23" s="20">
        <v>68</v>
      </c>
      <c r="AD23" s="19">
        <v>60</v>
      </c>
      <c r="AE23" s="19">
        <v>60</v>
      </c>
      <c r="AF23" s="20"/>
      <c r="AG23" s="20">
        <v>65</v>
      </c>
      <c r="AH23" s="20"/>
      <c r="AI23" s="20">
        <v>63</v>
      </c>
      <c r="AJ23" s="3"/>
      <c r="AK23" s="44">
        <f t="shared" si="4"/>
        <v>15</v>
      </c>
      <c r="AL23" s="45">
        <f t="shared" si="5"/>
        <v>15</v>
      </c>
      <c r="AM23" s="46">
        <f t="shared" si="6"/>
        <v>15</v>
      </c>
      <c r="AN23" s="47">
        <f t="shared" si="7"/>
        <v>48.25</v>
      </c>
      <c r="AO23" s="48">
        <f t="shared" si="8"/>
        <v>23.3125</v>
      </c>
      <c r="AP23" s="37"/>
      <c r="AR23" s="54">
        <f t="shared" si="9"/>
        <v>11.65625</v>
      </c>
      <c r="AS23" s="20"/>
      <c r="AT23" s="56">
        <f t="shared" si="10"/>
        <v>0</v>
      </c>
      <c r="AU23" s="57" t="str">
        <f t="shared" si="11"/>
        <v/>
      </c>
      <c r="AV23" s="54" t="str">
        <f t="shared" si="12"/>
        <v/>
      </c>
      <c r="AW23" s="20"/>
      <c r="AX23" s="56">
        <f t="shared" si="13"/>
        <v>0</v>
      </c>
      <c r="AY23" s="60" t="str">
        <f t="shared" si="14"/>
        <v/>
      </c>
      <c r="AZ23" s="54" t="str">
        <f t="shared" si="15"/>
        <v/>
      </c>
      <c r="BA23" s="21"/>
      <c r="BB23" s="62" t="str">
        <f t="shared" si="16"/>
        <v/>
      </c>
      <c r="BC23" s="64">
        <f t="shared" si="17"/>
        <v>23.3125</v>
      </c>
      <c r="BE23" s="20">
        <f t="shared" si="18"/>
        <v>51</v>
      </c>
      <c r="BF23" s="20">
        <f t="shared" si="19"/>
        <v>60</v>
      </c>
      <c r="BG23" s="89">
        <f t="shared" si="20"/>
        <v>65</v>
      </c>
      <c r="BH23" s="20">
        <f t="shared" si="21"/>
        <v>63</v>
      </c>
      <c r="BI23" s="20">
        <f t="shared" si="22"/>
        <v>59.75</v>
      </c>
    </row>
    <row r="24" spans="1:61" x14ac:dyDescent="0.2">
      <c r="A24" s="29">
        <v>22</v>
      </c>
      <c r="B24" s="88" t="s">
        <v>133</v>
      </c>
      <c r="C24" s="70" t="s">
        <v>73</v>
      </c>
      <c r="D24" s="70" t="s">
        <v>74</v>
      </c>
      <c r="E24" s="19"/>
      <c r="F24" s="19">
        <v>60</v>
      </c>
      <c r="G24" s="19">
        <v>60</v>
      </c>
      <c r="H24" s="20"/>
      <c r="I24" s="20">
        <v>65</v>
      </c>
      <c r="J24" s="20"/>
      <c r="K24" s="20">
        <v>63</v>
      </c>
      <c r="L24" s="20"/>
      <c r="M24" s="20">
        <v>68</v>
      </c>
      <c r="N24" s="19">
        <v>60</v>
      </c>
      <c r="O24" s="19">
        <v>60</v>
      </c>
      <c r="P24" s="20"/>
      <c r="Q24" s="20">
        <v>65</v>
      </c>
      <c r="R24" s="20"/>
      <c r="S24" s="20">
        <v>63</v>
      </c>
      <c r="T24" s="20"/>
      <c r="U24" s="20">
        <v>68</v>
      </c>
      <c r="V24" s="19">
        <v>60</v>
      </c>
      <c r="W24" s="19">
        <v>60</v>
      </c>
      <c r="X24" s="20"/>
      <c r="Y24" s="20">
        <v>65</v>
      </c>
      <c r="Z24" s="20"/>
      <c r="AA24" s="20">
        <v>63</v>
      </c>
      <c r="AB24" s="20"/>
      <c r="AC24" s="20">
        <v>68</v>
      </c>
      <c r="AD24" s="19">
        <v>60</v>
      </c>
      <c r="AE24" s="19">
        <v>60</v>
      </c>
      <c r="AF24" s="20"/>
      <c r="AG24" s="20">
        <v>65</v>
      </c>
      <c r="AH24" s="20"/>
      <c r="AI24" s="20">
        <v>63</v>
      </c>
      <c r="AJ24" s="3"/>
      <c r="AK24" s="44">
        <f t="shared" si="4"/>
        <v>15</v>
      </c>
      <c r="AL24" s="45">
        <f t="shared" si="5"/>
        <v>15</v>
      </c>
      <c r="AM24" s="46">
        <f t="shared" si="6"/>
        <v>15</v>
      </c>
      <c r="AN24" s="47">
        <f t="shared" si="7"/>
        <v>48.25</v>
      </c>
      <c r="AO24" s="48">
        <f t="shared" si="8"/>
        <v>23.3125</v>
      </c>
      <c r="AP24" s="37"/>
      <c r="AR24" s="54">
        <f t="shared" si="9"/>
        <v>11.65625</v>
      </c>
      <c r="AS24" s="20"/>
      <c r="AT24" s="56">
        <f t="shared" si="10"/>
        <v>0</v>
      </c>
      <c r="AU24" s="57" t="str">
        <f t="shared" si="11"/>
        <v/>
      </c>
      <c r="AV24" s="54" t="str">
        <f t="shared" si="12"/>
        <v/>
      </c>
      <c r="AW24" s="20"/>
      <c r="AX24" s="56">
        <f t="shared" si="13"/>
        <v>0</v>
      </c>
      <c r="AY24" s="60" t="str">
        <f t="shared" si="14"/>
        <v/>
      </c>
      <c r="AZ24" s="54" t="str">
        <f t="shared" si="15"/>
        <v/>
      </c>
      <c r="BA24" s="21"/>
      <c r="BB24" s="62" t="str">
        <f t="shared" si="16"/>
        <v/>
      </c>
      <c r="BC24" s="64">
        <f t="shared" si="17"/>
        <v>23.3125</v>
      </c>
      <c r="BE24" s="20">
        <f t="shared" si="18"/>
        <v>51</v>
      </c>
      <c r="BF24" s="20">
        <f t="shared" si="19"/>
        <v>60</v>
      </c>
      <c r="BG24" s="89">
        <f t="shared" si="20"/>
        <v>65</v>
      </c>
      <c r="BH24" s="20">
        <f t="shared" si="21"/>
        <v>63</v>
      </c>
      <c r="BI24" s="20">
        <f t="shared" si="22"/>
        <v>59.75</v>
      </c>
    </row>
    <row r="25" spans="1:61" x14ac:dyDescent="0.2">
      <c r="A25" s="29">
        <v>23</v>
      </c>
      <c r="B25" s="88" t="s">
        <v>134</v>
      </c>
      <c r="C25" s="69" t="s">
        <v>75</v>
      </c>
      <c r="D25" s="69" t="s">
        <v>76</v>
      </c>
      <c r="E25" s="19">
        <v>78</v>
      </c>
      <c r="F25" s="20"/>
      <c r="G25" s="20">
        <v>79</v>
      </c>
      <c r="H25" s="20"/>
      <c r="I25" s="20">
        <v>76</v>
      </c>
      <c r="J25" s="20"/>
      <c r="K25" s="20">
        <v>77</v>
      </c>
      <c r="L25" s="21"/>
      <c r="M25" s="19">
        <v>78</v>
      </c>
      <c r="N25" s="20"/>
      <c r="O25" s="20">
        <v>76</v>
      </c>
      <c r="P25" s="20"/>
      <c r="Q25" s="20">
        <v>75</v>
      </c>
      <c r="R25" s="20"/>
      <c r="S25" s="20">
        <v>74</v>
      </c>
      <c r="T25" s="21"/>
      <c r="U25" s="19">
        <v>71</v>
      </c>
      <c r="V25" s="20"/>
      <c r="W25" s="20">
        <v>78</v>
      </c>
      <c r="X25" s="20"/>
      <c r="Y25" s="20">
        <v>79</v>
      </c>
      <c r="Z25" s="20"/>
      <c r="AA25" s="20">
        <v>76</v>
      </c>
      <c r="AB25" s="21"/>
      <c r="AC25" s="19">
        <v>78</v>
      </c>
      <c r="AD25" s="20"/>
      <c r="AE25" s="20">
        <v>76</v>
      </c>
      <c r="AF25" s="20"/>
      <c r="AG25" s="20">
        <v>75</v>
      </c>
      <c r="AH25" s="20"/>
      <c r="AI25" s="20">
        <v>74</v>
      </c>
      <c r="AJ25" s="3"/>
      <c r="AK25" s="44">
        <f t="shared" si="4"/>
        <v>77.5</v>
      </c>
      <c r="AL25" s="45">
        <f t="shared" si="5"/>
        <v>75.75</v>
      </c>
      <c r="AM25" s="46">
        <f t="shared" si="6"/>
        <v>76</v>
      </c>
      <c r="AN25" s="47">
        <f t="shared" si="7"/>
        <v>75.75</v>
      </c>
      <c r="AO25" s="48">
        <f t="shared" si="8"/>
        <v>76.25</v>
      </c>
      <c r="AP25" s="37"/>
      <c r="AR25" s="54" t="str">
        <f t="shared" si="9"/>
        <v/>
      </c>
      <c r="AS25" s="20"/>
      <c r="AT25" s="56">
        <f t="shared" si="10"/>
        <v>0</v>
      </c>
      <c r="AU25" s="57" t="str">
        <f t="shared" si="11"/>
        <v/>
      </c>
      <c r="AV25" s="54" t="str">
        <f t="shared" si="12"/>
        <v/>
      </c>
      <c r="AW25" s="20"/>
      <c r="AX25" s="56">
        <f t="shared" si="13"/>
        <v>0</v>
      </c>
      <c r="AY25" s="60" t="str">
        <f t="shared" si="14"/>
        <v/>
      </c>
      <c r="AZ25" s="54" t="str">
        <f t="shared" si="15"/>
        <v/>
      </c>
      <c r="BA25" s="21"/>
      <c r="BB25" s="62">
        <f t="shared" si="16"/>
        <v>76.25</v>
      </c>
      <c r="BC25" s="64" t="str">
        <f t="shared" si="17"/>
        <v/>
      </c>
      <c r="BE25" s="20">
        <f t="shared" si="18"/>
        <v>76.25</v>
      </c>
      <c r="BF25" s="20">
        <f t="shared" si="19"/>
        <v>77.25</v>
      </c>
      <c r="BG25" s="89">
        <f t="shared" si="20"/>
        <v>76.25</v>
      </c>
      <c r="BH25" s="20">
        <f t="shared" si="21"/>
        <v>75.25</v>
      </c>
      <c r="BI25" s="20">
        <f t="shared" si="22"/>
        <v>76.25</v>
      </c>
    </row>
    <row r="26" spans="1:61" x14ac:dyDescent="0.2">
      <c r="A26" s="29">
        <v>24</v>
      </c>
      <c r="B26" s="88" t="s">
        <v>135</v>
      </c>
      <c r="C26" s="70" t="s">
        <v>77</v>
      </c>
      <c r="D26" s="70" t="s">
        <v>78</v>
      </c>
      <c r="E26" s="19">
        <v>75</v>
      </c>
      <c r="F26" s="20"/>
      <c r="G26" s="20">
        <v>76</v>
      </c>
      <c r="H26" s="20"/>
      <c r="I26" s="20">
        <v>77</v>
      </c>
      <c r="J26" s="20"/>
      <c r="K26" s="20">
        <v>78</v>
      </c>
      <c r="L26" s="21"/>
      <c r="M26" s="19">
        <v>75</v>
      </c>
      <c r="N26" s="20"/>
      <c r="O26" s="20">
        <v>76</v>
      </c>
      <c r="P26" s="20"/>
      <c r="Q26" s="20">
        <v>77</v>
      </c>
      <c r="R26" s="20"/>
      <c r="S26" s="20">
        <v>78</v>
      </c>
      <c r="T26" s="21"/>
      <c r="U26" s="19">
        <v>75</v>
      </c>
      <c r="V26" s="20"/>
      <c r="W26" s="20">
        <v>74</v>
      </c>
      <c r="X26" s="20"/>
      <c r="Y26" s="20">
        <v>74</v>
      </c>
      <c r="Z26" s="20"/>
      <c r="AA26" s="20">
        <v>75</v>
      </c>
      <c r="AB26" s="21"/>
      <c r="AC26" s="19">
        <v>73</v>
      </c>
      <c r="AD26" s="20"/>
      <c r="AE26" s="20">
        <v>74</v>
      </c>
      <c r="AF26" s="20"/>
      <c r="AG26" s="20">
        <v>75</v>
      </c>
      <c r="AH26" s="20"/>
      <c r="AI26" s="20">
        <v>73</v>
      </c>
      <c r="AJ26" s="3"/>
      <c r="AK26" s="44">
        <f t="shared" si="4"/>
        <v>76.5</v>
      </c>
      <c r="AL26" s="45">
        <f t="shared" si="5"/>
        <v>76.5</v>
      </c>
      <c r="AM26" s="46">
        <f t="shared" si="6"/>
        <v>74.5</v>
      </c>
      <c r="AN26" s="47">
        <f t="shared" si="7"/>
        <v>73.75</v>
      </c>
      <c r="AO26" s="48">
        <f t="shared" si="8"/>
        <v>75.3125</v>
      </c>
      <c r="AP26" s="37"/>
      <c r="AR26" s="54" t="str">
        <f t="shared" si="9"/>
        <v/>
      </c>
      <c r="AS26" s="20"/>
      <c r="AT26" s="56">
        <f t="shared" si="10"/>
        <v>0</v>
      </c>
      <c r="AU26" s="57" t="str">
        <f t="shared" si="11"/>
        <v/>
      </c>
      <c r="AV26" s="54" t="str">
        <f t="shared" si="12"/>
        <v/>
      </c>
      <c r="AW26" s="20"/>
      <c r="AX26" s="56">
        <f t="shared" si="13"/>
        <v>0</v>
      </c>
      <c r="AY26" s="60" t="str">
        <f t="shared" si="14"/>
        <v/>
      </c>
      <c r="AZ26" s="54" t="str">
        <f t="shared" si="15"/>
        <v/>
      </c>
      <c r="BA26" s="21"/>
      <c r="BB26" s="62">
        <f t="shared" si="16"/>
        <v>75.3125</v>
      </c>
      <c r="BC26" s="64" t="str">
        <f t="shared" si="17"/>
        <v/>
      </c>
      <c r="BE26" s="20">
        <f t="shared" si="18"/>
        <v>74.5</v>
      </c>
      <c r="BF26" s="20">
        <f t="shared" si="19"/>
        <v>75</v>
      </c>
      <c r="BG26" s="89">
        <f t="shared" si="20"/>
        <v>75.75</v>
      </c>
      <c r="BH26" s="20">
        <f t="shared" si="21"/>
        <v>76</v>
      </c>
      <c r="BI26" s="20">
        <f t="shared" si="22"/>
        <v>75.3125</v>
      </c>
    </row>
    <row r="27" spans="1:61" x14ac:dyDescent="0.2">
      <c r="A27" s="29">
        <v>25</v>
      </c>
      <c r="B27" s="88" t="s">
        <v>136</v>
      </c>
      <c r="C27" s="69" t="s">
        <v>79</v>
      </c>
      <c r="D27" s="69" t="s">
        <v>80</v>
      </c>
      <c r="E27" s="19">
        <v>90</v>
      </c>
      <c r="F27" s="20"/>
      <c r="G27" s="20"/>
      <c r="H27" s="20"/>
      <c r="I27" s="20"/>
      <c r="J27" s="20"/>
      <c r="K27" s="20"/>
      <c r="L27" s="21"/>
      <c r="M27" s="19">
        <v>95</v>
      </c>
      <c r="N27" s="20"/>
      <c r="O27" s="20"/>
      <c r="P27" s="20"/>
      <c r="Q27" s="20"/>
      <c r="R27" s="20"/>
      <c r="S27" s="20"/>
      <c r="T27" s="21"/>
      <c r="U27" s="19">
        <v>96</v>
      </c>
      <c r="V27" s="20"/>
      <c r="W27" s="20"/>
      <c r="X27" s="20"/>
      <c r="Y27" s="20"/>
      <c r="Z27" s="20"/>
      <c r="AA27" s="20"/>
      <c r="AB27" s="21"/>
      <c r="AC27" s="19">
        <v>95</v>
      </c>
      <c r="AD27" s="20"/>
      <c r="AE27" s="20"/>
      <c r="AF27" s="20"/>
      <c r="AG27" s="20"/>
      <c r="AH27" s="20"/>
      <c r="AI27" s="20"/>
      <c r="AJ27" s="3"/>
      <c r="AK27" s="44">
        <f t="shared" si="4"/>
        <v>22.5</v>
      </c>
      <c r="AL27" s="45">
        <f t="shared" si="5"/>
        <v>23.75</v>
      </c>
      <c r="AM27" s="46">
        <f t="shared" si="6"/>
        <v>24</v>
      </c>
      <c r="AN27" s="47">
        <f t="shared" si="7"/>
        <v>23.75</v>
      </c>
      <c r="AO27" s="48">
        <f t="shared" si="8"/>
        <v>23.5</v>
      </c>
      <c r="AP27" s="37"/>
      <c r="AR27" s="54">
        <f t="shared" si="9"/>
        <v>11.75</v>
      </c>
      <c r="AS27" s="20"/>
      <c r="AT27" s="56">
        <f t="shared" si="10"/>
        <v>0</v>
      </c>
      <c r="AU27" s="57" t="str">
        <f t="shared" si="11"/>
        <v/>
      </c>
      <c r="AV27" s="54" t="str">
        <f t="shared" si="12"/>
        <v/>
      </c>
      <c r="AW27" s="20"/>
      <c r="AX27" s="56">
        <f t="shared" si="13"/>
        <v>0</v>
      </c>
      <c r="AY27" s="60" t="str">
        <f t="shared" si="14"/>
        <v/>
      </c>
      <c r="AZ27" s="54" t="str">
        <f t="shared" si="15"/>
        <v/>
      </c>
      <c r="BA27" s="21"/>
      <c r="BB27" s="62" t="str">
        <f t="shared" si="16"/>
        <v/>
      </c>
      <c r="BC27" s="64">
        <f t="shared" si="17"/>
        <v>23.5</v>
      </c>
      <c r="BE27" s="20">
        <f t="shared" si="18"/>
        <v>94</v>
      </c>
      <c r="BF27" s="20">
        <f t="shared" si="19"/>
        <v>0</v>
      </c>
      <c r="BG27" s="89">
        <f t="shared" si="20"/>
        <v>0</v>
      </c>
      <c r="BH27" s="20">
        <f t="shared" si="21"/>
        <v>0</v>
      </c>
      <c r="BI27" s="20">
        <f t="shared" si="22"/>
        <v>23.5</v>
      </c>
    </row>
    <row r="28" spans="1:61" x14ac:dyDescent="0.2">
      <c r="A28" s="29">
        <v>26</v>
      </c>
      <c r="B28" s="88" t="s">
        <v>137</v>
      </c>
      <c r="C28" s="70" t="s">
        <v>81</v>
      </c>
      <c r="D28" s="70" t="s">
        <v>82</v>
      </c>
      <c r="E28" s="19">
        <v>90</v>
      </c>
      <c r="F28" s="20"/>
      <c r="G28" s="20">
        <v>95</v>
      </c>
      <c r="H28" s="20"/>
      <c r="I28" s="20">
        <v>94</v>
      </c>
      <c r="J28" s="20"/>
      <c r="K28" s="20">
        <v>93</v>
      </c>
      <c r="L28" s="21"/>
      <c r="M28" s="19">
        <v>95</v>
      </c>
      <c r="N28" s="20"/>
      <c r="O28" s="20">
        <v>94</v>
      </c>
      <c r="P28" s="20"/>
      <c r="Q28" s="20">
        <v>95</v>
      </c>
      <c r="R28" s="20"/>
      <c r="S28" s="20">
        <v>96</v>
      </c>
      <c r="T28" s="21"/>
      <c r="U28" s="19">
        <v>96</v>
      </c>
      <c r="V28" s="20"/>
      <c r="W28" s="20">
        <v>97</v>
      </c>
      <c r="X28" s="20"/>
      <c r="Y28" s="20">
        <v>95</v>
      </c>
      <c r="Z28" s="20"/>
      <c r="AA28" s="20">
        <v>93</v>
      </c>
      <c r="AB28" s="21"/>
      <c r="AC28" s="19">
        <v>95</v>
      </c>
      <c r="AD28" s="20"/>
      <c r="AE28" s="20">
        <v>94</v>
      </c>
      <c r="AF28" s="20"/>
      <c r="AG28" s="20">
        <v>95</v>
      </c>
      <c r="AH28" s="20"/>
      <c r="AI28" s="20">
        <v>93</v>
      </c>
      <c r="AJ28" s="3"/>
      <c r="AK28" s="44">
        <f t="shared" si="4"/>
        <v>93</v>
      </c>
      <c r="AL28" s="45">
        <f t="shared" si="5"/>
        <v>95</v>
      </c>
      <c r="AM28" s="46">
        <f t="shared" si="6"/>
        <v>95.25</v>
      </c>
      <c r="AN28" s="47">
        <f t="shared" si="7"/>
        <v>94.25</v>
      </c>
      <c r="AO28" s="48">
        <f t="shared" si="8"/>
        <v>94.375</v>
      </c>
      <c r="AP28" s="37"/>
      <c r="AR28" s="54" t="str">
        <f t="shared" si="9"/>
        <v/>
      </c>
      <c r="AS28" s="20"/>
      <c r="AT28" s="56">
        <f t="shared" si="10"/>
        <v>0</v>
      </c>
      <c r="AU28" s="57" t="str">
        <f t="shared" si="11"/>
        <v/>
      </c>
      <c r="AV28" s="54" t="str">
        <f t="shared" si="12"/>
        <v/>
      </c>
      <c r="AW28" s="20"/>
      <c r="AX28" s="56">
        <f t="shared" si="13"/>
        <v>0</v>
      </c>
      <c r="AY28" s="60" t="str">
        <f t="shared" si="14"/>
        <v/>
      </c>
      <c r="AZ28" s="54" t="str">
        <f t="shared" si="15"/>
        <v/>
      </c>
      <c r="BA28" s="21"/>
      <c r="BB28" s="62">
        <f t="shared" si="16"/>
        <v>94.375</v>
      </c>
      <c r="BC28" s="64" t="str">
        <f t="shared" si="17"/>
        <v/>
      </c>
      <c r="BE28" s="20">
        <f t="shared" si="18"/>
        <v>94</v>
      </c>
      <c r="BF28" s="20">
        <f t="shared" si="19"/>
        <v>95</v>
      </c>
      <c r="BG28" s="89">
        <f t="shared" si="20"/>
        <v>94.75</v>
      </c>
      <c r="BH28" s="20">
        <f t="shared" si="21"/>
        <v>93.75</v>
      </c>
      <c r="BI28" s="20">
        <f t="shared" si="22"/>
        <v>94.375</v>
      </c>
    </row>
    <row r="29" spans="1:61" x14ac:dyDescent="0.2">
      <c r="A29" s="29">
        <v>27</v>
      </c>
      <c r="B29" s="88" t="s">
        <v>138</v>
      </c>
      <c r="C29" s="69" t="s">
        <v>83</v>
      </c>
      <c r="D29" s="69" t="s">
        <v>84</v>
      </c>
      <c r="E29" s="19">
        <v>84</v>
      </c>
      <c r="F29" s="20"/>
      <c r="G29" s="20">
        <v>86</v>
      </c>
      <c r="H29" s="20"/>
      <c r="I29" s="20">
        <v>84</v>
      </c>
      <c r="J29" s="20"/>
      <c r="K29" s="20">
        <v>85</v>
      </c>
      <c r="L29" s="21"/>
      <c r="M29" s="19">
        <v>85</v>
      </c>
      <c r="N29" s="20"/>
      <c r="O29" s="20">
        <v>86</v>
      </c>
      <c r="P29" s="20"/>
      <c r="Q29" s="20">
        <v>87</v>
      </c>
      <c r="R29" s="20"/>
      <c r="S29" s="20">
        <v>85</v>
      </c>
      <c r="T29" s="21"/>
      <c r="U29" s="19">
        <v>84</v>
      </c>
      <c r="V29" s="20"/>
      <c r="W29" s="20">
        <v>84</v>
      </c>
      <c r="X29" s="20"/>
      <c r="Y29" s="20">
        <v>85</v>
      </c>
      <c r="Z29" s="20"/>
      <c r="AA29" s="20">
        <v>83</v>
      </c>
      <c r="AB29" s="21"/>
      <c r="AC29" s="19">
        <v>85</v>
      </c>
      <c r="AD29" s="20"/>
      <c r="AE29" s="20">
        <v>84</v>
      </c>
      <c r="AF29" s="20"/>
      <c r="AG29" s="20">
        <v>86</v>
      </c>
      <c r="AH29" s="20"/>
      <c r="AI29" s="20">
        <v>84</v>
      </c>
      <c r="AJ29" s="3"/>
      <c r="AK29" s="44">
        <f t="shared" si="4"/>
        <v>84.75</v>
      </c>
      <c r="AL29" s="45">
        <f t="shared" si="5"/>
        <v>85.75</v>
      </c>
      <c r="AM29" s="46">
        <f t="shared" si="6"/>
        <v>84</v>
      </c>
      <c r="AN29" s="47">
        <f t="shared" si="7"/>
        <v>84.75</v>
      </c>
      <c r="AO29" s="48">
        <f t="shared" si="8"/>
        <v>84.8125</v>
      </c>
      <c r="AP29" s="37"/>
      <c r="AR29" s="54" t="str">
        <f t="shared" si="9"/>
        <v/>
      </c>
      <c r="AS29" s="20"/>
      <c r="AT29" s="56">
        <f t="shared" si="10"/>
        <v>0</v>
      </c>
      <c r="AU29" s="57" t="str">
        <f t="shared" si="11"/>
        <v/>
      </c>
      <c r="AV29" s="54" t="str">
        <f t="shared" si="12"/>
        <v/>
      </c>
      <c r="AW29" s="20"/>
      <c r="AX29" s="56">
        <f t="shared" si="13"/>
        <v>0</v>
      </c>
      <c r="AY29" s="60" t="str">
        <f t="shared" si="14"/>
        <v/>
      </c>
      <c r="AZ29" s="54" t="str">
        <f t="shared" si="15"/>
        <v/>
      </c>
      <c r="BA29" s="21"/>
      <c r="BB29" s="62">
        <f t="shared" si="16"/>
        <v>84.8125</v>
      </c>
      <c r="BC29" s="64" t="str">
        <f t="shared" si="17"/>
        <v/>
      </c>
      <c r="BE29" s="20">
        <f t="shared" si="18"/>
        <v>84.5</v>
      </c>
      <c r="BF29" s="20">
        <f t="shared" si="19"/>
        <v>85</v>
      </c>
      <c r="BG29" s="89">
        <f t="shared" si="20"/>
        <v>85.5</v>
      </c>
      <c r="BH29" s="20">
        <f t="shared" si="21"/>
        <v>84.25</v>
      </c>
      <c r="BI29" s="20">
        <f t="shared" si="22"/>
        <v>84.8125</v>
      </c>
    </row>
    <row r="30" spans="1:61" x14ac:dyDescent="0.2">
      <c r="A30" s="29">
        <v>28</v>
      </c>
      <c r="B30" s="88" t="s">
        <v>139</v>
      </c>
      <c r="C30" s="70" t="s">
        <v>85</v>
      </c>
      <c r="D30" s="70" t="s">
        <v>86</v>
      </c>
      <c r="E30" s="19">
        <v>85</v>
      </c>
      <c r="F30" s="20"/>
      <c r="G30" s="20">
        <v>83</v>
      </c>
      <c r="H30" s="20"/>
      <c r="I30" s="20">
        <v>82</v>
      </c>
      <c r="J30" s="20"/>
      <c r="K30" s="20">
        <v>84</v>
      </c>
      <c r="L30" s="21"/>
      <c r="M30" s="19">
        <v>81</v>
      </c>
      <c r="N30" s="20"/>
      <c r="O30" s="20">
        <v>83</v>
      </c>
      <c r="P30" s="20"/>
      <c r="Q30" s="20">
        <v>82</v>
      </c>
      <c r="R30" s="20"/>
      <c r="S30" s="20">
        <v>82</v>
      </c>
      <c r="T30" s="21"/>
      <c r="U30" s="19">
        <v>73</v>
      </c>
      <c r="V30" s="20"/>
      <c r="W30" s="20">
        <v>85</v>
      </c>
      <c r="X30" s="20"/>
      <c r="Y30" s="20">
        <v>83</v>
      </c>
      <c r="Z30" s="20"/>
      <c r="AA30" s="20">
        <v>82</v>
      </c>
      <c r="AB30" s="21"/>
      <c r="AC30" s="19">
        <v>84</v>
      </c>
      <c r="AD30" s="20"/>
      <c r="AE30" s="20">
        <v>85</v>
      </c>
      <c r="AF30" s="20"/>
      <c r="AG30" s="20">
        <v>83</v>
      </c>
      <c r="AH30" s="20"/>
      <c r="AI30" s="20">
        <v>84</v>
      </c>
      <c r="AJ30" s="3"/>
      <c r="AK30" s="44">
        <f t="shared" si="4"/>
        <v>83.5</v>
      </c>
      <c r="AL30" s="45">
        <f t="shared" si="5"/>
        <v>82</v>
      </c>
      <c r="AM30" s="46">
        <f t="shared" si="6"/>
        <v>80.75</v>
      </c>
      <c r="AN30" s="47">
        <f t="shared" si="7"/>
        <v>84</v>
      </c>
      <c r="AO30" s="48">
        <f t="shared" si="8"/>
        <v>82.5625</v>
      </c>
      <c r="AP30" s="37"/>
      <c r="AR30" s="54" t="str">
        <f t="shared" si="9"/>
        <v/>
      </c>
      <c r="AS30" s="20"/>
      <c r="AT30" s="56">
        <f t="shared" si="10"/>
        <v>0</v>
      </c>
      <c r="AU30" s="57" t="str">
        <f t="shared" si="11"/>
        <v/>
      </c>
      <c r="AV30" s="54" t="str">
        <f t="shared" si="12"/>
        <v/>
      </c>
      <c r="AW30" s="20"/>
      <c r="AX30" s="56">
        <f t="shared" si="13"/>
        <v>0</v>
      </c>
      <c r="AY30" s="60" t="str">
        <f t="shared" si="14"/>
        <v/>
      </c>
      <c r="AZ30" s="54" t="str">
        <f t="shared" si="15"/>
        <v/>
      </c>
      <c r="BA30" s="21"/>
      <c r="BB30" s="62">
        <f t="shared" si="16"/>
        <v>82.5625</v>
      </c>
      <c r="BC30" s="64" t="str">
        <f t="shared" si="17"/>
        <v/>
      </c>
      <c r="BE30" s="20">
        <f t="shared" si="18"/>
        <v>80.75</v>
      </c>
      <c r="BF30" s="20">
        <f t="shared" si="19"/>
        <v>84</v>
      </c>
      <c r="BG30" s="89">
        <f t="shared" si="20"/>
        <v>82.5</v>
      </c>
      <c r="BH30" s="20">
        <f t="shared" si="21"/>
        <v>83</v>
      </c>
      <c r="BI30" s="20">
        <f t="shared" si="22"/>
        <v>82.5625</v>
      </c>
    </row>
    <row r="31" spans="1:61" x14ac:dyDescent="0.2">
      <c r="A31" s="29">
        <v>29</v>
      </c>
      <c r="B31" s="88" t="s">
        <v>140</v>
      </c>
      <c r="C31" s="69" t="s">
        <v>87</v>
      </c>
      <c r="D31" s="69" t="s">
        <v>88</v>
      </c>
      <c r="E31" s="19"/>
      <c r="F31" s="19">
        <v>60</v>
      </c>
      <c r="G31" s="19">
        <v>60</v>
      </c>
      <c r="H31" s="20"/>
      <c r="I31" s="20">
        <v>65</v>
      </c>
      <c r="J31" s="20"/>
      <c r="K31" s="20">
        <v>63</v>
      </c>
      <c r="L31" s="20"/>
      <c r="M31" s="20">
        <v>68</v>
      </c>
      <c r="N31" s="19">
        <v>60</v>
      </c>
      <c r="O31" s="19">
        <v>60</v>
      </c>
      <c r="P31" s="20"/>
      <c r="Q31" s="20">
        <v>65</v>
      </c>
      <c r="R31" s="20"/>
      <c r="S31" s="20">
        <v>63</v>
      </c>
      <c r="T31" s="20"/>
      <c r="U31" s="20">
        <v>68</v>
      </c>
      <c r="V31" s="19">
        <v>60</v>
      </c>
      <c r="W31" s="19">
        <v>60</v>
      </c>
      <c r="X31" s="20"/>
      <c r="Y31" s="20">
        <v>65</v>
      </c>
      <c r="Z31" s="20"/>
      <c r="AA31" s="20">
        <v>63</v>
      </c>
      <c r="AB31" s="20"/>
      <c r="AC31" s="20">
        <v>68</v>
      </c>
      <c r="AD31" s="19">
        <v>60</v>
      </c>
      <c r="AE31" s="19">
        <v>60</v>
      </c>
      <c r="AF31" s="20"/>
      <c r="AG31" s="20">
        <v>65</v>
      </c>
      <c r="AH31" s="20"/>
      <c r="AI31" s="20">
        <v>63</v>
      </c>
      <c r="AJ31" s="3"/>
      <c r="AK31" s="44">
        <f t="shared" si="4"/>
        <v>15</v>
      </c>
      <c r="AL31" s="45">
        <f t="shared" si="5"/>
        <v>15</v>
      </c>
      <c r="AM31" s="46">
        <f t="shared" si="6"/>
        <v>15</v>
      </c>
      <c r="AN31" s="47">
        <f t="shared" si="7"/>
        <v>48.25</v>
      </c>
      <c r="AO31" s="48">
        <f t="shared" si="8"/>
        <v>23.3125</v>
      </c>
      <c r="AP31" s="37"/>
      <c r="AR31" s="54">
        <f t="shared" si="9"/>
        <v>11.65625</v>
      </c>
      <c r="AS31" s="20"/>
      <c r="AT31" s="56">
        <f t="shared" si="10"/>
        <v>0</v>
      </c>
      <c r="AU31" s="57" t="str">
        <f t="shared" si="11"/>
        <v/>
      </c>
      <c r="AV31" s="54" t="str">
        <f t="shared" si="12"/>
        <v/>
      </c>
      <c r="AW31" s="20"/>
      <c r="AX31" s="56">
        <f t="shared" si="13"/>
        <v>0</v>
      </c>
      <c r="AY31" s="60" t="str">
        <f t="shared" si="14"/>
        <v/>
      </c>
      <c r="AZ31" s="54" t="str">
        <f t="shared" si="15"/>
        <v/>
      </c>
      <c r="BA31" s="21"/>
      <c r="BB31" s="62" t="str">
        <f t="shared" si="16"/>
        <v/>
      </c>
      <c r="BC31" s="64">
        <f t="shared" si="17"/>
        <v>23.3125</v>
      </c>
      <c r="BE31" s="20">
        <f t="shared" si="18"/>
        <v>51</v>
      </c>
      <c r="BF31" s="20">
        <f t="shared" si="19"/>
        <v>60</v>
      </c>
      <c r="BG31" s="89">
        <f t="shared" si="20"/>
        <v>65</v>
      </c>
      <c r="BH31" s="20">
        <f t="shared" si="21"/>
        <v>63</v>
      </c>
      <c r="BI31" s="20">
        <f t="shared" si="22"/>
        <v>59.75</v>
      </c>
    </row>
    <row r="32" spans="1:61" x14ac:dyDescent="0.2">
      <c r="A32" s="29">
        <v>30</v>
      </c>
      <c r="B32" s="88" t="s">
        <v>141</v>
      </c>
      <c r="C32" s="70" t="s">
        <v>89</v>
      </c>
      <c r="D32" s="70" t="s">
        <v>90</v>
      </c>
      <c r="E32" s="19">
        <v>76</v>
      </c>
      <c r="F32" s="20"/>
      <c r="G32" s="20">
        <v>75</v>
      </c>
      <c r="H32" s="20"/>
      <c r="I32" s="20">
        <v>75</v>
      </c>
      <c r="J32" s="20"/>
      <c r="K32" s="20">
        <v>72</v>
      </c>
      <c r="L32" s="21"/>
      <c r="M32" s="19">
        <v>74</v>
      </c>
      <c r="N32" s="20"/>
      <c r="O32" s="20">
        <v>75</v>
      </c>
      <c r="P32" s="20"/>
      <c r="Q32" s="20">
        <v>76</v>
      </c>
      <c r="R32" s="20"/>
      <c r="S32" s="20">
        <v>78</v>
      </c>
      <c r="T32" s="21"/>
      <c r="U32" s="19">
        <v>73</v>
      </c>
      <c r="V32" s="20"/>
      <c r="W32" s="20">
        <v>75</v>
      </c>
      <c r="X32" s="20"/>
      <c r="Y32" s="20">
        <v>76</v>
      </c>
      <c r="Z32" s="20"/>
      <c r="AA32" s="20">
        <v>75</v>
      </c>
      <c r="AB32" s="21"/>
      <c r="AC32" s="19">
        <v>77</v>
      </c>
      <c r="AD32" s="20"/>
      <c r="AE32" s="20">
        <v>79</v>
      </c>
      <c r="AF32" s="20"/>
      <c r="AG32" s="20">
        <v>78</v>
      </c>
      <c r="AH32" s="20"/>
      <c r="AI32" s="20">
        <v>76</v>
      </c>
      <c r="AJ32" s="3"/>
      <c r="AK32" s="44">
        <f t="shared" si="4"/>
        <v>74.5</v>
      </c>
      <c r="AL32" s="45">
        <f t="shared" si="5"/>
        <v>75.75</v>
      </c>
      <c r="AM32" s="46">
        <f t="shared" si="6"/>
        <v>74.75</v>
      </c>
      <c r="AN32" s="47">
        <f t="shared" si="7"/>
        <v>77.5</v>
      </c>
      <c r="AO32" s="48">
        <f t="shared" si="8"/>
        <v>75.625</v>
      </c>
      <c r="AP32" s="37"/>
      <c r="AR32" s="54" t="str">
        <f t="shared" si="9"/>
        <v/>
      </c>
      <c r="AS32" s="20"/>
      <c r="AT32" s="56">
        <f t="shared" si="10"/>
        <v>0</v>
      </c>
      <c r="AU32" s="57" t="str">
        <f t="shared" si="11"/>
        <v/>
      </c>
      <c r="AV32" s="54" t="str">
        <f t="shared" si="12"/>
        <v/>
      </c>
      <c r="AW32" s="20"/>
      <c r="AX32" s="56">
        <f t="shared" si="13"/>
        <v>0</v>
      </c>
      <c r="AY32" s="60" t="str">
        <f t="shared" si="14"/>
        <v/>
      </c>
      <c r="AZ32" s="54" t="str">
        <f t="shared" si="15"/>
        <v/>
      </c>
      <c r="BA32" s="21"/>
      <c r="BB32" s="62">
        <f t="shared" si="16"/>
        <v>75.625</v>
      </c>
      <c r="BC32" s="64" t="str">
        <f t="shared" si="17"/>
        <v/>
      </c>
      <c r="BE32" s="20">
        <f t="shared" si="18"/>
        <v>75</v>
      </c>
      <c r="BF32" s="20">
        <f t="shared" si="19"/>
        <v>76</v>
      </c>
      <c r="BG32" s="89">
        <f t="shared" si="20"/>
        <v>76.25</v>
      </c>
      <c r="BH32" s="20">
        <f t="shared" si="21"/>
        <v>75.25</v>
      </c>
      <c r="BI32" s="20">
        <f t="shared" si="22"/>
        <v>75.625</v>
      </c>
    </row>
    <row r="33" spans="1:61" x14ac:dyDescent="0.2">
      <c r="A33" s="29">
        <v>31</v>
      </c>
      <c r="B33" s="88" t="s">
        <v>142</v>
      </c>
      <c r="C33" s="69" t="s">
        <v>91</v>
      </c>
      <c r="D33" s="69" t="s">
        <v>92</v>
      </c>
      <c r="E33" s="19">
        <v>80</v>
      </c>
      <c r="F33" s="20"/>
      <c r="G33" s="20">
        <v>79</v>
      </c>
      <c r="H33" s="20"/>
      <c r="I33" s="20">
        <v>78</v>
      </c>
      <c r="J33" s="20"/>
      <c r="K33" s="20">
        <v>76</v>
      </c>
      <c r="L33" s="21"/>
      <c r="M33" s="19">
        <v>77</v>
      </c>
      <c r="N33" s="20"/>
      <c r="O33" s="20">
        <v>78</v>
      </c>
      <c r="P33" s="20"/>
      <c r="Q33" s="20">
        <v>79</v>
      </c>
      <c r="R33" s="20"/>
      <c r="S33" s="20">
        <v>76</v>
      </c>
      <c r="T33" s="21"/>
      <c r="U33" s="19">
        <v>77</v>
      </c>
      <c r="V33" s="20"/>
      <c r="W33" s="20">
        <v>75</v>
      </c>
      <c r="X33" s="20"/>
      <c r="Y33" s="20">
        <v>77</v>
      </c>
      <c r="Z33" s="20"/>
      <c r="AA33" s="20">
        <v>78</v>
      </c>
      <c r="AB33" s="21"/>
      <c r="AC33" s="19">
        <v>77</v>
      </c>
      <c r="AD33" s="20"/>
      <c r="AE33" s="20">
        <v>79</v>
      </c>
      <c r="AF33" s="20"/>
      <c r="AG33" s="20">
        <v>76</v>
      </c>
      <c r="AH33" s="20"/>
      <c r="AI33" s="20">
        <v>78</v>
      </c>
      <c r="AJ33" s="3"/>
      <c r="AK33" s="44">
        <f t="shared" si="4"/>
        <v>78.25</v>
      </c>
      <c r="AL33" s="45">
        <f t="shared" si="5"/>
        <v>77.5</v>
      </c>
      <c r="AM33" s="46">
        <f t="shared" si="6"/>
        <v>76.75</v>
      </c>
      <c r="AN33" s="47">
        <f t="shared" si="7"/>
        <v>77.5</v>
      </c>
      <c r="AO33" s="48">
        <f t="shared" si="8"/>
        <v>77.5</v>
      </c>
      <c r="AP33" s="37"/>
      <c r="AR33" s="54" t="str">
        <f t="shared" si="9"/>
        <v/>
      </c>
      <c r="AS33" s="20"/>
      <c r="AT33" s="56">
        <f t="shared" si="10"/>
        <v>0</v>
      </c>
      <c r="AU33" s="57" t="str">
        <f t="shared" si="11"/>
        <v/>
      </c>
      <c r="AV33" s="54" t="str">
        <f t="shared" si="12"/>
        <v/>
      </c>
      <c r="AW33" s="20"/>
      <c r="AX33" s="56">
        <f t="shared" si="13"/>
        <v>0</v>
      </c>
      <c r="AY33" s="60" t="str">
        <f t="shared" si="14"/>
        <v/>
      </c>
      <c r="AZ33" s="54" t="str">
        <f t="shared" si="15"/>
        <v/>
      </c>
      <c r="BA33" s="21"/>
      <c r="BB33" s="62">
        <f t="shared" si="16"/>
        <v>77.5</v>
      </c>
      <c r="BC33" s="64" t="str">
        <f t="shared" si="17"/>
        <v/>
      </c>
      <c r="BE33" s="20">
        <f t="shared" si="18"/>
        <v>77.75</v>
      </c>
      <c r="BF33" s="20">
        <f t="shared" si="19"/>
        <v>77.75</v>
      </c>
      <c r="BG33" s="89">
        <f t="shared" si="20"/>
        <v>77.5</v>
      </c>
      <c r="BH33" s="20">
        <f t="shared" si="21"/>
        <v>77</v>
      </c>
      <c r="BI33" s="20">
        <f t="shared" si="22"/>
        <v>77.5</v>
      </c>
    </row>
    <row r="34" spans="1:61" x14ac:dyDescent="0.2">
      <c r="A34" s="29">
        <v>32</v>
      </c>
      <c r="B34" s="88" t="s">
        <v>143</v>
      </c>
      <c r="C34" s="70" t="s">
        <v>93</v>
      </c>
      <c r="D34" s="70" t="s">
        <v>94</v>
      </c>
      <c r="E34" s="19">
        <v>79</v>
      </c>
      <c r="F34" s="20"/>
      <c r="G34" s="20">
        <v>80</v>
      </c>
      <c r="H34" s="20"/>
      <c r="I34" s="20">
        <v>81</v>
      </c>
      <c r="J34" s="20"/>
      <c r="K34" s="20">
        <v>83</v>
      </c>
      <c r="L34" s="21"/>
      <c r="M34" s="19">
        <v>81</v>
      </c>
      <c r="N34" s="20"/>
      <c r="O34" s="20">
        <v>82</v>
      </c>
      <c r="P34" s="20"/>
      <c r="Q34" s="20">
        <v>83</v>
      </c>
      <c r="R34" s="20"/>
      <c r="S34" s="20">
        <v>84</v>
      </c>
      <c r="T34" s="21"/>
      <c r="U34" s="19">
        <v>85</v>
      </c>
      <c r="V34" s="20"/>
      <c r="W34" s="20">
        <v>84</v>
      </c>
      <c r="X34" s="20"/>
      <c r="Y34" s="20">
        <v>84</v>
      </c>
      <c r="Z34" s="20"/>
      <c r="AA34" s="20">
        <v>85</v>
      </c>
      <c r="AB34" s="21"/>
      <c r="AC34" s="19">
        <v>86</v>
      </c>
      <c r="AD34" s="20"/>
      <c r="AE34" s="20">
        <v>87</v>
      </c>
      <c r="AF34" s="20"/>
      <c r="AG34" s="20">
        <v>88</v>
      </c>
      <c r="AH34" s="20"/>
      <c r="AI34" s="20">
        <v>86</v>
      </c>
      <c r="AJ34" s="3"/>
      <c r="AK34" s="44">
        <f t="shared" si="4"/>
        <v>80.75</v>
      </c>
      <c r="AL34" s="45">
        <f t="shared" si="5"/>
        <v>82.5</v>
      </c>
      <c r="AM34" s="46">
        <f t="shared" si="6"/>
        <v>84.5</v>
      </c>
      <c r="AN34" s="47">
        <f t="shared" si="7"/>
        <v>86.75</v>
      </c>
      <c r="AO34" s="48">
        <f t="shared" si="8"/>
        <v>83.625</v>
      </c>
      <c r="AP34" s="37"/>
      <c r="AR34" s="54" t="str">
        <f t="shared" si="9"/>
        <v/>
      </c>
      <c r="AS34" s="20"/>
      <c r="AT34" s="56">
        <f t="shared" si="10"/>
        <v>0</v>
      </c>
      <c r="AU34" s="57" t="str">
        <f t="shared" si="11"/>
        <v/>
      </c>
      <c r="AV34" s="54" t="str">
        <f t="shared" si="12"/>
        <v/>
      </c>
      <c r="AW34" s="20"/>
      <c r="AX34" s="56">
        <f t="shared" si="13"/>
        <v>0</v>
      </c>
      <c r="AY34" s="60" t="str">
        <f t="shared" si="14"/>
        <v/>
      </c>
      <c r="AZ34" s="54" t="str">
        <f t="shared" si="15"/>
        <v/>
      </c>
      <c r="BA34" s="21"/>
      <c r="BB34" s="62">
        <f t="shared" si="16"/>
        <v>83.625</v>
      </c>
      <c r="BC34" s="64" t="str">
        <f t="shared" si="17"/>
        <v/>
      </c>
      <c r="BE34" s="20">
        <f t="shared" si="18"/>
        <v>82.75</v>
      </c>
      <c r="BF34" s="20">
        <f t="shared" si="19"/>
        <v>83.25</v>
      </c>
      <c r="BG34" s="89">
        <f t="shared" si="20"/>
        <v>84</v>
      </c>
      <c r="BH34" s="20">
        <f t="shared" si="21"/>
        <v>84.5</v>
      </c>
      <c r="BI34" s="20">
        <f t="shared" si="22"/>
        <v>83.625</v>
      </c>
    </row>
    <row r="35" spans="1:61" x14ac:dyDescent="0.2">
      <c r="A35" s="29">
        <v>33</v>
      </c>
      <c r="B35" s="88" t="s">
        <v>144</v>
      </c>
      <c r="C35" s="71" t="s">
        <v>95</v>
      </c>
      <c r="D35" s="71" t="s">
        <v>96</v>
      </c>
      <c r="E35" s="19">
        <v>90</v>
      </c>
      <c r="F35" s="20"/>
      <c r="G35" s="20">
        <v>89</v>
      </c>
      <c r="H35" s="20"/>
      <c r="I35" s="20">
        <v>87</v>
      </c>
      <c r="J35" s="20"/>
      <c r="K35" s="20">
        <v>88</v>
      </c>
      <c r="L35" s="21"/>
      <c r="M35" s="19">
        <v>90</v>
      </c>
      <c r="N35" s="20"/>
      <c r="O35" s="20">
        <v>89</v>
      </c>
      <c r="P35" s="20"/>
      <c r="Q35" s="20">
        <v>88</v>
      </c>
      <c r="R35" s="20"/>
      <c r="S35" s="20">
        <v>89</v>
      </c>
      <c r="T35" s="21"/>
      <c r="U35" s="19">
        <v>89</v>
      </c>
      <c r="V35" s="20"/>
      <c r="W35" s="20">
        <v>86</v>
      </c>
      <c r="X35" s="20"/>
      <c r="Y35" s="20">
        <v>87</v>
      </c>
      <c r="Z35" s="20"/>
      <c r="AA35" s="20">
        <v>86</v>
      </c>
      <c r="AB35" s="21"/>
      <c r="AC35" s="19">
        <v>88</v>
      </c>
      <c r="AD35" s="20"/>
      <c r="AE35" s="20">
        <v>88</v>
      </c>
      <c r="AF35" s="20"/>
      <c r="AG35" s="20">
        <v>89</v>
      </c>
      <c r="AH35" s="20"/>
      <c r="AI35" s="20">
        <v>90</v>
      </c>
      <c r="AJ35" s="3"/>
      <c r="AK35" s="44">
        <f t="shared" si="4"/>
        <v>88.5</v>
      </c>
      <c r="AL35" s="45">
        <f t="shared" si="5"/>
        <v>89</v>
      </c>
      <c r="AM35" s="46">
        <f t="shared" si="6"/>
        <v>87</v>
      </c>
      <c r="AN35" s="47">
        <f t="shared" si="7"/>
        <v>88.75</v>
      </c>
      <c r="AO35" s="48">
        <f t="shared" si="8"/>
        <v>88.3125</v>
      </c>
      <c r="AP35" s="37"/>
      <c r="AR35" s="54" t="str">
        <f t="shared" si="9"/>
        <v/>
      </c>
      <c r="AS35" s="20"/>
      <c r="AT35" s="56">
        <f t="shared" si="10"/>
        <v>0</v>
      </c>
      <c r="AU35" s="57" t="str">
        <f t="shared" si="11"/>
        <v/>
      </c>
      <c r="AV35" s="54" t="str">
        <f t="shared" si="12"/>
        <v/>
      </c>
      <c r="AW35" s="20"/>
      <c r="AX35" s="56">
        <f t="shared" si="13"/>
        <v>0</v>
      </c>
      <c r="AY35" s="60" t="str">
        <f t="shared" si="14"/>
        <v/>
      </c>
      <c r="AZ35" s="54" t="str">
        <f t="shared" si="15"/>
        <v/>
      </c>
      <c r="BA35" s="21"/>
      <c r="BB35" s="62">
        <f t="shared" si="16"/>
        <v>88.3125</v>
      </c>
      <c r="BC35" s="64" t="str">
        <f t="shared" si="17"/>
        <v/>
      </c>
      <c r="BE35" s="20">
        <f t="shared" si="18"/>
        <v>89.25</v>
      </c>
      <c r="BF35" s="20">
        <f t="shared" si="19"/>
        <v>88</v>
      </c>
      <c r="BG35" s="89">
        <f t="shared" si="20"/>
        <v>87.75</v>
      </c>
      <c r="BH35" s="20">
        <f t="shared" si="21"/>
        <v>88.25</v>
      </c>
      <c r="BI35" s="20">
        <f t="shared" si="22"/>
        <v>88.3125</v>
      </c>
    </row>
    <row r="36" spans="1:61" x14ac:dyDescent="0.2">
      <c r="A36" s="29">
        <v>34</v>
      </c>
      <c r="B36" s="88" t="s">
        <v>145</v>
      </c>
      <c r="C36" s="70" t="s">
        <v>97</v>
      </c>
      <c r="D36" s="70" t="s">
        <v>98</v>
      </c>
      <c r="E36" s="19"/>
      <c r="F36" s="19">
        <v>60</v>
      </c>
      <c r="G36" s="19">
        <v>60</v>
      </c>
      <c r="H36" s="20"/>
      <c r="I36" s="20">
        <v>65</v>
      </c>
      <c r="J36" s="20"/>
      <c r="K36" s="20">
        <v>63</v>
      </c>
      <c r="L36" s="20"/>
      <c r="M36" s="20">
        <v>68</v>
      </c>
      <c r="N36" s="19">
        <v>60</v>
      </c>
      <c r="O36" s="19">
        <v>60</v>
      </c>
      <c r="P36" s="20"/>
      <c r="Q36" s="20">
        <v>65</v>
      </c>
      <c r="R36" s="20"/>
      <c r="S36" s="20">
        <v>63</v>
      </c>
      <c r="T36" s="20"/>
      <c r="U36" s="20">
        <v>68</v>
      </c>
      <c r="V36" s="19">
        <v>60</v>
      </c>
      <c r="W36" s="19">
        <v>60</v>
      </c>
      <c r="X36" s="20"/>
      <c r="Y36" s="20">
        <v>65</v>
      </c>
      <c r="Z36" s="20"/>
      <c r="AA36" s="20">
        <v>63</v>
      </c>
      <c r="AB36" s="20"/>
      <c r="AC36" s="20">
        <v>68</v>
      </c>
      <c r="AD36" s="19">
        <v>60</v>
      </c>
      <c r="AE36" s="19">
        <v>60</v>
      </c>
      <c r="AF36" s="20"/>
      <c r="AG36" s="20">
        <v>65</v>
      </c>
      <c r="AH36" s="20"/>
      <c r="AI36" s="20">
        <v>63</v>
      </c>
      <c r="AJ36" s="3"/>
      <c r="AK36" s="44">
        <f t="shared" si="4"/>
        <v>15</v>
      </c>
      <c r="AL36" s="45">
        <f t="shared" si="5"/>
        <v>15</v>
      </c>
      <c r="AM36" s="46">
        <f t="shared" si="6"/>
        <v>15</v>
      </c>
      <c r="AN36" s="47">
        <f t="shared" si="7"/>
        <v>48.25</v>
      </c>
      <c r="AO36" s="48">
        <f t="shared" si="8"/>
        <v>23.3125</v>
      </c>
      <c r="AP36" s="37"/>
      <c r="AR36" s="54">
        <f t="shared" si="9"/>
        <v>11.65625</v>
      </c>
      <c r="AS36" s="20"/>
      <c r="AT36" s="56">
        <f t="shared" si="10"/>
        <v>0</v>
      </c>
      <c r="AU36" s="57" t="str">
        <f t="shared" si="11"/>
        <v/>
      </c>
      <c r="AV36" s="54" t="str">
        <f t="shared" si="12"/>
        <v/>
      </c>
      <c r="AW36" s="20"/>
      <c r="AX36" s="56">
        <f t="shared" si="13"/>
        <v>0</v>
      </c>
      <c r="AY36" s="60" t="str">
        <f t="shared" si="14"/>
        <v/>
      </c>
      <c r="AZ36" s="54" t="str">
        <f t="shared" si="15"/>
        <v/>
      </c>
      <c r="BA36" s="21"/>
      <c r="BB36" s="62" t="str">
        <f t="shared" si="16"/>
        <v/>
      </c>
      <c r="BC36" s="64">
        <f t="shared" si="17"/>
        <v>23.3125</v>
      </c>
      <c r="BE36" s="20">
        <f t="shared" si="18"/>
        <v>51</v>
      </c>
      <c r="BF36" s="20">
        <f t="shared" si="19"/>
        <v>60</v>
      </c>
      <c r="BG36" s="89">
        <f t="shared" si="20"/>
        <v>65</v>
      </c>
      <c r="BH36" s="20">
        <f t="shared" si="21"/>
        <v>63</v>
      </c>
      <c r="BI36" s="20">
        <f t="shared" si="22"/>
        <v>59.75</v>
      </c>
    </row>
    <row r="37" spans="1:61" x14ac:dyDescent="0.2">
      <c r="A37" s="29">
        <v>35</v>
      </c>
      <c r="B37" s="88" t="s">
        <v>146</v>
      </c>
      <c r="C37" s="69" t="s">
        <v>99</v>
      </c>
      <c r="D37" s="69" t="s">
        <v>100</v>
      </c>
      <c r="E37" s="19">
        <v>74</v>
      </c>
      <c r="F37" s="20"/>
      <c r="G37" s="20">
        <v>76</v>
      </c>
      <c r="H37" s="20"/>
      <c r="I37" s="20">
        <v>75</v>
      </c>
      <c r="J37" s="20"/>
      <c r="K37" s="20">
        <v>71</v>
      </c>
      <c r="L37" s="21"/>
      <c r="M37" s="19">
        <v>75</v>
      </c>
      <c r="N37" s="20"/>
      <c r="O37" s="20">
        <v>76</v>
      </c>
      <c r="P37" s="20"/>
      <c r="Q37" s="20">
        <v>75</v>
      </c>
      <c r="R37" s="20"/>
      <c r="S37" s="20">
        <v>76</v>
      </c>
      <c r="T37" s="3"/>
      <c r="U37" s="19">
        <v>74</v>
      </c>
      <c r="V37" s="20"/>
      <c r="W37" s="20">
        <v>75</v>
      </c>
      <c r="X37" s="20"/>
      <c r="Y37" s="20">
        <v>77</v>
      </c>
      <c r="Z37" s="20"/>
      <c r="AA37" s="20">
        <v>78</v>
      </c>
      <c r="AB37" s="21"/>
      <c r="AC37" s="19">
        <v>75</v>
      </c>
      <c r="AD37" s="20"/>
      <c r="AE37" s="20">
        <v>76</v>
      </c>
      <c r="AF37" s="20"/>
      <c r="AG37" s="20">
        <v>74</v>
      </c>
      <c r="AH37" s="20"/>
      <c r="AI37" s="20">
        <v>75</v>
      </c>
      <c r="AJ37" s="3"/>
      <c r="AK37" s="44">
        <f t="shared" si="4"/>
        <v>74</v>
      </c>
      <c r="AL37" s="45">
        <f t="shared" si="5"/>
        <v>75.5</v>
      </c>
      <c r="AM37" s="46">
        <f t="shared" si="6"/>
        <v>76</v>
      </c>
      <c r="AN37" s="47">
        <f t="shared" si="7"/>
        <v>75</v>
      </c>
      <c r="AO37" s="48">
        <f t="shared" si="8"/>
        <v>75.125</v>
      </c>
      <c r="AP37" s="37"/>
      <c r="AR37" s="54" t="str">
        <f t="shared" si="9"/>
        <v/>
      </c>
      <c r="AS37" s="20"/>
      <c r="AT37" s="56">
        <f t="shared" si="10"/>
        <v>0</v>
      </c>
      <c r="AU37" s="57" t="str">
        <f t="shared" si="11"/>
        <v/>
      </c>
      <c r="AV37" s="54" t="str">
        <f t="shared" si="12"/>
        <v/>
      </c>
      <c r="AW37" s="20"/>
      <c r="AX37" s="56">
        <f t="shared" si="13"/>
        <v>0</v>
      </c>
      <c r="AY37" s="60" t="str">
        <f t="shared" si="14"/>
        <v/>
      </c>
      <c r="AZ37" s="54" t="str">
        <f t="shared" si="15"/>
        <v/>
      </c>
      <c r="BA37" s="21"/>
      <c r="BB37" s="62">
        <f t="shared" si="16"/>
        <v>75.125</v>
      </c>
      <c r="BC37" s="64" t="str">
        <f t="shared" si="17"/>
        <v/>
      </c>
      <c r="BE37" s="20">
        <f t="shared" si="18"/>
        <v>74.5</v>
      </c>
      <c r="BF37" s="20">
        <f t="shared" si="19"/>
        <v>75.75</v>
      </c>
      <c r="BG37" s="89">
        <f t="shared" si="20"/>
        <v>75.25</v>
      </c>
      <c r="BH37" s="20">
        <f t="shared" si="21"/>
        <v>75</v>
      </c>
      <c r="BI37" s="20">
        <f t="shared" si="22"/>
        <v>75.125</v>
      </c>
    </row>
    <row r="38" spans="1:61" x14ac:dyDescent="0.2">
      <c r="A38" s="29">
        <v>36</v>
      </c>
      <c r="B38" s="88" t="s">
        <v>147</v>
      </c>
      <c r="C38" s="70" t="s">
        <v>101</v>
      </c>
      <c r="D38" s="70" t="s">
        <v>102</v>
      </c>
      <c r="E38" s="19">
        <v>76</v>
      </c>
      <c r="F38" s="20"/>
      <c r="G38" s="20">
        <v>75</v>
      </c>
      <c r="H38" s="20"/>
      <c r="I38" s="20">
        <v>75</v>
      </c>
      <c r="J38" s="20"/>
      <c r="K38" s="20">
        <v>72</v>
      </c>
      <c r="L38" s="21"/>
      <c r="M38" s="19">
        <v>74</v>
      </c>
      <c r="N38" s="20"/>
      <c r="O38" s="20">
        <v>75</v>
      </c>
      <c r="P38" s="20"/>
      <c r="Q38" s="20">
        <v>76</v>
      </c>
      <c r="R38" s="20"/>
      <c r="S38" s="20">
        <v>78</v>
      </c>
      <c r="T38" s="21"/>
      <c r="U38" s="19">
        <v>73</v>
      </c>
      <c r="V38" s="20"/>
      <c r="W38" s="20">
        <v>75</v>
      </c>
      <c r="X38" s="20"/>
      <c r="Y38" s="20">
        <v>76</v>
      </c>
      <c r="Z38" s="20"/>
      <c r="AA38" s="20">
        <v>75</v>
      </c>
      <c r="AB38" s="21"/>
      <c r="AC38" s="19">
        <v>77</v>
      </c>
      <c r="AD38" s="20"/>
      <c r="AE38" s="20">
        <v>79</v>
      </c>
      <c r="AF38" s="20"/>
      <c r="AG38" s="20">
        <v>78</v>
      </c>
      <c r="AH38" s="20"/>
      <c r="AI38" s="20">
        <v>76</v>
      </c>
      <c r="AJ38" s="3"/>
      <c r="AK38" s="44">
        <f t="shared" si="4"/>
        <v>74.5</v>
      </c>
      <c r="AL38" s="45">
        <f t="shared" si="5"/>
        <v>75.75</v>
      </c>
      <c r="AM38" s="46">
        <f t="shared" si="6"/>
        <v>74.75</v>
      </c>
      <c r="AN38" s="47">
        <f t="shared" si="7"/>
        <v>77.5</v>
      </c>
      <c r="AO38" s="48">
        <f t="shared" si="8"/>
        <v>75.625</v>
      </c>
      <c r="AP38" s="37"/>
      <c r="AR38" s="54" t="str">
        <f t="shared" si="9"/>
        <v/>
      </c>
      <c r="AS38" s="20"/>
      <c r="AT38" s="56">
        <f t="shared" si="10"/>
        <v>0</v>
      </c>
      <c r="AU38" s="57" t="str">
        <f t="shared" si="11"/>
        <v/>
      </c>
      <c r="AV38" s="54" t="str">
        <f t="shared" si="12"/>
        <v/>
      </c>
      <c r="AW38" s="20"/>
      <c r="AX38" s="56">
        <f t="shared" si="13"/>
        <v>0</v>
      </c>
      <c r="AY38" s="60" t="str">
        <f t="shared" si="14"/>
        <v/>
      </c>
      <c r="AZ38" s="54" t="str">
        <f t="shared" si="15"/>
        <v/>
      </c>
      <c r="BA38" s="21"/>
      <c r="BB38" s="62">
        <f t="shared" si="16"/>
        <v>75.625</v>
      </c>
      <c r="BC38" s="64" t="str">
        <f t="shared" si="17"/>
        <v/>
      </c>
      <c r="BE38" s="20">
        <f t="shared" si="18"/>
        <v>75</v>
      </c>
      <c r="BF38" s="20">
        <f t="shared" si="19"/>
        <v>76</v>
      </c>
      <c r="BG38" s="89">
        <f t="shared" si="20"/>
        <v>76.25</v>
      </c>
      <c r="BH38" s="20">
        <f t="shared" si="21"/>
        <v>75.25</v>
      </c>
      <c r="BI38" s="20">
        <f t="shared" si="22"/>
        <v>75.625</v>
      </c>
    </row>
    <row r="39" spans="1:61" x14ac:dyDescent="0.2">
      <c r="A39" s="29">
        <v>37</v>
      </c>
      <c r="B39" s="88" t="s">
        <v>148</v>
      </c>
      <c r="C39" s="69" t="s">
        <v>103</v>
      </c>
      <c r="D39" s="69" t="s">
        <v>104</v>
      </c>
      <c r="E39" s="19">
        <v>80</v>
      </c>
      <c r="F39" s="20"/>
      <c r="G39" s="20">
        <v>79</v>
      </c>
      <c r="H39" s="20"/>
      <c r="I39" s="20">
        <v>78</v>
      </c>
      <c r="J39" s="20"/>
      <c r="K39" s="20">
        <v>76</v>
      </c>
      <c r="L39" s="21"/>
      <c r="M39" s="19">
        <v>77</v>
      </c>
      <c r="N39" s="20"/>
      <c r="O39" s="20">
        <v>78</v>
      </c>
      <c r="P39" s="20"/>
      <c r="Q39" s="20">
        <v>79</v>
      </c>
      <c r="R39" s="20"/>
      <c r="S39" s="20">
        <v>76</v>
      </c>
      <c r="T39" s="21"/>
      <c r="U39" s="19">
        <v>77</v>
      </c>
      <c r="V39" s="20"/>
      <c r="W39" s="20">
        <v>75</v>
      </c>
      <c r="X39" s="20"/>
      <c r="Y39" s="20">
        <v>77</v>
      </c>
      <c r="Z39" s="20"/>
      <c r="AA39" s="20">
        <v>78</v>
      </c>
      <c r="AB39" s="21"/>
      <c r="AC39" s="19">
        <v>77</v>
      </c>
      <c r="AD39" s="20"/>
      <c r="AE39" s="20">
        <v>79</v>
      </c>
      <c r="AF39" s="20"/>
      <c r="AG39" s="20">
        <v>76</v>
      </c>
      <c r="AH39" s="20"/>
      <c r="AI39" s="20">
        <v>78</v>
      </c>
      <c r="AJ39" s="3"/>
      <c r="AK39" s="44">
        <f t="shared" si="4"/>
        <v>78.25</v>
      </c>
      <c r="AL39" s="45">
        <f t="shared" si="5"/>
        <v>77.5</v>
      </c>
      <c r="AM39" s="46">
        <f t="shared" si="6"/>
        <v>76.75</v>
      </c>
      <c r="AN39" s="47">
        <f t="shared" si="7"/>
        <v>77.5</v>
      </c>
      <c r="AO39" s="48">
        <f t="shared" si="8"/>
        <v>77.5</v>
      </c>
      <c r="AP39" s="37"/>
      <c r="AR39" s="54" t="str">
        <f t="shared" si="9"/>
        <v/>
      </c>
      <c r="AS39" s="20"/>
      <c r="AT39" s="56">
        <f t="shared" si="10"/>
        <v>0</v>
      </c>
      <c r="AU39" s="57" t="str">
        <f t="shared" si="11"/>
        <v/>
      </c>
      <c r="AV39" s="54" t="str">
        <f t="shared" si="12"/>
        <v/>
      </c>
      <c r="AW39" s="20"/>
      <c r="AX39" s="56">
        <f t="shared" si="13"/>
        <v>0</v>
      </c>
      <c r="AY39" s="60" t="str">
        <f t="shared" si="14"/>
        <v/>
      </c>
      <c r="AZ39" s="54" t="str">
        <f t="shared" si="15"/>
        <v/>
      </c>
      <c r="BA39" s="21"/>
      <c r="BB39" s="62">
        <f t="shared" si="16"/>
        <v>77.5</v>
      </c>
      <c r="BC39" s="64" t="str">
        <f t="shared" si="17"/>
        <v/>
      </c>
      <c r="BE39" s="20">
        <f t="shared" si="18"/>
        <v>77.75</v>
      </c>
      <c r="BF39" s="20">
        <f t="shared" si="19"/>
        <v>77.75</v>
      </c>
      <c r="BG39" s="89">
        <f t="shared" si="20"/>
        <v>77.5</v>
      </c>
      <c r="BH39" s="20">
        <f t="shared" si="21"/>
        <v>77</v>
      </c>
      <c r="BI39" s="20">
        <f t="shared" si="22"/>
        <v>77.5</v>
      </c>
    </row>
    <row r="40" spans="1:61" x14ac:dyDescent="0.2">
      <c r="A40" s="29">
        <v>38</v>
      </c>
      <c r="B40" s="88" t="s">
        <v>149</v>
      </c>
      <c r="C40" s="70" t="s">
        <v>105</v>
      </c>
      <c r="D40" s="70" t="s">
        <v>106</v>
      </c>
      <c r="E40" s="19">
        <v>79</v>
      </c>
      <c r="F40" s="20"/>
      <c r="G40" s="20">
        <v>80</v>
      </c>
      <c r="H40" s="20"/>
      <c r="I40" s="20">
        <v>81</v>
      </c>
      <c r="J40" s="20"/>
      <c r="K40" s="20">
        <v>83</v>
      </c>
      <c r="L40" s="21"/>
      <c r="M40" s="19">
        <v>81</v>
      </c>
      <c r="N40" s="20"/>
      <c r="O40" s="20">
        <v>82</v>
      </c>
      <c r="P40" s="20"/>
      <c r="Q40" s="20">
        <v>83</v>
      </c>
      <c r="R40" s="20"/>
      <c r="S40" s="20">
        <v>84</v>
      </c>
      <c r="T40" s="21"/>
      <c r="U40" s="19">
        <v>85</v>
      </c>
      <c r="V40" s="20"/>
      <c r="W40" s="20">
        <v>84</v>
      </c>
      <c r="X40" s="20"/>
      <c r="Y40" s="20">
        <v>84</v>
      </c>
      <c r="Z40" s="20"/>
      <c r="AA40" s="20">
        <v>85</v>
      </c>
      <c r="AB40" s="21"/>
      <c r="AC40" s="19">
        <v>86</v>
      </c>
      <c r="AD40" s="20"/>
      <c r="AE40" s="20">
        <v>87</v>
      </c>
      <c r="AF40" s="20"/>
      <c r="AG40" s="20">
        <v>88</v>
      </c>
      <c r="AH40" s="20"/>
      <c r="AI40" s="20">
        <v>86</v>
      </c>
      <c r="AJ40" s="3"/>
      <c r="AK40" s="44">
        <f t="shared" si="4"/>
        <v>80.75</v>
      </c>
      <c r="AL40" s="45">
        <f t="shared" si="5"/>
        <v>82.5</v>
      </c>
      <c r="AM40" s="46">
        <f t="shared" si="6"/>
        <v>84.5</v>
      </c>
      <c r="AN40" s="47">
        <f t="shared" si="7"/>
        <v>86.75</v>
      </c>
      <c r="AO40" s="48">
        <f t="shared" si="8"/>
        <v>83.625</v>
      </c>
      <c r="AP40" s="37"/>
      <c r="AR40" s="54" t="str">
        <f t="shared" si="9"/>
        <v/>
      </c>
      <c r="AS40" s="20"/>
      <c r="AT40" s="56">
        <f t="shared" si="10"/>
        <v>0</v>
      </c>
      <c r="AU40" s="57" t="str">
        <f t="shared" si="11"/>
        <v/>
      </c>
      <c r="AV40" s="54" t="str">
        <f t="shared" si="12"/>
        <v/>
      </c>
      <c r="AW40" s="20"/>
      <c r="AX40" s="56">
        <f t="shared" si="13"/>
        <v>0</v>
      </c>
      <c r="AY40" s="60" t="str">
        <f t="shared" si="14"/>
        <v/>
      </c>
      <c r="AZ40" s="54" t="str">
        <f t="shared" si="15"/>
        <v/>
      </c>
      <c r="BA40" s="21"/>
      <c r="BB40" s="62">
        <f t="shared" si="16"/>
        <v>83.625</v>
      </c>
      <c r="BC40" s="64" t="str">
        <f t="shared" si="17"/>
        <v/>
      </c>
      <c r="BE40" s="20">
        <f t="shared" si="18"/>
        <v>82.75</v>
      </c>
      <c r="BF40" s="20">
        <f t="shared" si="19"/>
        <v>83.25</v>
      </c>
      <c r="BG40" s="89">
        <f t="shared" si="20"/>
        <v>84</v>
      </c>
      <c r="BH40" s="20">
        <f t="shared" si="21"/>
        <v>84.5</v>
      </c>
      <c r="BI40" s="20">
        <f t="shared" si="22"/>
        <v>83.625</v>
      </c>
    </row>
    <row r="41" spans="1:61" x14ac:dyDescent="0.2">
      <c r="A41" s="29">
        <v>39</v>
      </c>
      <c r="B41" s="88" t="s">
        <v>150</v>
      </c>
      <c r="C41" s="69" t="s">
        <v>107</v>
      </c>
      <c r="D41" s="69" t="s">
        <v>108</v>
      </c>
      <c r="E41" s="19">
        <v>90</v>
      </c>
      <c r="F41" s="20"/>
      <c r="G41" s="20">
        <v>89</v>
      </c>
      <c r="H41" s="20"/>
      <c r="I41" s="20">
        <v>87</v>
      </c>
      <c r="J41" s="20"/>
      <c r="K41" s="20">
        <v>88</v>
      </c>
      <c r="L41" s="21"/>
      <c r="M41" s="19">
        <v>90</v>
      </c>
      <c r="N41" s="20"/>
      <c r="O41" s="20">
        <v>89</v>
      </c>
      <c r="P41" s="20"/>
      <c r="Q41" s="20">
        <v>88</v>
      </c>
      <c r="R41" s="20"/>
      <c r="S41" s="20">
        <v>89</v>
      </c>
      <c r="T41" s="21"/>
      <c r="U41" s="19">
        <v>89</v>
      </c>
      <c r="V41" s="20"/>
      <c r="W41" s="20">
        <v>86</v>
      </c>
      <c r="X41" s="20"/>
      <c r="Y41" s="20">
        <v>87</v>
      </c>
      <c r="Z41" s="20"/>
      <c r="AA41" s="20">
        <v>86</v>
      </c>
      <c r="AB41" s="21"/>
      <c r="AC41" s="19">
        <v>88</v>
      </c>
      <c r="AD41" s="20"/>
      <c r="AE41" s="20">
        <v>88</v>
      </c>
      <c r="AF41" s="20"/>
      <c r="AG41" s="20">
        <v>89</v>
      </c>
      <c r="AH41" s="20"/>
      <c r="AI41" s="20">
        <v>90</v>
      </c>
      <c r="AJ41" s="3"/>
      <c r="AK41" s="44">
        <f t="shared" si="4"/>
        <v>88.5</v>
      </c>
      <c r="AL41" s="45">
        <f t="shared" si="5"/>
        <v>89</v>
      </c>
      <c r="AM41" s="46">
        <f t="shared" si="6"/>
        <v>87</v>
      </c>
      <c r="AN41" s="47">
        <f t="shared" si="7"/>
        <v>88.75</v>
      </c>
      <c r="AO41" s="48">
        <f t="shared" si="8"/>
        <v>88.3125</v>
      </c>
      <c r="AP41" s="37"/>
      <c r="AR41" s="54" t="str">
        <f t="shared" si="9"/>
        <v/>
      </c>
      <c r="AS41" s="20"/>
      <c r="AT41" s="56">
        <f t="shared" si="10"/>
        <v>0</v>
      </c>
      <c r="AU41" s="57" t="str">
        <f t="shared" si="11"/>
        <v/>
      </c>
      <c r="AV41" s="54" t="str">
        <f t="shared" si="12"/>
        <v/>
      </c>
      <c r="AW41" s="20"/>
      <c r="AX41" s="56">
        <f t="shared" si="13"/>
        <v>0</v>
      </c>
      <c r="AY41" s="60" t="str">
        <f t="shared" si="14"/>
        <v/>
      </c>
      <c r="AZ41" s="54" t="str">
        <f t="shared" si="15"/>
        <v/>
      </c>
      <c r="BA41" s="21"/>
      <c r="BB41" s="62">
        <f t="shared" si="16"/>
        <v>88.3125</v>
      </c>
      <c r="BC41" s="64" t="str">
        <f t="shared" si="17"/>
        <v/>
      </c>
      <c r="BE41" s="20">
        <f t="shared" si="18"/>
        <v>89.25</v>
      </c>
      <c r="BF41" s="20">
        <f t="shared" si="19"/>
        <v>88</v>
      </c>
      <c r="BG41" s="89">
        <f t="shared" si="20"/>
        <v>87.75</v>
      </c>
      <c r="BH41" s="20">
        <f t="shared" si="21"/>
        <v>88.25</v>
      </c>
      <c r="BI41" s="20">
        <f t="shared" si="22"/>
        <v>88.3125</v>
      </c>
    </row>
    <row r="42" spans="1:61" x14ac:dyDescent="0.2">
      <c r="A42" s="29">
        <v>40</v>
      </c>
      <c r="B42" s="88" t="s">
        <v>151</v>
      </c>
      <c r="C42" s="70" t="s">
        <v>109</v>
      </c>
      <c r="D42" s="70" t="s">
        <v>110</v>
      </c>
      <c r="E42" s="19">
        <v>78</v>
      </c>
      <c r="F42" s="20"/>
      <c r="G42" s="20">
        <v>79</v>
      </c>
      <c r="H42" s="20"/>
      <c r="I42" s="20">
        <v>76</v>
      </c>
      <c r="J42" s="20"/>
      <c r="K42" s="20">
        <v>77</v>
      </c>
      <c r="L42" s="21"/>
      <c r="M42" s="19">
        <v>78</v>
      </c>
      <c r="N42" s="20"/>
      <c r="O42" s="20">
        <v>76</v>
      </c>
      <c r="P42" s="20"/>
      <c r="Q42" s="20">
        <v>75</v>
      </c>
      <c r="R42" s="20"/>
      <c r="S42" s="20">
        <v>74</v>
      </c>
      <c r="T42" s="21"/>
      <c r="U42" s="19">
        <v>71</v>
      </c>
      <c r="V42" s="20"/>
      <c r="W42" s="20">
        <v>78</v>
      </c>
      <c r="X42" s="20"/>
      <c r="Y42" s="20">
        <v>79</v>
      </c>
      <c r="Z42" s="20"/>
      <c r="AA42" s="20">
        <v>76</v>
      </c>
      <c r="AB42" s="21"/>
      <c r="AC42" s="19">
        <v>78</v>
      </c>
      <c r="AD42" s="20"/>
      <c r="AE42" s="20">
        <v>76</v>
      </c>
      <c r="AF42" s="20"/>
      <c r="AG42" s="20">
        <v>75</v>
      </c>
      <c r="AH42" s="20"/>
      <c r="AI42" s="20">
        <v>74</v>
      </c>
      <c r="AJ42" s="3"/>
      <c r="AK42" s="44">
        <f t="shared" si="4"/>
        <v>77.5</v>
      </c>
      <c r="AL42" s="45">
        <f t="shared" si="5"/>
        <v>75.75</v>
      </c>
      <c r="AM42" s="46">
        <f t="shared" si="6"/>
        <v>76</v>
      </c>
      <c r="AN42" s="47">
        <f t="shared" si="7"/>
        <v>75.75</v>
      </c>
      <c r="AO42" s="48">
        <f t="shared" si="8"/>
        <v>76.25</v>
      </c>
      <c r="AP42" s="37"/>
      <c r="AR42" s="54" t="str">
        <f t="shared" si="9"/>
        <v/>
      </c>
      <c r="AS42" s="20"/>
      <c r="AT42" s="56">
        <f t="shared" si="10"/>
        <v>0</v>
      </c>
      <c r="AU42" s="57" t="str">
        <f t="shared" si="11"/>
        <v/>
      </c>
      <c r="AV42" s="54" t="str">
        <f t="shared" si="12"/>
        <v/>
      </c>
      <c r="AW42" s="20"/>
      <c r="AX42" s="56">
        <f t="shared" si="13"/>
        <v>0</v>
      </c>
      <c r="AY42" s="60" t="str">
        <f t="shared" si="14"/>
        <v/>
      </c>
      <c r="AZ42" s="54" t="str">
        <f t="shared" si="15"/>
        <v/>
      </c>
      <c r="BA42" s="21"/>
      <c r="BB42" s="62">
        <f t="shared" si="16"/>
        <v>76.25</v>
      </c>
      <c r="BC42" s="64" t="str">
        <f t="shared" si="17"/>
        <v/>
      </c>
      <c r="BE42" s="20">
        <f t="shared" si="18"/>
        <v>76.25</v>
      </c>
      <c r="BF42" s="20">
        <f t="shared" si="19"/>
        <v>77.25</v>
      </c>
      <c r="BG42" s="89">
        <f t="shared" si="20"/>
        <v>76.25</v>
      </c>
      <c r="BH42" s="20">
        <f t="shared" si="21"/>
        <v>75.25</v>
      </c>
      <c r="BI42" s="20">
        <f t="shared" si="22"/>
        <v>76.25</v>
      </c>
    </row>
    <row r="43" spans="1:61" x14ac:dyDescent="0.2">
      <c r="A43" s="29">
        <v>41</v>
      </c>
      <c r="B43" s="88" t="s">
        <v>152</v>
      </c>
      <c r="C43" s="67"/>
      <c r="D43" s="67"/>
      <c r="E43" s="19"/>
      <c r="F43" s="20"/>
      <c r="G43" s="20"/>
      <c r="H43" s="20"/>
      <c r="I43" s="20"/>
      <c r="J43" s="20"/>
      <c r="K43" s="20"/>
      <c r="L43" s="21"/>
      <c r="M43" s="19"/>
      <c r="N43" s="20"/>
      <c r="O43" s="20"/>
      <c r="P43" s="20"/>
      <c r="Q43" s="20"/>
      <c r="R43" s="20"/>
      <c r="S43" s="20"/>
      <c r="T43" s="3"/>
      <c r="U43" s="19"/>
      <c r="V43" s="20"/>
      <c r="W43" s="20"/>
      <c r="X43" s="20"/>
      <c r="Y43" s="20"/>
      <c r="Z43" s="20"/>
      <c r="AA43" s="20"/>
      <c r="AB43" s="21"/>
      <c r="AC43" s="1"/>
      <c r="AD43" s="20"/>
      <c r="AE43" s="20"/>
      <c r="AF43" s="20"/>
      <c r="AG43" s="20"/>
      <c r="AH43" s="20"/>
      <c r="AI43" s="20"/>
      <c r="AJ43" s="3"/>
      <c r="AK43" s="44">
        <f t="shared" si="4"/>
        <v>0</v>
      </c>
      <c r="AL43" s="45">
        <f t="shared" si="5"/>
        <v>0</v>
      </c>
      <c r="AM43" s="46">
        <f t="shared" si="6"/>
        <v>0</v>
      </c>
      <c r="AN43" s="47">
        <f t="shared" si="7"/>
        <v>0</v>
      </c>
      <c r="AO43" s="48">
        <f t="shared" si="8"/>
        <v>0</v>
      </c>
      <c r="AP43" s="37"/>
      <c r="AR43" s="54">
        <f t="shared" si="9"/>
        <v>0</v>
      </c>
      <c r="AS43" s="20"/>
      <c r="AT43" s="56">
        <f t="shared" si="10"/>
        <v>0</v>
      </c>
      <c r="AU43" s="57" t="str">
        <f t="shared" si="11"/>
        <v/>
      </c>
      <c r="AV43" s="54" t="str">
        <f t="shared" si="12"/>
        <v/>
      </c>
      <c r="AW43" s="20"/>
      <c r="AX43" s="56">
        <f t="shared" si="13"/>
        <v>0</v>
      </c>
      <c r="AY43" s="60" t="str">
        <f t="shared" si="14"/>
        <v/>
      </c>
      <c r="AZ43" s="54" t="str">
        <f t="shared" si="15"/>
        <v/>
      </c>
      <c r="BA43" s="21"/>
      <c r="BB43" s="62" t="str">
        <f t="shared" si="16"/>
        <v/>
      </c>
      <c r="BC43" s="64">
        <f t="shared" si="17"/>
        <v>0</v>
      </c>
      <c r="BE43" s="20">
        <f t="shared" si="18"/>
        <v>0</v>
      </c>
      <c r="BF43" s="20">
        <f t="shared" si="19"/>
        <v>0</v>
      </c>
      <c r="BG43" s="89">
        <f t="shared" si="20"/>
        <v>0</v>
      </c>
      <c r="BH43" s="20">
        <f t="shared" si="21"/>
        <v>0</v>
      </c>
      <c r="BI43" s="20">
        <f t="shared" si="22"/>
        <v>0</v>
      </c>
    </row>
    <row r="44" spans="1:61" x14ac:dyDescent="0.2">
      <c r="A44" s="29">
        <v>42</v>
      </c>
      <c r="B44" s="88" t="s">
        <v>153</v>
      </c>
      <c r="C44" s="68"/>
      <c r="D44" s="68"/>
      <c r="E44" s="19"/>
      <c r="F44" s="20"/>
      <c r="G44" s="20"/>
      <c r="H44" s="20"/>
      <c r="I44" s="20"/>
      <c r="J44" s="20"/>
      <c r="K44" s="20"/>
      <c r="L44" s="21"/>
      <c r="M44" s="19"/>
      <c r="N44" s="20"/>
      <c r="O44" s="20"/>
      <c r="P44" s="20"/>
      <c r="Q44" s="20"/>
      <c r="R44" s="20"/>
      <c r="S44" s="20"/>
      <c r="T44" s="3"/>
      <c r="U44" s="19"/>
      <c r="V44" s="20"/>
      <c r="W44" s="20"/>
      <c r="X44" s="20"/>
      <c r="Y44" s="20"/>
      <c r="Z44" s="20"/>
      <c r="AA44" s="20"/>
      <c r="AB44" s="21"/>
      <c r="AC44" s="1"/>
      <c r="AD44" s="20"/>
      <c r="AE44" s="20"/>
      <c r="AF44" s="20"/>
      <c r="AG44" s="20"/>
      <c r="AH44" s="20"/>
      <c r="AI44" s="20"/>
      <c r="AJ44" s="3"/>
      <c r="AK44" s="44">
        <f t="shared" si="4"/>
        <v>0</v>
      </c>
      <c r="AL44" s="45">
        <f t="shared" si="5"/>
        <v>0</v>
      </c>
      <c r="AM44" s="46">
        <f t="shared" si="6"/>
        <v>0</v>
      </c>
      <c r="AN44" s="47">
        <f t="shared" si="7"/>
        <v>0</v>
      </c>
      <c r="AO44" s="48">
        <f t="shared" si="8"/>
        <v>0</v>
      </c>
      <c r="AP44" s="37"/>
      <c r="AR44" s="54">
        <f t="shared" si="9"/>
        <v>0</v>
      </c>
      <c r="AS44" s="20"/>
      <c r="AT44" s="56">
        <f t="shared" si="10"/>
        <v>0</v>
      </c>
      <c r="AU44" s="57" t="str">
        <f t="shared" si="11"/>
        <v/>
      </c>
      <c r="AV44" s="54" t="str">
        <f t="shared" si="12"/>
        <v/>
      </c>
      <c r="AW44" s="20"/>
      <c r="AX44" s="56">
        <f t="shared" si="13"/>
        <v>0</v>
      </c>
      <c r="AY44" s="60" t="str">
        <f t="shared" si="14"/>
        <v/>
      </c>
      <c r="AZ44" s="54" t="str">
        <f t="shared" si="15"/>
        <v/>
      </c>
      <c r="BA44" s="21"/>
      <c r="BB44" s="62" t="str">
        <f t="shared" si="16"/>
        <v/>
      </c>
      <c r="BC44" s="64">
        <f t="shared" si="17"/>
        <v>0</v>
      </c>
      <c r="BE44" s="20">
        <f t="shared" si="18"/>
        <v>0</v>
      </c>
      <c r="BF44" s="20">
        <f t="shared" si="19"/>
        <v>0</v>
      </c>
      <c r="BG44" s="89">
        <f t="shared" si="20"/>
        <v>0</v>
      </c>
      <c r="BH44" s="20">
        <f t="shared" si="21"/>
        <v>0</v>
      </c>
      <c r="BI44" s="20">
        <f t="shared" si="22"/>
        <v>0</v>
      </c>
    </row>
    <row r="45" spans="1:61" x14ac:dyDescent="0.2">
      <c r="A45" s="29">
        <v>43</v>
      </c>
      <c r="B45" s="88" t="s">
        <v>154</v>
      </c>
      <c r="C45" s="22"/>
      <c r="D45" s="24"/>
      <c r="E45" s="19"/>
      <c r="F45" s="20"/>
      <c r="G45" s="20"/>
      <c r="H45" s="20"/>
      <c r="I45" s="20"/>
      <c r="J45" s="20"/>
      <c r="K45" s="20"/>
      <c r="L45" s="21"/>
      <c r="M45" s="19"/>
      <c r="N45" s="20"/>
      <c r="O45" s="20"/>
      <c r="P45" s="20"/>
      <c r="Q45" s="20"/>
      <c r="R45" s="20"/>
      <c r="S45" s="20"/>
      <c r="T45" s="3"/>
      <c r="U45" s="19"/>
      <c r="V45" s="20"/>
      <c r="W45" s="20"/>
      <c r="X45" s="20"/>
      <c r="Y45" s="20"/>
      <c r="Z45" s="20"/>
      <c r="AA45" s="20"/>
      <c r="AB45" s="21"/>
      <c r="AC45" s="1"/>
      <c r="AD45" s="20"/>
      <c r="AE45" s="20"/>
      <c r="AF45" s="20"/>
      <c r="AG45" s="20"/>
      <c r="AH45" s="20"/>
      <c r="AI45" s="20"/>
      <c r="AJ45" s="3"/>
      <c r="AK45" s="44">
        <f t="shared" si="4"/>
        <v>0</v>
      </c>
      <c r="AL45" s="45">
        <f t="shared" si="5"/>
        <v>0</v>
      </c>
      <c r="AM45" s="46">
        <f t="shared" si="6"/>
        <v>0</v>
      </c>
      <c r="AN45" s="47">
        <f t="shared" si="7"/>
        <v>0</v>
      </c>
      <c r="AO45" s="48">
        <f t="shared" si="8"/>
        <v>0</v>
      </c>
      <c r="AP45" s="37"/>
      <c r="AR45" s="54">
        <f t="shared" si="9"/>
        <v>0</v>
      </c>
      <c r="AS45" s="20"/>
      <c r="AT45" s="56">
        <f t="shared" si="10"/>
        <v>0</v>
      </c>
      <c r="AU45" s="57" t="str">
        <f t="shared" si="11"/>
        <v/>
      </c>
      <c r="AV45" s="54" t="str">
        <f t="shared" si="12"/>
        <v/>
      </c>
      <c r="AW45" s="20"/>
      <c r="AX45" s="56">
        <f t="shared" si="13"/>
        <v>0</v>
      </c>
      <c r="AY45" s="60" t="str">
        <f t="shared" si="14"/>
        <v/>
      </c>
      <c r="AZ45" s="54" t="str">
        <f t="shared" si="15"/>
        <v/>
      </c>
      <c r="BA45" s="21"/>
      <c r="BB45" s="62" t="str">
        <f t="shared" si="16"/>
        <v/>
      </c>
      <c r="BC45" s="64">
        <f t="shared" si="17"/>
        <v>0</v>
      </c>
      <c r="BE45" s="20">
        <f t="shared" si="18"/>
        <v>0</v>
      </c>
      <c r="BF45" s="20">
        <f t="shared" si="19"/>
        <v>0</v>
      </c>
      <c r="BG45" s="89">
        <f t="shared" si="20"/>
        <v>0</v>
      </c>
      <c r="BH45" s="20">
        <f t="shared" si="21"/>
        <v>0</v>
      </c>
      <c r="BI45" s="20">
        <f t="shared" si="22"/>
        <v>0</v>
      </c>
    </row>
    <row r="46" spans="1:61" x14ac:dyDescent="0.2">
      <c r="A46" s="29">
        <v>44</v>
      </c>
      <c r="B46" s="88" t="s">
        <v>155</v>
      </c>
      <c r="C46" s="22"/>
      <c r="D46" s="24"/>
      <c r="E46" s="19"/>
      <c r="F46" s="20"/>
      <c r="G46" s="20"/>
      <c r="H46" s="20"/>
      <c r="I46" s="20"/>
      <c r="J46" s="20"/>
      <c r="K46" s="20"/>
      <c r="L46" s="21"/>
      <c r="M46" s="19"/>
      <c r="N46" s="20"/>
      <c r="O46" s="20"/>
      <c r="P46" s="20"/>
      <c r="Q46" s="20"/>
      <c r="R46" s="20"/>
      <c r="S46" s="20"/>
      <c r="T46" s="3"/>
      <c r="U46" s="19"/>
      <c r="V46" s="20"/>
      <c r="W46" s="20"/>
      <c r="X46" s="20"/>
      <c r="Y46" s="20"/>
      <c r="Z46" s="20"/>
      <c r="AA46" s="20"/>
      <c r="AB46" s="21"/>
      <c r="AC46" s="1"/>
      <c r="AD46" s="20"/>
      <c r="AE46" s="20"/>
      <c r="AF46" s="20"/>
      <c r="AG46" s="20"/>
      <c r="AH46" s="20"/>
      <c r="AI46" s="20"/>
      <c r="AJ46" s="3"/>
      <c r="AK46" s="44">
        <f t="shared" si="4"/>
        <v>0</v>
      </c>
      <c r="AL46" s="45">
        <f t="shared" si="5"/>
        <v>0</v>
      </c>
      <c r="AM46" s="46">
        <f t="shared" si="6"/>
        <v>0</v>
      </c>
      <c r="AN46" s="47">
        <f t="shared" si="7"/>
        <v>0</v>
      </c>
      <c r="AO46" s="48">
        <f t="shared" si="8"/>
        <v>0</v>
      </c>
      <c r="AP46" s="37"/>
      <c r="AR46" s="54">
        <f t="shared" si="9"/>
        <v>0</v>
      </c>
      <c r="AS46" s="20"/>
      <c r="AT46" s="56">
        <f t="shared" si="10"/>
        <v>0</v>
      </c>
      <c r="AU46" s="57" t="str">
        <f t="shared" si="11"/>
        <v/>
      </c>
      <c r="AV46" s="54" t="str">
        <f t="shared" si="12"/>
        <v/>
      </c>
      <c r="AW46" s="20"/>
      <c r="AX46" s="56">
        <f t="shared" si="13"/>
        <v>0</v>
      </c>
      <c r="AY46" s="60" t="str">
        <f t="shared" si="14"/>
        <v/>
      </c>
      <c r="AZ46" s="54" t="str">
        <f t="shared" si="15"/>
        <v/>
      </c>
      <c r="BA46" s="21"/>
      <c r="BB46" s="62" t="str">
        <f t="shared" si="16"/>
        <v/>
      </c>
      <c r="BC46" s="64">
        <f t="shared" si="17"/>
        <v>0</v>
      </c>
      <c r="BE46" s="20">
        <f t="shared" si="18"/>
        <v>0</v>
      </c>
      <c r="BF46" s="20">
        <f t="shared" si="19"/>
        <v>0</v>
      </c>
      <c r="BG46" s="89">
        <f t="shared" si="20"/>
        <v>0</v>
      </c>
      <c r="BH46" s="20">
        <f t="shared" si="21"/>
        <v>0</v>
      </c>
      <c r="BI46" s="20">
        <f t="shared" si="22"/>
        <v>0</v>
      </c>
    </row>
    <row r="47" spans="1:61" ht="16" thickBot="1" x14ac:dyDescent="0.25">
      <c r="A47" s="30">
        <v>45</v>
      </c>
      <c r="B47" s="88" t="s">
        <v>156</v>
      </c>
      <c r="C47" s="23"/>
      <c r="D47" s="25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4"/>
      <c r="U47" s="31"/>
      <c r="V47" s="32"/>
      <c r="W47" s="32"/>
      <c r="X47" s="32"/>
      <c r="Y47" s="32"/>
      <c r="Z47" s="32"/>
      <c r="AA47" s="32"/>
      <c r="AB47" s="33"/>
      <c r="AC47" s="5"/>
      <c r="AD47" s="32"/>
      <c r="AE47" s="32"/>
      <c r="AF47" s="32"/>
      <c r="AG47" s="32"/>
      <c r="AH47" s="32"/>
      <c r="AI47" s="32"/>
      <c r="AJ47" s="4"/>
      <c r="AK47" s="49">
        <f t="shared" si="4"/>
        <v>0</v>
      </c>
      <c r="AL47" s="50">
        <f t="shared" si="5"/>
        <v>0</v>
      </c>
      <c r="AM47" s="51">
        <f t="shared" si="6"/>
        <v>0</v>
      </c>
      <c r="AN47" s="52">
        <f t="shared" si="7"/>
        <v>0</v>
      </c>
      <c r="AO47" s="53">
        <f t="shared" si="8"/>
        <v>0</v>
      </c>
      <c r="AP47" s="38"/>
      <c r="AR47" s="55">
        <f t="shared" si="9"/>
        <v>0</v>
      </c>
      <c r="AS47" s="32"/>
      <c r="AT47" s="58">
        <f t="shared" si="10"/>
        <v>0</v>
      </c>
      <c r="AU47" s="59" t="str">
        <f t="shared" si="11"/>
        <v/>
      </c>
      <c r="AV47" s="55" t="str">
        <f t="shared" si="12"/>
        <v/>
      </c>
      <c r="AW47" s="32"/>
      <c r="AX47" s="58">
        <f t="shared" si="13"/>
        <v>0</v>
      </c>
      <c r="AY47" s="61" t="str">
        <f t="shared" si="14"/>
        <v/>
      </c>
      <c r="AZ47" s="55" t="str">
        <f t="shared" si="15"/>
        <v/>
      </c>
      <c r="BA47" s="33"/>
      <c r="BB47" s="65" t="str">
        <f t="shared" si="16"/>
        <v/>
      </c>
      <c r="BC47" s="66">
        <f t="shared" si="17"/>
        <v>0</v>
      </c>
      <c r="BE47" s="20">
        <f t="shared" si="18"/>
        <v>0</v>
      </c>
      <c r="BF47" s="20">
        <f t="shared" si="19"/>
        <v>0</v>
      </c>
      <c r="BG47" s="89">
        <f t="shared" si="20"/>
        <v>0</v>
      </c>
      <c r="BH47" s="20">
        <f t="shared" si="21"/>
        <v>0</v>
      </c>
      <c r="BI47" s="20">
        <f t="shared" si="22"/>
        <v>0</v>
      </c>
    </row>
  </sheetData>
  <mergeCells count="26">
    <mergeCell ref="AN1:AN2"/>
    <mergeCell ref="AR1:AR2"/>
    <mergeCell ref="AS1:AS2"/>
    <mergeCell ref="U1:AB1"/>
    <mergeCell ref="AC1:AJ1"/>
    <mergeCell ref="AK1:AK2"/>
    <mergeCell ref="AL1:AL2"/>
    <mergeCell ref="AM1:AM2"/>
    <mergeCell ref="AO1:AO2"/>
    <mergeCell ref="AP1:AP2"/>
    <mergeCell ref="A1:A2"/>
    <mergeCell ref="C1:C2"/>
    <mergeCell ref="D1:D2"/>
    <mergeCell ref="E1:L1"/>
    <mergeCell ref="M1:T1"/>
    <mergeCell ref="B1:B2"/>
    <mergeCell ref="AZ1:AZ2"/>
    <mergeCell ref="BA1:BA2"/>
    <mergeCell ref="BB1:BB2"/>
    <mergeCell ref="BC1:BC2"/>
    <mergeCell ref="AT1:AT2"/>
    <mergeCell ref="AU1:AU2"/>
    <mergeCell ref="AV1:AV2"/>
    <mergeCell ref="AW1:AW2"/>
    <mergeCell ref="AX1:AX2"/>
    <mergeCell ref="AY1:AY2"/>
  </mergeCells>
  <conditionalFormatting sqref="E3:F3 AJ3">
    <cfRule type="cellIs" dxfId="402" priority="61" operator="lessThan">
      <formula>70</formula>
    </cfRule>
  </conditionalFormatting>
  <conditionalFormatting sqref="G3:L11 G14:L15 G17:L22 G25:L30 G32:L33">
    <cfRule type="cellIs" dxfId="401" priority="64" operator="lessThan">
      <formula>70</formula>
    </cfRule>
  </conditionalFormatting>
  <conditionalFormatting sqref="G38:L39">
    <cfRule type="cellIs" dxfId="400" priority="57" operator="lessThan">
      <formula>70</formula>
    </cfRule>
  </conditionalFormatting>
  <conditionalFormatting sqref="G42:L42">
    <cfRule type="cellIs" dxfId="399" priority="53" operator="lessThan">
      <formula>70</formula>
    </cfRule>
  </conditionalFormatting>
  <conditionalFormatting sqref="O38:T39">
    <cfRule type="cellIs" dxfId="398" priority="56" operator="lessThan">
      <formula>70</formula>
    </cfRule>
  </conditionalFormatting>
  <conditionalFormatting sqref="O42:T42">
    <cfRule type="cellIs" dxfId="397" priority="52" operator="lessThan">
      <formula>70</formula>
    </cfRule>
  </conditionalFormatting>
  <conditionalFormatting sqref="O7:T11 O3:AB6 O14:T15 O17:T22 O25:T30 O32:T33">
    <cfRule type="cellIs" dxfId="396" priority="63" operator="lessThan">
      <formula>70</formula>
    </cfRule>
  </conditionalFormatting>
  <conditionalFormatting sqref="W7:AB11 W14:AB15 W17:AB22 W25:AB30 W32:AB33">
    <cfRule type="cellIs" dxfId="395" priority="59" operator="lessThan">
      <formula>70</formula>
    </cfRule>
  </conditionalFormatting>
  <conditionalFormatting sqref="W38:AB39">
    <cfRule type="cellIs" dxfId="394" priority="55" operator="lessThan">
      <formula>70</formula>
    </cfRule>
  </conditionalFormatting>
  <conditionalFormatting sqref="W42:AB42">
    <cfRule type="cellIs" dxfId="393" priority="51" operator="lessThan">
      <formula>70</formula>
    </cfRule>
  </conditionalFormatting>
  <conditionalFormatting sqref="AE38:AI39">
    <cfRule type="cellIs" dxfId="392" priority="54" operator="lessThan">
      <formula>70</formula>
    </cfRule>
  </conditionalFormatting>
  <conditionalFormatting sqref="AE42:AI42">
    <cfRule type="cellIs" dxfId="391" priority="50" operator="lessThan">
      <formula>70</formula>
    </cfRule>
  </conditionalFormatting>
  <conditionalFormatting sqref="AE4:AJ11 AE3:AI3 AE14:AJ15 AJ12:AJ13 AE17:AJ22 AJ16 AE25:AJ30 AJ23:AJ24 AE32:AJ33 AJ31">
    <cfRule type="cellIs" dxfId="390" priority="58" operator="lessThan">
      <formula>70</formula>
    </cfRule>
  </conditionalFormatting>
  <conditionalFormatting sqref="AK3:AP47 E4:F11 U7:V11 E34:AJ35 E38:F39 M38:N39 U38:V39 AC38:AD39 AJ38:AJ42 E40:AI41 E42:F42 M42:N42 U42:V42 AC42:AD42 E43:AJ47 M3:N11 AC3:AD11 AC14:AD15 M14:N15 U14:V15 E14:F15 E12:E13 E17:F22 E16 U17:V22 M17:N22 AC17:AD22 AC25:AD30 M25:N30 U25:V30 E25:F30 E23:E24 E32:F33 E31 U32:V33 M32:N33 AC32:AD33 E37:AJ37 E36 AJ36">
    <cfRule type="cellIs" dxfId="389" priority="67" operator="lessThan">
      <formula>70</formula>
    </cfRule>
  </conditionalFormatting>
  <conditionalFormatting sqref="AR3:AR47">
    <cfRule type="cellIs" dxfId="388" priority="65" operator="lessThan">
      <formula>70</formula>
    </cfRule>
  </conditionalFormatting>
  <conditionalFormatting sqref="AR3:AY47">
    <cfRule type="cellIs" dxfId="387" priority="66" operator="lessThan">
      <formula>70</formula>
    </cfRule>
  </conditionalFormatting>
  <conditionalFormatting sqref="AZ3:AZ47">
    <cfRule type="cellIs" dxfId="386" priority="60" operator="lessThan">
      <formula>70</formula>
    </cfRule>
  </conditionalFormatting>
  <conditionalFormatting sqref="F12:H12 N12:P12 AD12:AF12">
    <cfRule type="cellIs" dxfId="147" priority="49" operator="lessThan">
      <formula>70</formula>
    </cfRule>
  </conditionalFormatting>
  <conditionalFormatting sqref="H12:M12">
    <cfRule type="cellIs" dxfId="146" priority="48" operator="lessThan">
      <formula>70</formula>
    </cfRule>
  </conditionalFormatting>
  <conditionalFormatting sqref="V12">
    <cfRule type="cellIs" dxfId="145" priority="47" operator="lessThan">
      <formula>70</formula>
    </cfRule>
  </conditionalFormatting>
  <conditionalFormatting sqref="P12:U12">
    <cfRule type="cellIs" dxfId="144" priority="46" operator="lessThan">
      <formula>70</formula>
    </cfRule>
  </conditionalFormatting>
  <conditionalFormatting sqref="W12:X12">
    <cfRule type="cellIs" dxfId="143" priority="45" operator="lessThan">
      <formula>70</formula>
    </cfRule>
  </conditionalFormatting>
  <conditionalFormatting sqref="X12:AC12">
    <cfRule type="cellIs" dxfId="142" priority="44" operator="lessThan">
      <formula>70</formula>
    </cfRule>
  </conditionalFormatting>
  <conditionalFormatting sqref="AF12:AI12">
    <cfRule type="cellIs" dxfId="141" priority="43" operator="lessThan">
      <formula>70</formula>
    </cfRule>
  </conditionalFormatting>
  <conditionalFormatting sqref="F13:H13 N13:P13 AD13:AF13">
    <cfRule type="cellIs" dxfId="140" priority="42" operator="lessThan">
      <formula>70</formula>
    </cfRule>
  </conditionalFormatting>
  <conditionalFormatting sqref="H13:M13">
    <cfRule type="cellIs" dxfId="139" priority="41" operator="lessThan">
      <formula>70</formula>
    </cfRule>
  </conditionalFormatting>
  <conditionalFormatting sqref="V13">
    <cfRule type="cellIs" dxfId="138" priority="40" operator="lessThan">
      <formula>70</formula>
    </cfRule>
  </conditionalFormatting>
  <conditionalFormatting sqref="P13:U13">
    <cfRule type="cellIs" dxfId="137" priority="39" operator="lessThan">
      <formula>70</formula>
    </cfRule>
  </conditionalFormatting>
  <conditionalFormatting sqref="W13:X13">
    <cfRule type="cellIs" dxfId="136" priority="38" operator="lessThan">
      <formula>70</formula>
    </cfRule>
  </conditionalFormatting>
  <conditionalFormatting sqref="X13:AC13">
    <cfRule type="cellIs" dxfId="135" priority="37" operator="lessThan">
      <formula>70</formula>
    </cfRule>
  </conditionalFormatting>
  <conditionalFormatting sqref="AF13:AI13">
    <cfRule type="cellIs" dxfId="134" priority="36" operator="lessThan">
      <formula>70</formula>
    </cfRule>
  </conditionalFormatting>
  <conditionalFormatting sqref="F16:H16 N16:P16 AD16:AF16">
    <cfRule type="cellIs" dxfId="133" priority="35" operator="lessThan">
      <formula>70</formula>
    </cfRule>
  </conditionalFormatting>
  <conditionalFormatting sqref="H16:M16">
    <cfRule type="cellIs" dxfId="132" priority="34" operator="lessThan">
      <formula>70</formula>
    </cfRule>
  </conditionalFormatting>
  <conditionalFormatting sqref="V16">
    <cfRule type="cellIs" dxfId="131" priority="33" operator="lessThan">
      <formula>70</formula>
    </cfRule>
  </conditionalFormatting>
  <conditionalFormatting sqref="P16:U16">
    <cfRule type="cellIs" dxfId="130" priority="32" operator="lessThan">
      <formula>70</formula>
    </cfRule>
  </conditionalFormatting>
  <conditionalFormatting sqref="W16:X16">
    <cfRule type="cellIs" dxfId="129" priority="31" operator="lessThan">
      <formula>70</formula>
    </cfRule>
  </conditionalFormatting>
  <conditionalFormatting sqref="X16:AC16">
    <cfRule type="cellIs" dxfId="128" priority="30" operator="lessThan">
      <formula>70</formula>
    </cfRule>
  </conditionalFormatting>
  <conditionalFormatting sqref="AF16:AI16">
    <cfRule type="cellIs" dxfId="127" priority="29" operator="lessThan">
      <formula>70</formula>
    </cfRule>
  </conditionalFormatting>
  <conditionalFormatting sqref="F23:H23 N23:P23 AD23:AF23">
    <cfRule type="cellIs" dxfId="126" priority="28" operator="lessThan">
      <formula>70</formula>
    </cfRule>
  </conditionalFormatting>
  <conditionalFormatting sqref="H23:M23">
    <cfRule type="cellIs" dxfId="125" priority="27" operator="lessThan">
      <formula>70</formula>
    </cfRule>
  </conditionalFormatting>
  <conditionalFormatting sqref="V23">
    <cfRule type="cellIs" dxfId="124" priority="26" operator="lessThan">
      <formula>70</formula>
    </cfRule>
  </conditionalFormatting>
  <conditionalFormatting sqref="P23:U23">
    <cfRule type="cellIs" dxfId="123" priority="25" operator="lessThan">
      <formula>70</formula>
    </cfRule>
  </conditionalFormatting>
  <conditionalFormatting sqref="W23:X23">
    <cfRule type="cellIs" dxfId="122" priority="24" operator="lessThan">
      <formula>70</formula>
    </cfRule>
  </conditionalFormatting>
  <conditionalFormatting sqref="X23:AC23">
    <cfRule type="cellIs" dxfId="121" priority="23" operator="lessThan">
      <formula>70</formula>
    </cfRule>
  </conditionalFormatting>
  <conditionalFormatting sqref="AF23:AI23">
    <cfRule type="cellIs" dxfId="120" priority="22" operator="lessThan">
      <formula>70</formula>
    </cfRule>
  </conditionalFormatting>
  <conditionalFormatting sqref="F24:H24 N24:P24 AD24:AF24">
    <cfRule type="cellIs" dxfId="119" priority="21" operator="lessThan">
      <formula>70</formula>
    </cfRule>
  </conditionalFormatting>
  <conditionalFormatting sqref="H24:M24">
    <cfRule type="cellIs" dxfId="118" priority="20" operator="lessThan">
      <formula>70</formula>
    </cfRule>
  </conditionalFormatting>
  <conditionalFormatting sqref="V24">
    <cfRule type="cellIs" dxfId="117" priority="19" operator="lessThan">
      <formula>70</formula>
    </cfRule>
  </conditionalFormatting>
  <conditionalFormatting sqref="P24:U24">
    <cfRule type="cellIs" dxfId="116" priority="18" operator="lessThan">
      <formula>70</formula>
    </cfRule>
  </conditionalFormatting>
  <conditionalFormatting sqref="W24:X24">
    <cfRule type="cellIs" dxfId="115" priority="17" operator="lessThan">
      <formula>70</formula>
    </cfRule>
  </conditionalFormatting>
  <conditionalFormatting sqref="X24:AC24">
    <cfRule type="cellIs" dxfId="114" priority="16" operator="lessThan">
      <formula>70</formula>
    </cfRule>
  </conditionalFormatting>
  <conditionalFormatting sqref="AF24:AI24">
    <cfRule type="cellIs" dxfId="113" priority="15" operator="lessThan">
      <formula>70</formula>
    </cfRule>
  </conditionalFormatting>
  <conditionalFormatting sqref="F31:H31 N31:P31 AD31:AF31">
    <cfRule type="cellIs" dxfId="112" priority="14" operator="lessThan">
      <formula>70</formula>
    </cfRule>
  </conditionalFormatting>
  <conditionalFormatting sqref="H31:M31">
    <cfRule type="cellIs" dxfId="111" priority="13" operator="lessThan">
      <formula>70</formula>
    </cfRule>
  </conditionalFormatting>
  <conditionalFormatting sqref="V31">
    <cfRule type="cellIs" dxfId="110" priority="12" operator="lessThan">
      <formula>70</formula>
    </cfRule>
  </conditionalFormatting>
  <conditionalFormatting sqref="P31:U31">
    <cfRule type="cellIs" dxfId="109" priority="11" operator="lessThan">
      <formula>70</formula>
    </cfRule>
  </conditionalFormatting>
  <conditionalFormatting sqref="W31:X31">
    <cfRule type="cellIs" dxfId="108" priority="10" operator="lessThan">
      <formula>70</formula>
    </cfRule>
  </conditionalFormatting>
  <conditionalFormatting sqref="X31:AC31">
    <cfRule type="cellIs" dxfId="107" priority="9" operator="lessThan">
      <formula>70</formula>
    </cfRule>
  </conditionalFormatting>
  <conditionalFormatting sqref="AF31:AI31">
    <cfRule type="cellIs" dxfId="106" priority="8" operator="lessThan">
      <formula>70</formula>
    </cfRule>
  </conditionalFormatting>
  <conditionalFormatting sqref="F36:H36 N36:P36 AD36:AF36">
    <cfRule type="cellIs" dxfId="105" priority="7" operator="lessThan">
      <formula>70</formula>
    </cfRule>
  </conditionalFormatting>
  <conditionalFormatting sqref="H36:M36">
    <cfRule type="cellIs" dxfId="104" priority="6" operator="lessThan">
      <formula>70</formula>
    </cfRule>
  </conditionalFormatting>
  <conditionalFormatting sqref="V36">
    <cfRule type="cellIs" dxfId="103" priority="5" operator="lessThan">
      <formula>70</formula>
    </cfRule>
  </conditionalFormatting>
  <conditionalFormatting sqref="P36:U36">
    <cfRule type="cellIs" dxfId="102" priority="4" operator="lessThan">
      <formula>70</formula>
    </cfRule>
  </conditionalFormatting>
  <conditionalFormatting sqref="W36:X36">
    <cfRule type="cellIs" dxfId="101" priority="3" operator="lessThan">
      <formula>70</formula>
    </cfRule>
  </conditionalFormatting>
  <conditionalFormatting sqref="X36:AC36">
    <cfRule type="cellIs" dxfId="100" priority="2" operator="lessThan">
      <formula>70</formula>
    </cfRule>
  </conditionalFormatting>
  <conditionalFormatting sqref="AF36:AI36">
    <cfRule type="cellIs" dxfId="99" priority="1" operator="lessThan">
      <formula>70</formula>
    </cfRule>
  </conditionalFormatting>
  <dataValidations count="1">
    <dataValidation type="custom" allowBlank="1" showInputMessage="1" showErrorMessage="1" sqref="F12:AI13 F16:AI16 F23:AI24 F31:AI31 F36:AI36" xr:uid="{C0CF5176-95AC-4E48-9992-48616EBA4FCD}">
      <formula1>ISNUMBER(F12:F61)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1:BI47"/>
  <sheetViews>
    <sheetView topLeftCell="B1" zoomScale="85" zoomScaleNormal="85" workbookViewId="0">
      <selection activeCell="O32" sqref="O32"/>
    </sheetView>
  </sheetViews>
  <sheetFormatPr baseColWidth="10" defaultColWidth="11.5" defaultRowHeight="15" x14ac:dyDescent="0.2"/>
  <cols>
    <col min="1" max="1" width="4" style="12" customWidth="1"/>
    <col min="2" max="2" width="17.1640625" style="12" customWidth="1"/>
    <col min="3" max="3" width="21.33203125" style="13" customWidth="1"/>
    <col min="4" max="4" width="19.83203125" style="13" customWidth="1"/>
    <col min="5" max="36" width="4.6640625" style="13" customWidth="1"/>
    <col min="37" max="43" width="5.83203125" style="13" customWidth="1"/>
    <col min="44" max="44" width="7.6640625" style="13" customWidth="1"/>
    <col min="45" max="46" width="5.83203125" style="13" customWidth="1"/>
    <col min="47" max="47" width="6.5" style="13" customWidth="1"/>
    <col min="48" max="51" width="5.83203125" style="13" customWidth="1"/>
    <col min="52" max="53" width="5.33203125" style="13" customWidth="1"/>
    <col min="54" max="55" width="6.1640625" style="13" customWidth="1"/>
    <col min="56" max="56" width="11.5" style="13"/>
    <col min="57" max="58" width="6.33203125" style="13" customWidth="1"/>
    <col min="59" max="59" width="6.33203125" customWidth="1"/>
    <col min="60" max="61" width="6.33203125" style="13" customWidth="1"/>
    <col min="62" max="16384" width="11.5" style="13"/>
  </cols>
  <sheetData>
    <row r="1" spans="1:61" x14ac:dyDescent="0.2">
      <c r="A1" s="105" t="s">
        <v>5</v>
      </c>
      <c r="B1" s="117" t="s">
        <v>111</v>
      </c>
      <c r="C1" s="107" t="s">
        <v>4</v>
      </c>
      <c r="D1" s="109" t="s">
        <v>10</v>
      </c>
      <c r="E1" s="111" t="s">
        <v>18</v>
      </c>
      <c r="F1" s="112"/>
      <c r="G1" s="112"/>
      <c r="H1" s="112"/>
      <c r="I1" s="112"/>
      <c r="J1" s="112"/>
      <c r="K1" s="112"/>
      <c r="L1" s="113"/>
      <c r="M1" s="114" t="s">
        <v>19</v>
      </c>
      <c r="N1" s="115"/>
      <c r="O1" s="115"/>
      <c r="P1" s="115"/>
      <c r="Q1" s="115"/>
      <c r="R1" s="115"/>
      <c r="S1" s="115"/>
      <c r="T1" s="116"/>
      <c r="U1" s="121" t="s">
        <v>20</v>
      </c>
      <c r="V1" s="122"/>
      <c r="W1" s="122"/>
      <c r="X1" s="122"/>
      <c r="Y1" s="122"/>
      <c r="Z1" s="122"/>
      <c r="AA1" s="122"/>
      <c r="AB1" s="123"/>
      <c r="AC1" s="124" t="s">
        <v>21</v>
      </c>
      <c r="AD1" s="125"/>
      <c r="AE1" s="125"/>
      <c r="AF1" s="125"/>
      <c r="AG1" s="125"/>
      <c r="AH1" s="125"/>
      <c r="AI1" s="125"/>
      <c r="AJ1" s="126"/>
      <c r="AK1" s="127" t="s">
        <v>22</v>
      </c>
      <c r="AL1" s="129" t="s">
        <v>23</v>
      </c>
      <c r="AM1" s="131" t="s">
        <v>24</v>
      </c>
      <c r="AN1" s="119" t="s">
        <v>25</v>
      </c>
      <c r="AO1" s="133"/>
      <c r="AP1" s="135"/>
      <c r="AR1" s="99" t="s">
        <v>11</v>
      </c>
      <c r="AS1" s="101" t="s">
        <v>12</v>
      </c>
      <c r="AT1" s="95" t="s">
        <v>13</v>
      </c>
      <c r="AU1" s="97" t="s">
        <v>26</v>
      </c>
      <c r="AV1" s="99" t="s">
        <v>14</v>
      </c>
      <c r="AW1" s="101" t="s">
        <v>29</v>
      </c>
      <c r="AX1" s="95" t="s">
        <v>30</v>
      </c>
      <c r="AY1" s="103" t="s">
        <v>31</v>
      </c>
      <c r="AZ1" s="90" t="s">
        <v>27</v>
      </c>
      <c r="BA1" s="92" t="s">
        <v>28</v>
      </c>
      <c r="BB1" s="91" t="s">
        <v>16</v>
      </c>
      <c r="BC1" s="94" t="s">
        <v>17</v>
      </c>
    </row>
    <row r="2" spans="1:61" ht="16" thickBot="1" x14ac:dyDescent="0.25">
      <c r="A2" s="106"/>
      <c r="B2" s="118"/>
      <c r="C2" s="108"/>
      <c r="D2" s="110"/>
      <c r="E2" s="14" t="s">
        <v>0</v>
      </c>
      <c r="F2" s="15" t="s">
        <v>6</v>
      </c>
      <c r="G2" s="15" t="s">
        <v>1</v>
      </c>
      <c r="H2" s="15" t="s">
        <v>7</v>
      </c>
      <c r="I2" s="15" t="s">
        <v>2</v>
      </c>
      <c r="J2" s="15" t="s">
        <v>8</v>
      </c>
      <c r="K2" s="15" t="s">
        <v>3</v>
      </c>
      <c r="L2" s="16" t="s">
        <v>9</v>
      </c>
      <c r="M2" s="7" t="s">
        <v>0</v>
      </c>
      <c r="N2" s="7" t="s">
        <v>6</v>
      </c>
      <c r="O2" s="7" t="s">
        <v>1</v>
      </c>
      <c r="P2" s="7" t="s">
        <v>7</v>
      </c>
      <c r="Q2" s="7" t="s">
        <v>2</v>
      </c>
      <c r="R2" s="7" t="s">
        <v>8</v>
      </c>
      <c r="S2" s="7" t="s">
        <v>3</v>
      </c>
      <c r="T2" s="8" t="s">
        <v>9</v>
      </c>
      <c r="U2" s="9" t="s">
        <v>0</v>
      </c>
      <c r="V2" s="10" t="s">
        <v>6</v>
      </c>
      <c r="W2" s="10" t="s">
        <v>1</v>
      </c>
      <c r="X2" s="10" t="s">
        <v>8</v>
      </c>
      <c r="Y2" s="10" t="s">
        <v>2</v>
      </c>
      <c r="Z2" s="10" t="s">
        <v>9</v>
      </c>
      <c r="AA2" s="10" t="s">
        <v>3</v>
      </c>
      <c r="AB2" s="11" t="s">
        <v>9</v>
      </c>
      <c r="AC2" s="6" t="s">
        <v>0</v>
      </c>
      <c r="AD2" s="17" t="s">
        <v>6</v>
      </c>
      <c r="AE2" s="17" t="s">
        <v>1</v>
      </c>
      <c r="AF2" s="17" t="s">
        <v>8</v>
      </c>
      <c r="AG2" s="17" t="s">
        <v>2</v>
      </c>
      <c r="AH2" s="17" t="s">
        <v>9</v>
      </c>
      <c r="AI2" s="17" t="s">
        <v>3</v>
      </c>
      <c r="AJ2" s="18" t="s">
        <v>9</v>
      </c>
      <c r="AK2" s="128"/>
      <c r="AL2" s="130"/>
      <c r="AM2" s="132"/>
      <c r="AN2" s="120"/>
      <c r="AO2" s="134"/>
      <c r="AP2" s="136"/>
      <c r="AR2" s="100"/>
      <c r="AS2" s="102"/>
      <c r="AT2" s="96"/>
      <c r="AU2" s="98"/>
      <c r="AV2" s="100"/>
      <c r="AW2" s="102"/>
      <c r="AX2" s="96"/>
      <c r="AY2" s="104"/>
      <c r="AZ2" s="91"/>
      <c r="BA2" s="93"/>
      <c r="BB2" s="91"/>
      <c r="BC2" s="94"/>
      <c r="BE2" s="20" t="s">
        <v>0</v>
      </c>
      <c r="BF2" s="20" t="s">
        <v>1</v>
      </c>
      <c r="BG2" s="89" t="s">
        <v>2</v>
      </c>
      <c r="BH2" s="20" t="s">
        <v>3</v>
      </c>
      <c r="BI2" s="20" t="s">
        <v>15</v>
      </c>
    </row>
    <row r="3" spans="1:61" x14ac:dyDescent="0.2">
      <c r="A3" s="26">
        <v>1</v>
      </c>
      <c r="B3" s="88" t="s">
        <v>112</v>
      </c>
      <c r="C3" s="69" t="s">
        <v>33</v>
      </c>
      <c r="D3" s="69" t="s">
        <v>34</v>
      </c>
      <c r="E3" s="84">
        <v>0</v>
      </c>
      <c r="F3" s="19">
        <v>60</v>
      </c>
      <c r="G3" s="19">
        <v>60</v>
      </c>
      <c r="H3" s="20"/>
      <c r="I3" s="20">
        <v>65</v>
      </c>
      <c r="J3" s="20"/>
      <c r="K3" s="20">
        <v>63</v>
      </c>
      <c r="L3" s="20"/>
      <c r="M3" s="20">
        <v>68</v>
      </c>
      <c r="N3" s="19">
        <v>60</v>
      </c>
      <c r="O3" s="19">
        <v>60</v>
      </c>
      <c r="P3" s="20"/>
      <c r="Q3" s="20">
        <v>65</v>
      </c>
      <c r="R3" s="20"/>
      <c r="S3" s="20">
        <v>63</v>
      </c>
      <c r="T3" s="20"/>
      <c r="U3" s="20">
        <v>68</v>
      </c>
      <c r="V3" s="19">
        <v>60</v>
      </c>
      <c r="W3" s="19">
        <v>60</v>
      </c>
      <c r="X3" s="20"/>
      <c r="Y3" s="20">
        <v>65</v>
      </c>
      <c r="Z3" s="20"/>
      <c r="AA3" s="20">
        <v>63</v>
      </c>
      <c r="AB3" s="20"/>
      <c r="AC3" s="20">
        <v>68</v>
      </c>
      <c r="AD3" s="19">
        <v>60</v>
      </c>
      <c r="AE3" s="19">
        <v>60</v>
      </c>
      <c r="AF3" s="20"/>
      <c r="AG3" s="20">
        <v>65</v>
      </c>
      <c r="AH3" s="20"/>
      <c r="AI3" s="20">
        <v>63</v>
      </c>
      <c r="AJ3" s="2"/>
      <c r="AK3" s="39">
        <f>SUMIF(E3:E3, "&gt;=70") / 4 +SUMIF(G3:G3, "&gt;=70") / 4 +SUMIF(I3:I3, "&gt;=70") / 4 +SUMIF(K3:K3, "&gt;=70") / 4 + SUMIF(F3:F3, "&gt;1") / 4 + SUMIF(H3:H3, "&gt;1") / 4 + SUMIF(J3:J3, "&gt;1") / 4 + SUMIF(L3:L3, "&gt;1") / 4</f>
        <v>15</v>
      </c>
      <c r="AL3" s="40">
        <f>SUMIF(M3:M3, "&gt;=70") / 4 +SUMIF(O3:O3, "&gt;=70") / 4 +SUMIF(Q3:Q3, "&gt;=70") / 4 +SUMIF(S3:S3, "&gt;=70") / 4 + SUMIF(N3:N3, "&gt;1") / 4 + SUMIF(P3:P3, "&gt;1") / 4 + SUMIF(R3:R3, "&gt;1") / 4 + SUMIF(T3:T3, "&gt;1") / 4</f>
        <v>15</v>
      </c>
      <c r="AM3" s="41">
        <f>SUMIF(U3:U3, "&gt;=70") / 4 +SUMIF(W3:W3, "&gt;=70") / 4 +SUMIF(Y3:Y3, "&gt;=70") / 4 +SUMIF(AA3:AA3, "&gt;=70") / 4 + SUMIF(V3:V3, "&gt;1") / 4 + SUMIF(X3:X3, "&gt;1") / 4 + SUMIF(Z3:Z3, "&gt;1") / 4 + SUMIF(AB3:AB3, "&gt;1") / 4</f>
        <v>15</v>
      </c>
      <c r="AN3" s="42">
        <f>SUMIF(AC3:AC3, "&gt;=70") / 4 +SUMIF(AE3:AE3, "&gt;=70") / 4 +SUMIF(AG3:AG3, "&gt;=70") / 4 +SUMIF(AI3:AI3, "&gt;=70") / 4 + SUMIF(AD3:AD3, "&gt;1") / 4 + SUMIF(AF3:AF3, "&gt;1") / 4 + SUMIF(AH3:AH3, "&gt;1") / 4 + SUMIF(AJ3:AJ3, "&gt;1") / 4</f>
        <v>15</v>
      </c>
      <c r="AO3" s="43">
        <f>AVERAGE(AK3:AN3)</f>
        <v>15</v>
      </c>
      <c r="AP3" s="34"/>
      <c r="AR3" s="54">
        <f>IF(AO3&lt;70, AO3*0.5, "")</f>
        <v>7.5</v>
      </c>
      <c r="AS3" s="35"/>
      <c r="AT3" s="56">
        <f>AS3*50%</f>
        <v>0</v>
      </c>
      <c r="AU3" s="57" t="str">
        <f>IF(AS3&lt;&gt;"", IF(AR3="","",AR3+AT3), "")</f>
        <v/>
      </c>
      <c r="AV3" s="54" t="str">
        <f>IF(AU3 &lt; 70, AR3*30%, "")</f>
        <v/>
      </c>
      <c r="AW3" s="36"/>
      <c r="AX3" s="56">
        <f>AW3*70%</f>
        <v>0</v>
      </c>
      <c r="AY3" s="60" t="str">
        <f>IF(AW3&lt;&gt;"", IF(AV3="", "", AV3+AX3), "")</f>
        <v/>
      </c>
      <c r="AZ3" s="54" t="str">
        <f>IF(AND(AU3&lt;70, AY3&lt;70), AO3, "")</f>
        <v/>
      </c>
      <c r="BA3" s="21"/>
      <c r="BB3" s="62" t="str">
        <f>IF(AW3&lt;&gt;"", IF(AY3&gt;=70, AY3, IF(AZ3+BA3&gt;=70, AZ3+BA3, "")),
   IF(AS3&lt;&gt;"", IF(AU3&gt;=70, AU3, ""),
   IF(AO3&gt;=70, AO3, "")))</f>
        <v/>
      </c>
      <c r="BC3" s="63">
        <f>IF(AW3&lt;&gt;"", IF(AY3&lt;70, IF(AZ3+BA3&lt;70, AZ3+BA3, ""), ""), IF(AS3&lt;&gt;"", IF(AU3&lt;70, AU3, ""), IF(AO3&lt;70, AO3, "")))</f>
        <v>15</v>
      </c>
      <c r="BE3" s="20">
        <f t="shared" ref="BE3:BE4" si="0">SUM(E3+M3+U3+AC3)/4</f>
        <v>51</v>
      </c>
      <c r="BF3" s="20">
        <f t="shared" ref="BF3:BF4" si="1">SUM(G3+O3+W3+AE3)/4</f>
        <v>60</v>
      </c>
      <c r="BG3" s="89">
        <f t="shared" ref="BG3:BG4" si="2">SUM(I3+Q3+Y3+AG3)/4</f>
        <v>65</v>
      </c>
      <c r="BH3" s="20">
        <f t="shared" ref="BH3:BH4" si="3">SUM(K3+S3+AA3+AI3)/4</f>
        <v>63</v>
      </c>
      <c r="BI3" s="20">
        <f>AVERAGE(BE3:BH3)</f>
        <v>59.75</v>
      </c>
    </row>
    <row r="4" spans="1:61" x14ac:dyDescent="0.2">
      <c r="A4" s="29">
        <v>2</v>
      </c>
      <c r="B4" s="88" t="s">
        <v>113</v>
      </c>
      <c r="C4" s="70" t="s">
        <v>35</v>
      </c>
      <c r="D4" s="70" t="s">
        <v>34</v>
      </c>
      <c r="E4" s="84">
        <v>95</v>
      </c>
      <c r="F4" s="85"/>
      <c r="G4" s="85">
        <v>95</v>
      </c>
      <c r="H4" s="85"/>
      <c r="I4" s="85">
        <v>95</v>
      </c>
      <c r="J4" s="85"/>
      <c r="K4" s="85">
        <v>90</v>
      </c>
      <c r="L4" s="86"/>
      <c r="M4" s="84">
        <v>93</v>
      </c>
      <c r="N4" s="85"/>
      <c r="O4" s="85">
        <v>90</v>
      </c>
      <c r="P4" s="85"/>
      <c r="Q4" s="85">
        <v>94</v>
      </c>
      <c r="R4" s="85"/>
      <c r="S4" s="85">
        <v>95</v>
      </c>
      <c r="T4" s="86"/>
      <c r="U4" s="84">
        <v>95</v>
      </c>
      <c r="V4" s="85"/>
      <c r="W4" s="85">
        <v>92</v>
      </c>
      <c r="X4" s="85"/>
      <c r="Y4" s="85">
        <v>94</v>
      </c>
      <c r="Z4" s="85"/>
      <c r="AA4" s="85">
        <v>95</v>
      </c>
      <c r="AB4" s="86"/>
      <c r="AC4" s="84">
        <v>95</v>
      </c>
      <c r="AD4" s="85"/>
      <c r="AE4" s="85">
        <v>97</v>
      </c>
      <c r="AF4" s="85"/>
      <c r="AG4" s="85">
        <v>90</v>
      </c>
      <c r="AH4" s="85"/>
      <c r="AI4" s="85">
        <v>90</v>
      </c>
      <c r="AJ4" s="3"/>
      <c r="AK4" s="44">
        <f t="shared" ref="AK4:AK47" si="4">SUMIF(E4:E4, "&gt;=70") / 4 +SUMIF(G4:G4, "&gt;=70") / 4 +SUMIF(I4:I4, "&gt;=70") / 4 +SUMIF(K4:K4, "&gt;=70") / 4 + SUMIF(F4:F4, "&gt;1") / 4 + SUMIF(H4:H4, "&gt;1") / 4 + SUMIF(J4:J4, "&gt;1") / 4 + SUMIF(L4:L4, "&gt;1") / 4</f>
        <v>93.75</v>
      </c>
      <c r="AL4" s="45">
        <f t="shared" ref="AL4:AL47" si="5">SUMIF(M4:M4, "&gt;=70") / 4 +SUMIF(O4:O4, "&gt;=70") / 4 +SUMIF(Q4:Q4, "&gt;=70") / 4 +SUMIF(S4:S4, "&gt;=70") / 4 + SUMIF(N4:N4, "&gt;1") / 4 + SUMIF(P4:P4, "&gt;1") / 4 + SUMIF(R4:R4, "&gt;1") / 4 + SUMIF(T4:T4, "&gt;1") / 4</f>
        <v>93</v>
      </c>
      <c r="AM4" s="46">
        <f t="shared" ref="AM4:AM47" si="6">SUMIF(U4:U4, "&gt;=70") / 4 +SUMIF(W4:W4, "&gt;=70") / 4 +SUMIF(Y4:Y4, "&gt;=70") / 4 +SUMIF(AA4:AA4, "&gt;=70") / 4 + SUMIF(V4:V4, "&gt;1") / 4 + SUMIF(X4:X4, "&gt;1") / 4 + SUMIF(Z4:Z4, "&gt;1") / 4 + SUMIF(AB4:AB4, "&gt;1") / 4</f>
        <v>94</v>
      </c>
      <c r="AN4" s="47">
        <f t="shared" ref="AN4:AN47" si="7">SUMIF(AC4:AC4, "&gt;=65") / 4 +SUMIF(AE4:AE4, "&gt;=65") / 4 +SUMIF(AG4:AG4, "&gt;=65") / 4 +SUMIF(AI4:AI4, "&gt;=65") / 4 + SUMIF(AD4:AD4, "&gt;1") / 4 + SUMIF(AF4:AF4, "&gt;1") / 4 + SUMIF(AH4:AH4, "&gt;1") / 4 + SUMIF(AJ4:AJ4, "&gt;1") / 4</f>
        <v>93</v>
      </c>
      <c r="AO4" s="48">
        <f t="shared" ref="AO4:AO47" si="8">AVERAGE(AK4:AN4)</f>
        <v>93.4375</v>
      </c>
      <c r="AP4" s="37"/>
      <c r="AR4" s="54" t="str">
        <f t="shared" ref="AR4:AR47" si="9">IF(AO4&lt;70, AO4*0.5, "")</f>
        <v/>
      </c>
      <c r="AS4" s="35"/>
      <c r="AT4" s="56">
        <f t="shared" ref="AT4:AT47" si="10">AS4*50%</f>
        <v>0</v>
      </c>
      <c r="AU4" s="57" t="str">
        <f t="shared" ref="AU4:AU47" si="11">IF(AS4&lt;&gt;"", IF(AR4="","",AR4+AT4), "")</f>
        <v/>
      </c>
      <c r="AV4" s="54" t="str">
        <f t="shared" ref="AV4:AV47" si="12">IF(AU4 &lt; 70, AR4*30%, "")</f>
        <v/>
      </c>
      <c r="AW4" s="36"/>
      <c r="AX4" s="56">
        <f t="shared" ref="AX4:AX47" si="13">AW4*70%</f>
        <v>0</v>
      </c>
      <c r="AY4" s="60" t="str">
        <f t="shared" ref="AY4:AY47" si="14">IF(AW4&lt;&gt;"", IF(AV4="", "", AV4+AX4), "")</f>
        <v/>
      </c>
      <c r="AZ4" s="54" t="str">
        <f t="shared" ref="AZ4:AZ47" si="15">IF(AND(AU4&lt;70, AY4&lt;70), AO4, "")</f>
        <v/>
      </c>
      <c r="BA4" s="21"/>
      <c r="BB4" s="62">
        <f t="shared" ref="BB4:BB47" si="16">IF(AW4&lt;&gt;"", IF(AY4&gt;=70, AY4, IF(AZ4+BA4&gt;=70, AZ4+BA4, "")),
   IF(AS4&lt;&gt;"", IF(AU4&gt;=70, AU4, ""),
   IF(AO4&gt;=70, AO4, "")))</f>
        <v>93.4375</v>
      </c>
      <c r="BC4" s="64" t="str">
        <f t="shared" ref="BC4:BC47" si="17">IF(AW4&lt;&gt;"", IF(AY4&lt;70, IF(AZ4+BA4&lt;70, AZ4+BA4, ""), ""), IF(AS4&lt;&gt;"", IF(AU4&lt;70, AU4, ""), IF(AO4&lt;70, AO4, "")))</f>
        <v/>
      </c>
      <c r="BE4" s="20">
        <f t="shared" si="0"/>
        <v>94.5</v>
      </c>
      <c r="BF4" s="20">
        <f t="shared" si="1"/>
        <v>93.5</v>
      </c>
      <c r="BG4" s="89">
        <f t="shared" si="2"/>
        <v>93.25</v>
      </c>
      <c r="BH4" s="20">
        <f t="shared" si="3"/>
        <v>92.5</v>
      </c>
      <c r="BI4" s="20">
        <f>AVERAGE(BE4:BH4)</f>
        <v>93.4375</v>
      </c>
    </row>
    <row r="5" spans="1:61" x14ac:dyDescent="0.2">
      <c r="A5" s="29">
        <v>3</v>
      </c>
      <c r="B5" s="88" t="s">
        <v>114</v>
      </c>
      <c r="C5" s="69" t="s">
        <v>36</v>
      </c>
      <c r="D5" s="69" t="s">
        <v>37</v>
      </c>
      <c r="E5" s="84">
        <v>100</v>
      </c>
      <c r="F5" s="85"/>
      <c r="G5" s="85">
        <v>95</v>
      </c>
      <c r="H5" s="85"/>
      <c r="I5" s="85">
        <v>95</v>
      </c>
      <c r="J5" s="85"/>
      <c r="K5" s="85">
        <v>90</v>
      </c>
      <c r="L5" s="86"/>
      <c r="M5" s="84">
        <v>93</v>
      </c>
      <c r="N5" s="85"/>
      <c r="O5" s="85">
        <v>90</v>
      </c>
      <c r="P5" s="85"/>
      <c r="Q5" s="85">
        <v>94</v>
      </c>
      <c r="R5" s="85"/>
      <c r="S5" s="85">
        <v>95</v>
      </c>
      <c r="T5" s="86"/>
      <c r="U5" s="84">
        <v>95</v>
      </c>
      <c r="V5" s="85"/>
      <c r="W5" s="85">
        <v>92</v>
      </c>
      <c r="X5" s="85"/>
      <c r="Y5" s="85">
        <v>94</v>
      </c>
      <c r="Z5" s="85"/>
      <c r="AA5" s="85">
        <v>95</v>
      </c>
      <c r="AB5" s="86"/>
      <c r="AC5" s="84">
        <v>95</v>
      </c>
      <c r="AD5" s="85"/>
      <c r="AE5" s="85">
        <v>97</v>
      </c>
      <c r="AF5" s="85"/>
      <c r="AG5" s="85">
        <v>90</v>
      </c>
      <c r="AH5" s="85"/>
      <c r="AI5" s="85">
        <v>90</v>
      </c>
      <c r="AJ5" s="3"/>
      <c r="AK5" s="44">
        <f t="shared" si="4"/>
        <v>95</v>
      </c>
      <c r="AL5" s="45">
        <f t="shared" si="5"/>
        <v>93</v>
      </c>
      <c r="AM5" s="46">
        <f t="shared" si="6"/>
        <v>94</v>
      </c>
      <c r="AN5" s="47">
        <f t="shared" si="7"/>
        <v>93</v>
      </c>
      <c r="AO5" s="48">
        <f t="shared" si="8"/>
        <v>93.75</v>
      </c>
      <c r="AP5" s="37"/>
      <c r="AR5" s="54" t="str">
        <f t="shared" si="9"/>
        <v/>
      </c>
      <c r="AS5" s="35"/>
      <c r="AT5" s="56">
        <f t="shared" si="10"/>
        <v>0</v>
      </c>
      <c r="AU5" s="57" t="str">
        <f t="shared" si="11"/>
        <v/>
      </c>
      <c r="AV5" s="54" t="str">
        <f t="shared" si="12"/>
        <v/>
      </c>
      <c r="AW5" s="36"/>
      <c r="AX5" s="56">
        <f t="shared" si="13"/>
        <v>0</v>
      </c>
      <c r="AY5" s="60" t="str">
        <f t="shared" si="14"/>
        <v/>
      </c>
      <c r="AZ5" s="54" t="str">
        <f t="shared" si="15"/>
        <v/>
      </c>
      <c r="BA5" s="21"/>
      <c r="BB5" s="62">
        <f t="shared" si="16"/>
        <v>93.75</v>
      </c>
      <c r="BC5" s="64" t="str">
        <f t="shared" si="17"/>
        <v/>
      </c>
      <c r="BE5" s="20">
        <f>SUM(E5+M5+U5+AC5)/4</f>
        <v>95.75</v>
      </c>
      <c r="BF5" s="20">
        <f>SUM(G5+O5+W5+AE5)/4</f>
        <v>93.5</v>
      </c>
      <c r="BG5" s="89">
        <f>SUM(I5+Q5+Y5+AG5)/4</f>
        <v>93.25</v>
      </c>
      <c r="BH5" s="20">
        <f>SUM(K5+S5+AA5+AI5)/4</f>
        <v>92.5</v>
      </c>
      <c r="BI5" s="20">
        <f>AVERAGE(BE5:BH5)</f>
        <v>93.75</v>
      </c>
    </row>
    <row r="6" spans="1:61" x14ac:dyDescent="0.2">
      <c r="A6" s="29">
        <v>4</v>
      </c>
      <c r="B6" s="88" t="s">
        <v>115</v>
      </c>
      <c r="C6" s="70" t="s">
        <v>38</v>
      </c>
      <c r="D6" s="70" t="s">
        <v>39</v>
      </c>
      <c r="E6" s="84">
        <v>93</v>
      </c>
      <c r="F6" s="85"/>
      <c r="G6" s="85">
        <v>80</v>
      </c>
      <c r="H6" s="85"/>
      <c r="I6" s="85">
        <v>85</v>
      </c>
      <c r="J6" s="85"/>
      <c r="K6" s="85">
        <v>80</v>
      </c>
      <c r="L6" s="86"/>
      <c r="M6" s="84">
        <v>85</v>
      </c>
      <c r="N6" s="85"/>
      <c r="O6" s="85">
        <v>98</v>
      </c>
      <c r="P6" s="85"/>
      <c r="Q6" s="85">
        <v>80</v>
      </c>
      <c r="R6" s="85"/>
      <c r="S6" s="85">
        <v>70</v>
      </c>
      <c r="T6" s="86"/>
      <c r="U6" s="84">
        <v>85</v>
      </c>
      <c r="V6" s="85"/>
      <c r="W6" s="85">
        <v>82</v>
      </c>
      <c r="X6" s="85"/>
      <c r="Y6" s="85">
        <v>80</v>
      </c>
      <c r="Z6" s="85"/>
      <c r="AA6" s="85">
        <v>70</v>
      </c>
      <c r="AB6" s="86"/>
      <c r="AC6" s="84">
        <v>95</v>
      </c>
      <c r="AD6" s="85"/>
      <c r="AE6" s="85">
        <v>72</v>
      </c>
      <c r="AF6" s="85"/>
      <c r="AG6" s="85">
        <v>75</v>
      </c>
      <c r="AH6" s="85"/>
      <c r="AI6" s="85">
        <v>78</v>
      </c>
      <c r="AJ6" s="3"/>
      <c r="AK6" s="44">
        <f t="shared" si="4"/>
        <v>84.5</v>
      </c>
      <c r="AL6" s="45">
        <f t="shared" si="5"/>
        <v>83.25</v>
      </c>
      <c r="AM6" s="46">
        <f t="shared" si="6"/>
        <v>79.25</v>
      </c>
      <c r="AN6" s="47">
        <f t="shared" si="7"/>
        <v>80</v>
      </c>
      <c r="AO6" s="48">
        <f t="shared" si="8"/>
        <v>81.75</v>
      </c>
      <c r="AP6" s="37"/>
      <c r="AR6" s="54" t="str">
        <f t="shared" si="9"/>
        <v/>
      </c>
      <c r="AS6" s="35"/>
      <c r="AT6" s="56">
        <f t="shared" si="10"/>
        <v>0</v>
      </c>
      <c r="AU6" s="57" t="str">
        <f t="shared" si="11"/>
        <v/>
      </c>
      <c r="AV6" s="54" t="str">
        <f t="shared" si="12"/>
        <v/>
      </c>
      <c r="AW6" s="35"/>
      <c r="AX6" s="56">
        <f t="shared" si="13"/>
        <v>0</v>
      </c>
      <c r="AY6" s="60" t="str">
        <f t="shared" si="14"/>
        <v/>
      </c>
      <c r="AZ6" s="54" t="str">
        <f t="shared" si="15"/>
        <v/>
      </c>
      <c r="BA6" s="21"/>
      <c r="BB6" s="62">
        <f t="shared" si="16"/>
        <v>81.75</v>
      </c>
      <c r="BC6" s="64" t="str">
        <f t="shared" si="17"/>
        <v/>
      </c>
      <c r="BE6" s="20">
        <f t="shared" ref="BE6:BE47" si="18">SUM(E6+M6+U6+AC6)/4</f>
        <v>89.5</v>
      </c>
      <c r="BF6" s="20">
        <f t="shared" ref="BF6:BF47" si="19">SUM(G6+O6+W6+AE6)/4</f>
        <v>83</v>
      </c>
      <c r="BG6" s="89">
        <f t="shared" ref="BG6:BG47" si="20">SUM(I6+Q6+Y6+AG6)/4</f>
        <v>80</v>
      </c>
      <c r="BH6" s="20">
        <f t="shared" ref="BH6:BH47" si="21">SUM(K6+S6+AA6+AI6)/4</f>
        <v>74.5</v>
      </c>
      <c r="BI6" s="20">
        <f t="shared" ref="BI6:BI47" si="22">AVERAGE(BE6:BH6)</f>
        <v>81.75</v>
      </c>
    </row>
    <row r="7" spans="1:61" x14ac:dyDescent="0.2">
      <c r="A7" s="29">
        <v>5</v>
      </c>
      <c r="B7" s="88" t="s">
        <v>116</v>
      </c>
      <c r="C7" s="71" t="s">
        <v>32</v>
      </c>
      <c r="D7" s="72" t="s">
        <v>40</v>
      </c>
      <c r="E7" s="84">
        <v>98</v>
      </c>
      <c r="F7" s="85"/>
      <c r="G7" s="85">
        <v>100</v>
      </c>
      <c r="H7" s="85"/>
      <c r="I7" s="85">
        <v>90</v>
      </c>
      <c r="J7" s="85"/>
      <c r="K7" s="85">
        <v>90</v>
      </c>
      <c r="L7" s="86"/>
      <c r="M7" s="84">
        <v>95</v>
      </c>
      <c r="N7" s="85"/>
      <c r="O7" s="85">
        <v>95</v>
      </c>
      <c r="P7" s="85"/>
      <c r="Q7" s="85">
        <v>92</v>
      </c>
      <c r="R7" s="85"/>
      <c r="S7" s="85">
        <v>80</v>
      </c>
      <c r="T7" s="86"/>
      <c r="U7" s="84">
        <v>100</v>
      </c>
      <c r="V7" s="85"/>
      <c r="W7" s="85">
        <v>98</v>
      </c>
      <c r="X7" s="85"/>
      <c r="Y7" s="85">
        <v>93</v>
      </c>
      <c r="Z7" s="85"/>
      <c r="AA7" s="85">
        <v>85</v>
      </c>
      <c r="AB7" s="86"/>
      <c r="AC7" s="84">
        <v>100</v>
      </c>
      <c r="AD7" s="85"/>
      <c r="AE7" s="85">
        <v>98</v>
      </c>
      <c r="AF7" s="85"/>
      <c r="AG7" s="85">
        <v>95</v>
      </c>
      <c r="AH7" s="85"/>
      <c r="AI7" s="85">
        <v>90</v>
      </c>
      <c r="AJ7" s="3"/>
      <c r="AK7" s="44">
        <f t="shared" si="4"/>
        <v>94.5</v>
      </c>
      <c r="AL7" s="45">
        <f t="shared" si="5"/>
        <v>90.5</v>
      </c>
      <c r="AM7" s="46">
        <f t="shared" si="6"/>
        <v>94</v>
      </c>
      <c r="AN7" s="47">
        <f t="shared" si="7"/>
        <v>95.75</v>
      </c>
      <c r="AO7" s="48">
        <f t="shared" si="8"/>
        <v>93.6875</v>
      </c>
      <c r="AP7" s="37"/>
      <c r="AR7" s="54" t="str">
        <f t="shared" si="9"/>
        <v/>
      </c>
      <c r="AS7" s="35"/>
      <c r="AT7" s="56">
        <f t="shared" si="10"/>
        <v>0</v>
      </c>
      <c r="AU7" s="57" t="str">
        <f t="shared" si="11"/>
        <v/>
      </c>
      <c r="AV7" s="54" t="str">
        <f t="shared" si="12"/>
        <v/>
      </c>
      <c r="AW7" s="35"/>
      <c r="AX7" s="56">
        <f t="shared" si="13"/>
        <v>0</v>
      </c>
      <c r="AY7" s="60" t="str">
        <f t="shared" si="14"/>
        <v/>
      </c>
      <c r="AZ7" s="54" t="str">
        <f t="shared" si="15"/>
        <v/>
      </c>
      <c r="BA7" s="21"/>
      <c r="BB7" s="62">
        <f t="shared" si="16"/>
        <v>93.6875</v>
      </c>
      <c r="BC7" s="64" t="str">
        <f t="shared" si="17"/>
        <v/>
      </c>
      <c r="BE7" s="20">
        <f t="shared" si="18"/>
        <v>98.25</v>
      </c>
      <c r="BF7" s="20">
        <f t="shared" si="19"/>
        <v>97.75</v>
      </c>
      <c r="BG7" s="89">
        <f t="shared" si="20"/>
        <v>92.5</v>
      </c>
      <c r="BH7" s="20">
        <f t="shared" si="21"/>
        <v>86.25</v>
      </c>
      <c r="BI7" s="20">
        <f t="shared" si="22"/>
        <v>93.6875</v>
      </c>
    </row>
    <row r="8" spans="1:61" x14ac:dyDescent="0.2">
      <c r="A8" s="29">
        <v>6</v>
      </c>
      <c r="B8" s="88" t="s">
        <v>117</v>
      </c>
      <c r="C8" s="70" t="s">
        <v>41</v>
      </c>
      <c r="D8" s="70" t="s">
        <v>42</v>
      </c>
      <c r="E8" s="84">
        <v>80</v>
      </c>
      <c r="F8" s="85"/>
      <c r="G8" s="85">
        <v>85</v>
      </c>
      <c r="H8" s="85"/>
      <c r="I8" s="85">
        <v>78</v>
      </c>
      <c r="J8" s="85"/>
      <c r="K8" s="85">
        <v>85</v>
      </c>
      <c r="L8" s="86"/>
      <c r="M8" s="84">
        <v>82</v>
      </c>
      <c r="N8" s="85"/>
      <c r="O8" s="85">
        <v>84</v>
      </c>
      <c r="P8" s="85"/>
      <c r="Q8" s="85">
        <v>75</v>
      </c>
      <c r="R8" s="85"/>
      <c r="S8" s="85">
        <v>78</v>
      </c>
      <c r="T8" s="86"/>
      <c r="U8" s="84">
        <v>75</v>
      </c>
      <c r="V8" s="85"/>
      <c r="W8" s="85">
        <v>80</v>
      </c>
      <c r="X8" s="85"/>
      <c r="Y8" s="85">
        <v>78</v>
      </c>
      <c r="Z8" s="85"/>
      <c r="AA8" s="85">
        <v>82</v>
      </c>
      <c r="AB8" s="86"/>
      <c r="AC8" s="84">
        <v>85</v>
      </c>
      <c r="AD8" s="85"/>
      <c r="AE8" s="85">
        <v>83</v>
      </c>
      <c r="AF8" s="85"/>
      <c r="AG8" s="85">
        <v>80</v>
      </c>
      <c r="AH8" s="85"/>
      <c r="AI8" s="85">
        <v>81</v>
      </c>
      <c r="AJ8" s="3"/>
      <c r="AK8" s="44">
        <f t="shared" si="4"/>
        <v>82</v>
      </c>
      <c r="AL8" s="45">
        <f t="shared" si="5"/>
        <v>79.75</v>
      </c>
      <c r="AM8" s="46">
        <f t="shared" si="6"/>
        <v>78.75</v>
      </c>
      <c r="AN8" s="47">
        <f t="shared" si="7"/>
        <v>82.25</v>
      </c>
      <c r="AO8" s="48">
        <f t="shared" si="8"/>
        <v>80.6875</v>
      </c>
      <c r="AP8" s="37"/>
      <c r="AR8" s="54" t="str">
        <f t="shared" si="9"/>
        <v/>
      </c>
      <c r="AS8" s="35"/>
      <c r="AT8" s="56">
        <f t="shared" si="10"/>
        <v>0</v>
      </c>
      <c r="AU8" s="57" t="str">
        <f t="shared" si="11"/>
        <v/>
      </c>
      <c r="AV8" s="54" t="str">
        <f t="shared" si="12"/>
        <v/>
      </c>
      <c r="AW8" s="35"/>
      <c r="AX8" s="56">
        <f t="shared" si="13"/>
        <v>0</v>
      </c>
      <c r="AY8" s="60" t="str">
        <f t="shared" si="14"/>
        <v/>
      </c>
      <c r="AZ8" s="54" t="str">
        <f t="shared" si="15"/>
        <v/>
      </c>
      <c r="BA8" s="21"/>
      <c r="BB8" s="62">
        <f t="shared" si="16"/>
        <v>80.6875</v>
      </c>
      <c r="BC8" s="64" t="str">
        <f t="shared" si="17"/>
        <v/>
      </c>
      <c r="BE8" s="20">
        <f t="shared" si="18"/>
        <v>80.5</v>
      </c>
      <c r="BF8" s="20">
        <f t="shared" si="19"/>
        <v>83</v>
      </c>
      <c r="BG8" s="89">
        <f t="shared" si="20"/>
        <v>77.75</v>
      </c>
      <c r="BH8" s="20">
        <f t="shared" si="21"/>
        <v>81.5</v>
      </c>
      <c r="BI8" s="20">
        <f t="shared" si="22"/>
        <v>80.6875</v>
      </c>
    </row>
    <row r="9" spans="1:61" x14ac:dyDescent="0.2">
      <c r="A9" s="29">
        <v>7</v>
      </c>
      <c r="B9" s="88" t="s">
        <v>118</v>
      </c>
      <c r="C9" s="69" t="s">
        <v>43</v>
      </c>
      <c r="D9" s="69" t="s">
        <v>44</v>
      </c>
      <c r="E9" s="84">
        <v>93</v>
      </c>
      <c r="F9" s="85"/>
      <c r="G9" s="85">
        <v>100</v>
      </c>
      <c r="H9" s="85"/>
      <c r="I9" s="85">
        <v>98</v>
      </c>
      <c r="J9" s="85"/>
      <c r="K9" s="85">
        <v>90</v>
      </c>
      <c r="L9" s="86"/>
      <c r="M9" s="84">
        <v>95</v>
      </c>
      <c r="N9" s="85"/>
      <c r="O9" s="85">
        <v>98</v>
      </c>
      <c r="P9" s="85"/>
      <c r="Q9" s="85">
        <v>100</v>
      </c>
      <c r="R9" s="85"/>
      <c r="S9" s="85">
        <v>98</v>
      </c>
      <c r="T9" s="86"/>
      <c r="U9" s="84">
        <v>98</v>
      </c>
      <c r="V9" s="85"/>
      <c r="W9" s="85">
        <v>98</v>
      </c>
      <c r="X9" s="85"/>
      <c r="Y9" s="85">
        <v>95</v>
      </c>
      <c r="Z9" s="85"/>
      <c r="AA9" s="85">
        <v>100</v>
      </c>
      <c r="AB9" s="86"/>
      <c r="AC9" s="87">
        <v>100</v>
      </c>
      <c r="AD9" s="85"/>
      <c r="AE9" s="85">
        <v>100</v>
      </c>
      <c r="AF9" s="85"/>
      <c r="AG9" s="85">
        <v>98</v>
      </c>
      <c r="AH9" s="85"/>
      <c r="AI9" s="85">
        <v>95</v>
      </c>
      <c r="AJ9" s="3"/>
      <c r="AK9" s="44">
        <f t="shared" si="4"/>
        <v>95.25</v>
      </c>
      <c r="AL9" s="45">
        <f t="shared" si="5"/>
        <v>97.75</v>
      </c>
      <c r="AM9" s="46">
        <f t="shared" si="6"/>
        <v>97.75</v>
      </c>
      <c r="AN9" s="47">
        <f t="shared" si="7"/>
        <v>98.25</v>
      </c>
      <c r="AO9" s="48">
        <f t="shared" si="8"/>
        <v>97.25</v>
      </c>
      <c r="AP9" s="37"/>
      <c r="AR9" s="54" t="str">
        <f t="shared" si="9"/>
        <v/>
      </c>
      <c r="AS9" s="35"/>
      <c r="AT9" s="56">
        <f t="shared" si="10"/>
        <v>0</v>
      </c>
      <c r="AU9" s="57" t="str">
        <f t="shared" si="11"/>
        <v/>
      </c>
      <c r="AV9" s="54" t="str">
        <f t="shared" si="12"/>
        <v/>
      </c>
      <c r="AW9" s="35"/>
      <c r="AX9" s="56">
        <f t="shared" si="13"/>
        <v>0</v>
      </c>
      <c r="AY9" s="60" t="str">
        <f t="shared" si="14"/>
        <v/>
      </c>
      <c r="AZ9" s="54" t="str">
        <f t="shared" si="15"/>
        <v/>
      </c>
      <c r="BA9" s="21"/>
      <c r="BB9" s="62">
        <f t="shared" si="16"/>
        <v>97.25</v>
      </c>
      <c r="BC9" s="64" t="str">
        <f t="shared" si="17"/>
        <v/>
      </c>
      <c r="BE9" s="20">
        <f t="shared" si="18"/>
        <v>96.5</v>
      </c>
      <c r="BF9" s="20">
        <f t="shared" si="19"/>
        <v>99</v>
      </c>
      <c r="BG9" s="89">
        <f t="shared" si="20"/>
        <v>97.75</v>
      </c>
      <c r="BH9" s="20">
        <f t="shared" si="21"/>
        <v>95.75</v>
      </c>
      <c r="BI9" s="20">
        <f t="shared" si="22"/>
        <v>97.25</v>
      </c>
    </row>
    <row r="10" spans="1:61" x14ac:dyDescent="0.2">
      <c r="A10" s="29">
        <v>8</v>
      </c>
      <c r="B10" s="88" t="s">
        <v>119</v>
      </c>
      <c r="C10" s="70" t="s">
        <v>45</v>
      </c>
      <c r="D10" s="70" t="s">
        <v>46</v>
      </c>
      <c r="E10" s="84">
        <v>80</v>
      </c>
      <c r="F10" s="85"/>
      <c r="G10" s="85">
        <v>85</v>
      </c>
      <c r="H10" s="85"/>
      <c r="I10" s="85">
        <v>75</v>
      </c>
      <c r="J10" s="85"/>
      <c r="K10" s="85">
        <v>75</v>
      </c>
      <c r="L10" s="86"/>
      <c r="M10" s="84">
        <v>82</v>
      </c>
      <c r="N10" s="85"/>
      <c r="O10" s="85">
        <v>80</v>
      </c>
      <c r="P10" s="85"/>
      <c r="Q10" s="85">
        <v>72</v>
      </c>
      <c r="R10" s="85"/>
      <c r="S10" s="85">
        <v>75</v>
      </c>
      <c r="T10" s="86"/>
      <c r="U10" s="84">
        <v>80</v>
      </c>
      <c r="V10" s="85"/>
      <c r="W10" s="85">
        <v>87</v>
      </c>
      <c r="X10" s="85"/>
      <c r="Y10" s="85">
        <v>73</v>
      </c>
      <c r="Z10" s="85"/>
      <c r="AA10" s="85">
        <v>72</v>
      </c>
      <c r="AB10" s="86"/>
      <c r="AC10" s="84">
        <v>80</v>
      </c>
      <c r="AD10" s="85"/>
      <c r="AE10" s="85">
        <v>82</v>
      </c>
      <c r="AF10" s="85"/>
      <c r="AG10" s="85">
        <v>70</v>
      </c>
      <c r="AH10" s="85"/>
      <c r="AI10" s="85">
        <v>73</v>
      </c>
      <c r="AJ10" s="3"/>
      <c r="AK10" s="44">
        <f t="shared" si="4"/>
        <v>78.75</v>
      </c>
      <c r="AL10" s="45">
        <f t="shared" si="5"/>
        <v>77.25</v>
      </c>
      <c r="AM10" s="46">
        <f t="shared" si="6"/>
        <v>78</v>
      </c>
      <c r="AN10" s="47">
        <f t="shared" si="7"/>
        <v>76.25</v>
      </c>
      <c r="AO10" s="48">
        <f t="shared" si="8"/>
        <v>77.5625</v>
      </c>
      <c r="AP10" s="37"/>
      <c r="AR10" s="54" t="str">
        <f t="shared" si="9"/>
        <v/>
      </c>
      <c r="AS10" s="35"/>
      <c r="AT10" s="56">
        <f t="shared" si="10"/>
        <v>0</v>
      </c>
      <c r="AU10" s="57" t="str">
        <f t="shared" si="11"/>
        <v/>
      </c>
      <c r="AV10" s="54" t="str">
        <f t="shared" si="12"/>
        <v/>
      </c>
      <c r="AW10" s="35"/>
      <c r="AX10" s="56">
        <f t="shared" si="13"/>
        <v>0</v>
      </c>
      <c r="AY10" s="60" t="str">
        <f t="shared" si="14"/>
        <v/>
      </c>
      <c r="AZ10" s="54" t="str">
        <f t="shared" si="15"/>
        <v/>
      </c>
      <c r="BA10" s="21"/>
      <c r="BB10" s="62">
        <f t="shared" si="16"/>
        <v>77.5625</v>
      </c>
      <c r="BC10" s="64" t="str">
        <f t="shared" si="17"/>
        <v/>
      </c>
      <c r="BE10" s="20">
        <f t="shared" si="18"/>
        <v>80.5</v>
      </c>
      <c r="BF10" s="20">
        <f t="shared" si="19"/>
        <v>83.5</v>
      </c>
      <c r="BG10" s="89">
        <f t="shared" si="20"/>
        <v>72.5</v>
      </c>
      <c r="BH10" s="20">
        <f t="shared" si="21"/>
        <v>73.75</v>
      </c>
      <c r="BI10" s="20">
        <f t="shared" si="22"/>
        <v>77.5625</v>
      </c>
    </row>
    <row r="11" spans="1:61" x14ac:dyDescent="0.2">
      <c r="A11" s="29">
        <v>9</v>
      </c>
      <c r="B11" s="88" t="s">
        <v>120</v>
      </c>
      <c r="C11" s="69" t="s">
        <v>47</v>
      </c>
      <c r="D11" s="69" t="s">
        <v>48</v>
      </c>
      <c r="E11" s="84">
        <v>80</v>
      </c>
      <c r="F11" s="85"/>
      <c r="G11" s="85">
        <v>70</v>
      </c>
      <c r="H11" s="85"/>
      <c r="I11" s="85">
        <v>85</v>
      </c>
      <c r="J11" s="85"/>
      <c r="K11" s="85">
        <v>89</v>
      </c>
      <c r="L11" s="86"/>
      <c r="M11" s="84">
        <v>85</v>
      </c>
      <c r="N11" s="85"/>
      <c r="O11" s="85">
        <v>90</v>
      </c>
      <c r="P11" s="85"/>
      <c r="Q11" s="85">
        <v>80</v>
      </c>
      <c r="R11" s="85"/>
      <c r="S11" s="85">
        <v>90</v>
      </c>
      <c r="T11" s="86"/>
      <c r="U11" s="84">
        <v>80</v>
      </c>
      <c r="V11" s="85"/>
      <c r="W11" s="85">
        <v>82</v>
      </c>
      <c r="X11" s="85"/>
      <c r="Y11" s="85">
        <v>80</v>
      </c>
      <c r="Z11" s="85"/>
      <c r="AA11" s="85">
        <v>90</v>
      </c>
      <c r="AB11" s="86"/>
      <c r="AC11" s="84">
        <v>90</v>
      </c>
      <c r="AD11" s="85"/>
      <c r="AE11" s="85">
        <v>79</v>
      </c>
      <c r="AF11" s="85"/>
      <c r="AG11" s="85">
        <v>75</v>
      </c>
      <c r="AH11" s="85"/>
      <c r="AI11" s="85">
        <v>90</v>
      </c>
      <c r="AJ11" s="3"/>
      <c r="AK11" s="44">
        <f t="shared" si="4"/>
        <v>81</v>
      </c>
      <c r="AL11" s="45">
        <f t="shared" si="5"/>
        <v>86.25</v>
      </c>
      <c r="AM11" s="46">
        <f t="shared" si="6"/>
        <v>83</v>
      </c>
      <c r="AN11" s="47">
        <f t="shared" si="7"/>
        <v>83.5</v>
      </c>
      <c r="AO11" s="48">
        <f t="shared" si="8"/>
        <v>83.4375</v>
      </c>
      <c r="AP11" s="37"/>
      <c r="AR11" s="54" t="str">
        <f t="shared" si="9"/>
        <v/>
      </c>
      <c r="AS11" s="35"/>
      <c r="AT11" s="56">
        <f t="shared" si="10"/>
        <v>0</v>
      </c>
      <c r="AU11" s="57" t="str">
        <f t="shared" si="11"/>
        <v/>
      </c>
      <c r="AV11" s="54" t="str">
        <f t="shared" si="12"/>
        <v/>
      </c>
      <c r="AW11" s="35"/>
      <c r="AX11" s="56">
        <f t="shared" si="13"/>
        <v>0</v>
      </c>
      <c r="AY11" s="60" t="str">
        <f t="shared" si="14"/>
        <v/>
      </c>
      <c r="AZ11" s="54" t="str">
        <f t="shared" si="15"/>
        <v/>
      </c>
      <c r="BA11" s="21"/>
      <c r="BB11" s="62">
        <f t="shared" si="16"/>
        <v>83.4375</v>
      </c>
      <c r="BC11" s="64" t="str">
        <f t="shared" si="17"/>
        <v/>
      </c>
      <c r="BE11" s="20">
        <f t="shared" si="18"/>
        <v>83.75</v>
      </c>
      <c r="BF11" s="20">
        <f t="shared" si="19"/>
        <v>80.25</v>
      </c>
      <c r="BG11" s="89">
        <f t="shared" si="20"/>
        <v>80</v>
      </c>
      <c r="BH11" s="20">
        <f t="shared" si="21"/>
        <v>89.75</v>
      </c>
      <c r="BI11" s="20">
        <f t="shared" si="22"/>
        <v>83.4375</v>
      </c>
    </row>
    <row r="12" spans="1:61" x14ac:dyDescent="0.2">
      <c r="A12" s="29">
        <v>10</v>
      </c>
      <c r="B12" s="88" t="s">
        <v>121</v>
      </c>
      <c r="C12" s="70" t="s">
        <v>49</v>
      </c>
      <c r="D12" s="70" t="s">
        <v>50</v>
      </c>
      <c r="E12" s="84">
        <v>0</v>
      </c>
      <c r="F12" s="19">
        <v>60</v>
      </c>
      <c r="G12" s="19">
        <v>60</v>
      </c>
      <c r="H12" s="20"/>
      <c r="I12" s="20">
        <v>65</v>
      </c>
      <c r="J12" s="20"/>
      <c r="K12" s="20">
        <v>63</v>
      </c>
      <c r="L12" s="20"/>
      <c r="M12" s="20">
        <v>68</v>
      </c>
      <c r="N12" s="19">
        <v>60</v>
      </c>
      <c r="O12" s="19">
        <v>60</v>
      </c>
      <c r="P12" s="20"/>
      <c r="Q12" s="20">
        <v>65</v>
      </c>
      <c r="R12" s="20"/>
      <c r="S12" s="20">
        <v>63</v>
      </c>
      <c r="T12" s="20"/>
      <c r="U12" s="20">
        <v>68</v>
      </c>
      <c r="V12" s="19">
        <v>60</v>
      </c>
      <c r="W12" s="19">
        <v>60</v>
      </c>
      <c r="X12" s="20"/>
      <c r="Y12" s="20">
        <v>65</v>
      </c>
      <c r="Z12" s="20"/>
      <c r="AA12" s="20">
        <v>63</v>
      </c>
      <c r="AB12" s="20"/>
      <c r="AC12" s="20">
        <v>68</v>
      </c>
      <c r="AD12" s="19">
        <v>60</v>
      </c>
      <c r="AE12" s="19">
        <v>60</v>
      </c>
      <c r="AF12" s="20"/>
      <c r="AG12" s="20">
        <v>65</v>
      </c>
      <c r="AH12" s="20"/>
      <c r="AI12" s="20">
        <v>63</v>
      </c>
      <c r="AJ12" s="20">
        <v>63</v>
      </c>
      <c r="AK12" s="44">
        <f t="shared" si="4"/>
        <v>15</v>
      </c>
      <c r="AL12" s="45">
        <f t="shared" si="5"/>
        <v>15</v>
      </c>
      <c r="AM12" s="46">
        <f t="shared" si="6"/>
        <v>15</v>
      </c>
      <c r="AN12" s="47">
        <f t="shared" si="7"/>
        <v>64</v>
      </c>
      <c r="AO12" s="48">
        <f t="shared" si="8"/>
        <v>27.25</v>
      </c>
      <c r="AP12" s="37"/>
      <c r="AR12" s="54">
        <f t="shared" si="9"/>
        <v>13.625</v>
      </c>
      <c r="AS12" s="20"/>
      <c r="AT12" s="56">
        <f t="shared" si="10"/>
        <v>0</v>
      </c>
      <c r="AU12" s="57" t="str">
        <f t="shared" si="11"/>
        <v/>
      </c>
      <c r="AV12" s="54" t="str">
        <f t="shared" si="12"/>
        <v/>
      </c>
      <c r="AW12" s="20"/>
      <c r="AX12" s="56">
        <f t="shared" si="13"/>
        <v>0</v>
      </c>
      <c r="AY12" s="60" t="str">
        <f t="shared" si="14"/>
        <v/>
      </c>
      <c r="AZ12" s="54" t="str">
        <f t="shared" si="15"/>
        <v/>
      </c>
      <c r="BA12" s="21"/>
      <c r="BB12" s="62" t="str">
        <f t="shared" si="16"/>
        <v/>
      </c>
      <c r="BC12" s="64">
        <f t="shared" si="17"/>
        <v>27.25</v>
      </c>
      <c r="BE12" s="20">
        <f t="shared" si="18"/>
        <v>51</v>
      </c>
      <c r="BF12" s="20">
        <f t="shared" si="19"/>
        <v>60</v>
      </c>
      <c r="BG12" s="89">
        <f t="shared" si="20"/>
        <v>65</v>
      </c>
      <c r="BH12" s="20">
        <f t="shared" si="21"/>
        <v>63</v>
      </c>
      <c r="BI12" s="20">
        <f t="shared" si="22"/>
        <v>59.75</v>
      </c>
    </row>
    <row r="13" spans="1:61" x14ac:dyDescent="0.2">
      <c r="A13" s="29">
        <v>11</v>
      </c>
      <c r="B13" s="88" t="s">
        <v>122</v>
      </c>
      <c r="C13" s="69" t="s">
        <v>51</v>
      </c>
      <c r="D13" s="69" t="s">
        <v>52</v>
      </c>
      <c r="E13" s="84">
        <v>70</v>
      </c>
      <c r="F13" s="85"/>
      <c r="G13" s="85">
        <v>71</v>
      </c>
      <c r="H13" s="85"/>
      <c r="I13" s="85">
        <v>70</v>
      </c>
      <c r="J13" s="85"/>
      <c r="K13" s="85">
        <v>75</v>
      </c>
      <c r="L13" s="86"/>
      <c r="M13" s="84">
        <v>70</v>
      </c>
      <c r="N13" s="85"/>
      <c r="O13" s="85">
        <v>70</v>
      </c>
      <c r="P13" s="85"/>
      <c r="Q13" s="85">
        <v>70</v>
      </c>
      <c r="R13" s="85"/>
      <c r="S13" s="85">
        <v>70</v>
      </c>
      <c r="T13" s="86"/>
      <c r="U13" s="84">
        <v>70</v>
      </c>
      <c r="V13" s="85"/>
      <c r="W13" s="85">
        <v>70</v>
      </c>
      <c r="X13" s="85"/>
      <c r="Y13" s="85">
        <v>70</v>
      </c>
      <c r="Z13" s="85"/>
      <c r="AA13" s="85">
        <v>70</v>
      </c>
      <c r="AB13" s="86"/>
      <c r="AC13" s="84">
        <v>72</v>
      </c>
      <c r="AD13" s="85"/>
      <c r="AE13" s="85">
        <v>71</v>
      </c>
      <c r="AF13" s="85"/>
      <c r="AG13" s="85">
        <v>70</v>
      </c>
      <c r="AH13" s="85"/>
      <c r="AI13" s="85">
        <v>70</v>
      </c>
      <c r="AJ13" s="3"/>
      <c r="AK13" s="44">
        <f t="shared" si="4"/>
        <v>71.5</v>
      </c>
      <c r="AL13" s="45">
        <f t="shared" si="5"/>
        <v>70</v>
      </c>
      <c r="AM13" s="46">
        <f t="shared" si="6"/>
        <v>70</v>
      </c>
      <c r="AN13" s="47">
        <f t="shared" si="7"/>
        <v>70.75</v>
      </c>
      <c r="AO13" s="48">
        <f t="shared" si="8"/>
        <v>70.5625</v>
      </c>
      <c r="AP13" s="37"/>
      <c r="AR13" s="54" t="str">
        <f t="shared" si="9"/>
        <v/>
      </c>
      <c r="AS13" s="20"/>
      <c r="AT13" s="56">
        <f t="shared" si="10"/>
        <v>0</v>
      </c>
      <c r="AU13" s="57" t="str">
        <f t="shared" si="11"/>
        <v/>
      </c>
      <c r="AV13" s="54" t="str">
        <f t="shared" si="12"/>
        <v/>
      </c>
      <c r="AW13" s="20"/>
      <c r="AX13" s="56">
        <f t="shared" si="13"/>
        <v>0</v>
      </c>
      <c r="AY13" s="60" t="str">
        <f t="shared" si="14"/>
        <v/>
      </c>
      <c r="AZ13" s="54" t="str">
        <f t="shared" si="15"/>
        <v/>
      </c>
      <c r="BA13" s="21"/>
      <c r="BB13" s="62">
        <f t="shared" si="16"/>
        <v>70.5625</v>
      </c>
      <c r="BC13" s="64" t="str">
        <f t="shared" si="17"/>
        <v/>
      </c>
      <c r="BE13" s="20">
        <f t="shared" si="18"/>
        <v>70.5</v>
      </c>
      <c r="BF13" s="20">
        <f t="shared" si="19"/>
        <v>70.5</v>
      </c>
      <c r="BG13" s="89">
        <f t="shared" si="20"/>
        <v>70</v>
      </c>
      <c r="BH13" s="20">
        <f t="shared" si="21"/>
        <v>71.25</v>
      </c>
      <c r="BI13" s="20">
        <f t="shared" si="22"/>
        <v>70.5625</v>
      </c>
    </row>
    <row r="14" spans="1:61" x14ac:dyDescent="0.2">
      <c r="A14" s="29">
        <v>12</v>
      </c>
      <c r="B14" s="88" t="s">
        <v>123</v>
      </c>
      <c r="C14" s="70" t="s">
        <v>53</v>
      </c>
      <c r="D14" s="70" t="s">
        <v>54</v>
      </c>
      <c r="E14" s="84">
        <v>93</v>
      </c>
      <c r="F14" s="85"/>
      <c r="G14" s="85">
        <v>95</v>
      </c>
      <c r="H14" s="85"/>
      <c r="I14" s="85">
        <v>90</v>
      </c>
      <c r="J14" s="85"/>
      <c r="K14" s="85">
        <v>90</v>
      </c>
      <c r="L14" s="86"/>
      <c r="M14" s="84">
        <v>95</v>
      </c>
      <c r="N14" s="85"/>
      <c r="O14" s="85">
        <v>90</v>
      </c>
      <c r="P14" s="85"/>
      <c r="Q14" s="85">
        <v>92</v>
      </c>
      <c r="R14" s="85"/>
      <c r="S14" s="85">
        <v>90</v>
      </c>
      <c r="T14" s="86"/>
      <c r="U14" s="84">
        <v>93</v>
      </c>
      <c r="V14" s="85"/>
      <c r="W14" s="85">
        <v>90</v>
      </c>
      <c r="X14" s="85"/>
      <c r="Y14" s="85">
        <v>95</v>
      </c>
      <c r="Z14" s="85"/>
      <c r="AA14" s="85">
        <v>92</v>
      </c>
      <c r="AB14" s="86"/>
      <c r="AC14" s="84">
        <v>95</v>
      </c>
      <c r="AD14" s="85"/>
      <c r="AE14" s="85">
        <v>95</v>
      </c>
      <c r="AF14" s="85"/>
      <c r="AG14" s="85">
        <v>90</v>
      </c>
      <c r="AH14" s="85"/>
      <c r="AI14" s="85">
        <v>93</v>
      </c>
      <c r="AJ14" s="3"/>
      <c r="AK14" s="44">
        <f t="shared" si="4"/>
        <v>92</v>
      </c>
      <c r="AL14" s="45">
        <f t="shared" si="5"/>
        <v>91.75</v>
      </c>
      <c r="AM14" s="46">
        <f t="shared" si="6"/>
        <v>92.5</v>
      </c>
      <c r="AN14" s="47">
        <f t="shared" si="7"/>
        <v>93.25</v>
      </c>
      <c r="AO14" s="48">
        <f t="shared" si="8"/>
        <v>92.375</v>
      </c>
      <c r="AP14" s="37"/>
      <c r="AR14" s="54" t="str">
        <f t="shared" si="9"/>
        <v/>
      </c>
      <c r="AS14" s="20"/>
      <c r="AT14" s="56">
        <f t="shared" si="10"/>
        <v>0</v>
      </c>
      <c r="AU14" s="57" t="str">
        <f t="shared" si="11"/>
        <v/>
      </c>
      <c r="AV14" s="54" t="str">
        <f t="shared" si="12"/>
        <v/>
      </c>
      <c r="AW14" s="20"/>
      <c r="AX14" s="56">
        <f t="shared" si="13"/>
        <v>0</v>
      </c>
      <c r="AY14" s="60" t="str">
        <f t="shared" si="14"/>
        <v/>
      </c>
      <c r="AZ14" s="54" t="str">
        <f t="shared" si="15"/>
        <v/>
      </c>
      <c r="BA14" s="21"/>
      <c r="BB14" s="62">
        <f t="shared" si="16"/>
        <v>92.375</v>
      </c>
      <c r="BC14" s="64" t="str">
        <f t="shared" si="17"/>
        <v/>
      </c>
      <c r="BE14" s="20">
        <f t="shared" si="18"/>
        <v>94</v>
      </c>
      <c r="BF14" s="20">
        <f t="shared" si="19"/>
        <v>92.5</v>
      </c>
      <c r="BG14" s="89">
        <f t="shared" si="20"/>
        <v>91.75</v>
      </c>
      <c r="BH14" s="20">
        <f t="shared" si="21"/>
        <v>91.25</v>
      </c>
      <c r="BI14" s="20">
        <f t="shared" si="22"/>
        <v>92.375</v>
      </c>
    </row>
    <row r="15" spans="1:61" x14ac:dyDescent="0.2">
      <c r="A15" s="29">
        <v>13</v>
      </c>
      <c r="B15" s="88" t="s">
        <v>124</v>
      </c>
      <c r="C15" s="69" t="s">
        <v>55</v>
      </c>
      <c r="D15" s="69" t="s">
        <v>56</v>
      </c>
      <c r="E15" s="84">
        <v>75</v>
      </c>
      <c r="F15" s="85"/>
      <c r="G15" s="85">
        <v>80</v>
      </c>
      <c r="H15" s="85"/>
      <c r="I15" s="85">
        <v>85</v>
      </c>
      <c r="J15" s="85"/>
      <c r="K15" s="85">
        <v>82</v>
      </c>
      <c r="L15" s="86"/>
      <c r="M15" s="84">
        <v>78</v>
      </c>
      <c r="N15" s="85"/>
      <c r="O15" s="85">
        <v>82</v>
      </c>
      <c r="P15" s="85"/>
      <c r="Q15" s="85">
        <v>81</v>
      </c>
      <c r="R15" s="85"/>
      <c r="S15" s="85">
        <v>79</v>
      </c>
      <c r="T15" s="86"/>
      <c r="U15" s="84">
        <v>80</v>
      </c>
      <c r="V15" s="85"/>
      <c r="W15" s="85">
        <v>82</v>
      </c>
      <c r="X15" s="85"/>
      <c r="Y15" s="85">
        <v>80</v>
      </c>
      <c r="Z15" s="85"/>
      <c r="AA15" s="85">
        <v>82</v>
      </c>
      <c r="AB15" s="86"/>
      <c r="AC15" s="84">
        <v>84</v>
      </c>
      <c r="AD15" s="85"/>
      <c r="AE15" s="85">
        <v>80</v>
      </c>
      <c r="AF15" s="85"/>
      <c r="AG15" s="85">
        <v>80</v>
      </c>
      <c r="AH15" s="85"/>
      <c r="AI15" s="85">
        <v>80</v>
      </c>
      <c r="AJ15" s="3"/>
      <c r="AK15" s="44">
        <f t="shared" si="4"/>
        <v>80.5</v>
      </c>
      <c r="AL15" s="45">
        <f t="shared" si="5"/>
        <v>80</v>
      </c>
      <c r="AM15" s="46">
        <f t="shared" si="6"/>
        <v>81</v>
      </c>
      <c r="AN15" s="47">
        <f t="shared" si="7"/>
        <v>81</v>
      </c>
      <c r="AO15" s="48">
        <f t="shared" si="8"/>
        <v>80.625</v>
      </c>
      <c r="AP15" s="37"/>
      <c r="AR15" s="54" t="str">
        <f t="shared" si="9"/>
        <v/>
      </c>
      <c r="AS15" s="20"/>
      <c r="AT15" s="56">
        <f t="shared" si="10"/>
        <v>0</v>
      </c>
      <c r="AU15" s="57" t="str">
        <f t="shared" si="11"/>
        <v/>
      </c>
      <c r="AV15" s="54" t="str">
        <f t="shared" si="12"/>
        <v/>
      </c>
      <c r="AW15" s="20"/>
      <c r="AX15" s="56">
        <f t="shared" si="13"/>
        <v>0</v>
      </c>
      <c r="AY15" s="60" t="str">
        <f t="shared" si="14"/>
        <v/>
      </c>
      <c r="AZ15" s="54" t="str">
        <f t="shared" si="15"/>
        <v/>
      </c>
      <c r="BA15" s="21"/>
      <c r="BB15" s="62">
        <f t="shared" si="16"/>
        <v>80.625</v>
      </c>
      <c r="BC15" s="64" t="str">
        <f t="shared" si="17"/>
        <v/>
      </c>
      <c r="BE15" s="20">
        <f t="shared" si="18"/>
        <v>79.25</v>
      </c>
      <c r="BF15" s="20">
        <f t="shared" si="19"/>
        <v>81</v>
      </c>
      <c r="BG15" s="89">
        <f t="shared" si="20"/>
        <v>81.5</v>
      </c>
      <c r="BH15" s="20">
        <f t="shared" si="21"/>
        <v>80.75</v>
      </c>
      <c r="BI15" s="20">
        <f t="shared" si="22"/>
        <v>80.625</v>
      </c>
    </row>
    <row r="16" spans="1:61" x14ac:dyDescent="0.2">
      <c r="A16" s="29">
        <v>14</v>
      </c>
      <c r="B16" s="88" t="s">
        <v>125</v>
      </c>
      <c r="C16" s="70" t="s">
        <v>57</v>
      </c>
      <c r="D16" s="70" t="s">
        <v>58</v>
      </c>
      <c r="E16" s="84">
        <v>0</v>
      </c>
      <c r="F16" s="19">
        <v>60</v>
      </c>
      <c r="G16" s="19">
        <v>60</v>
      </c>
      <c r="H16" s="20"/>
      <c r="I16" s="20">
        <v>65</v>
      </c>
      <c r="J16" s="20"/>
      <c r="K16" s="20">
        <v>63</v>
      </c>
      <c r="L16" s="20"/>
      <c r="M16" s="20">
        <v>68</v>
      </c>
      <c r="N16" s="19">
        <v>60</v>
      </c>
      <c r="O16" s="19">
        <v>60</v>
      </c>
      <c r="P16" s="20"/>
      <c r="Q16" s="20">
        <v>65</v>
      </c>
      <c r="R16" s="20"/>
      <c r="S16" s="20">
        <v>63</v>
      </c>
      <c r="T16" s="20"/>
      <c r="U16" s="20">
        <v>68</v>
      </c>
      <c r="V16" s="19">
        <v>60</v>
      </c>
      <c r="W16" s="19">
        <v>60</v>
      </c>
      <c r="X16" s="20"/>
      <c r="Y16" s="20">
        <v>65</v>
      </c>
      <c r="Z16" s="20"/>
      <c r="AA16" s="20">
        <v>63</v>
      </c>
      <c r="AB16" s="20"/>
      <c r="AC16" s="20">
        <v>68</v>
      </c>
      <c r="AD16" s="19">
        <v>60</v>
      </c>
      <c r="AE16" s="19">
        <v>60</v>
      </c>
      <c r="AF16" s="20"/>
      <c r="AG16" s="20">
        <v>65</v>
      </c>
      <c r="AH16" s="20"/>
      <c r="AI16" s="20">
        <v>63</v>
      </c>
      <c r="AJ16" s="20">
        <v>63</v>
      </c>
      <c r="AK16" s="44">
        <f t="shared" si="4"/>
        <v>15</v>
      </c>
      <c r="AL16" s="45">
        <f t="shared" si="5"/>
        <v>15</v>
      </c>
      <c r="AM16" s="46">
        <f t="shared" si="6"/>
        <v>15</v>
      </c>
      <c r="AN16" s="47">
        <f t="shared" si="7"/>
        <v>64</v>
      </c>
      <c r="AO16" s="48">
        <f t="shared" si="8"/>
        <v>27.25</v>
      </c>
      <c r="AP16" s="37"/>
      <c r="AR16" s="54">
        <f t="shared" si="9"/>
        <v>13.625</v>
      </c>
      <c r="AS16" s="20"/>
      <c r="AT16" s="56">
        <f t="shared" si="10"/>
        <v>0</v>
      </c>
      <c r="AU16" s="57" t="str">
        <f t="shared" si="11"/>
        <v/>
      </c>
      <c r="AV16" s="54" t="str">
        <f t="shared" si="12"/>
        <v/>
      </c>
      <c r="AW16" s="20"/>
      <c r="AX16" s="56">
        <f t="shared" si="13"/>
        <v>0</v>
      </c>
      <c r="AY16" s="60" t="str">
        <f t="shared" si="14"/>
        <v/>
      </c>
      <c r="AZ16" s="54" t="str">
        <f t="shared" si="15"/>
        <v/>
      </c>
      <c r="BA16" s="21"/>
      <c r="BB16" s="62" t="str">
        <f t="shared" si="16"/>
        <v/>
      </c>
      <c r="BC16" s="64">
        <f t="shared" si="17"/>
        <v>27.25</v>
      </c>
      <c r="BE16" s="20">
        <f t="shared" si="18"/>
        <v>51</v>
      </c>
      <c r="BF16" s="20">
        <f t="shared" si="19"/>
        <v>60</v>
      </c>
      <c r="BG16" s="89">
        <f t="shared" si="20"/>
        <v>65</v>
      </c>
      <c r="BH16" s="20">
        <f t="shared" si="21"/>
        <v>63</v>
      </c>
      <c r="BI16" s="20">
        <f t="shared" si="22"/>
        <v>59.75</v>
      </c>
    </row>
    <row r="17" spans="1:61" x14ac:dyDescent="0.2">
      <c r="A17" s="29">
        <v>15</v>
      </c>
      <c r="B17" s="88" t="s">
        <v>126</v>
      </c>
      <c r="C17" s="69" t="s">
        <v>59</v>
      </c>
      <c r="D17" s="69" t="s">
        <v>60</v>
      </c>
      <c r="E17" s="84">
        <v>78</v>
      </c>
      <c r="F17" s="85"/>
      <c r="G17" s="85">
        <v>75</v>
      </c>
      <c r="H17" s="85"/>
      <c r="I17" s="85">
        <v>82</v>
      </c>
      <c r="J17" s="85"/>
      <c r="K17" s="85">
        <v>85</v>
      </c>
      <c r="L17" s="86"/>
      <c r="M17" s="84">
        <v>77</v>
      </c>
      <c r="N17" s="85"/>
      <c r="O17" s="85">
        <v>75</v>
      </c>
      <c r="P17" s="85"/>
      <c r="Q17" s="85">
        <v>84</v>
      </c>
      <c r="R17" s="85"/>
      <c r="S17" s="85">
        <v>80</v>
      </c>
      <c r="T17" s="86"/>
      <c r="U17" s="84">
        <v>80</v>
      </c>
      <c r="V17" s="85"/>
      <c r="W17" s="85">
        <v>79</v>
      </c>
      <c r="X17" s="85"/>
      <c r="Y17" s="85">
        <v>81</v>
      </c>
      <c r="Z17" s="85"/>
      <c r="AA17" s="85">
        <v>75</v>
      </c>
      <c r="AB17" s="86"/>
      <c r="AC17" s="84">
        <v>84</v>
      </c>
      <c r="AD17" s="85"/>
      <c r="AE17" s="85">
        <v>80</v>
      </c>
      <c r="AF17" s="85"/>
      <c r="AG17" s="85">
        <v>78</v>
      </c>
      <c r="AH17" s="85"/>
      <c r="AI17" s="85">
        <v>80</v>
      </c>
      <c r="AJ17" s="3"/>
      <c r="AK17" s="44">
        <f t="shared" si="4"/>
        <v>80</v>
      </c>
      <c r="AL17" s="45">
        <f t="shared" si="5"/>
        <v>79</v>
      </c>
      <c r="AM17" s="46">
        <f t="shared" si="6"/>
        <v>78.75</v>
      </c>
      <c r="AN17" s="47">
        <f t="shared" si="7"/>
        <v>80.5</v>
      </c>
      <c r="AO17" s="48">
        <f t="shared" si="8"/>
        <v>79.5625</v>
      </c>
      <c r="AP17" s="37"/>
      <c r="AR17" s="54" t="str">
        <f t="shared" si="9"/>
        <v/>
      </c>
      <c r="AS17" s="20"/>
      <c r="AT17" s="56">
        <f t="shared" si="10"/>
        <v>0</v>
      </c>
      <c r="AU17" s="57" t="str">
        <f t="shared" si="11"/>
        <v/>
      </c>
      <c r="AV17" s="54" t="str">
        <f t="shared" si="12"/>
        <v/>
      </c>
      <c r="AW17" s="20"/>
      <c r="AX17" s="56">
        <f t="shared" si="13"/>
        <v>0</v>
      </c>
      <c r="AY17" s="60" t="str">
        <f t="shared" si="14"/>
        <v/>
      </c>
      <c r="AZ17" s="54" t="str">
        <f t="shared" si="15"/>
        <v/>
      </c>
      <c r="BA17" s="21"/>
      <c r="BB17" s="62">
        <f t="shared" si="16"/>
        <v>79.5625</v>
      </c>
      <c r="BC17" s="64" t="str">
        <f t="shared" si="17"/>
        <v/>
      </c>
      <c r="BE17" s="20">
        <f t="shared" si="18"/>
        <v>79.75</v>
      </c>
      <c r="BF17" s="20">
        <f t="shared" si="19"/>
        <v>77.25</v>
      </c>
      <c r="BG17" s="89">
        <f t="shared" si="20"/>
        <v>81.25</v>
      </c>
      <c r="BH17" s="20">
        <f t="shared" si="21"/>
        <v>80</v>
      </c>
      <c r="BI17" s="20">
        <f t="shared" si="22"/>
        <v>79.5625</v>
      </c>
    </row>
    <row r="18" spans="1:61" x14ac:dyDescent="0.2">
      <c r="A18" s="29">
        <v>16</v>
      </c>
      <c r="B18" s="88" t="s">
        <v>127</v>
      </c>
      <c r="C18" s="70" t="s">
        <v>61</v>
      </c>
      <c r="D18" s="70" t="s">
        <v>62</v>
      </c>
      <c r="E18" s="84">
        <v>100</v>
      </c>
      <c r="F18" s="85"/>
      <c r="G18" s="85">
        <v>95</v>
      </c>
      <c r="H18" s="85"/>
      <c r="I18" s="85">
        <v>100</v>
      </c>
      <c r="J18" s="85"/>
      <c r="K18" s="85">
        <v>98</v>
      </c>
      <c r="L18" s="86"/>
      <c r="M18" s="84">
        <v>98</v>
      </c>
      <c r="N18" s="85"/>
      <c r="O18" s="85">
        <v>100</v>
      </c>
      <c r="P18" s="85"/>
      <c r="Q18" s="85">
        <v>100</v>
      </c>
      <c r="R18" s="85"/>
      <c r="S18" s="85">
        <v>100</v>
      </c>
      <c r="T18" s="86"/>
      <c r="U18" s="84">
        <v>100</v>
      </c>
      <c r="V18" s="85"/>
      <c r="W18" s="85">
        <v>100</v>
      </c>
      <c r="X18" s="85"/>
      <c r="Y18" s="85">
        <v>98</v>
      </c>
      <c r="Z18" s="85"/>
      <c r="AA18" s="85">
        <v>100</v>
      </c>
      <c r="AB18" s="86"/>
      <c r="AC18" s="84">
        <v>98</v>
      </c>
      <c r="AD18" s="85"/>
      <c r="AE18" s="85">
        <v>95</v>
      </c>
      <c r="AF18" s="85"/>
      <c r="AG18" s="85">
        <v>100</v>
      </c>
      <c r="AH18" s="85"/>
      <c r="AI18" s="85">
        <v>100</v>
      </c>
      <c r="AJ18" s="3"/>
      <c r="AK18" s="44">
        <f t="shared" si="4"/>
        <v>98.25</v>
      </c>
      <c r="AL18" s="45">
        <f t="shared" si="5"/>
        <v>99.5</v>
      </c>
      <c r="AM18" s="46">
        <f t="shared" si="6"/>
        <v>99.5</v>
      </c>
      <c r="AN18" s="47">
        <f t="shared" si="7"/>
        <v>98.25</v>
      </c>
      <c r="AO18" s="48">
        <f t="shared" si="8"/>
        <v>98.875</v>
      </c>
      <c r="AP18" s="37"/>
      <c r="AR18" s="54" t="str">
        <f t="shared" si="9"/>
        <v/>
      </c>
      <c r="AS18" s="20"/>
      <c r="AT18" s="56">
        <f t="shared" si="10"/>
        <v>0</v>
      </c>
      <c r="AU18" s="57" t="str">
        <f t="shared" si="11"/>
        <v/>
      </c>
      <c r="AV18" s="54" t="str">
        <f t="shared" si="12"/>
        <v/>
      </c>
      <c r="AW18" s="20"/>
      <c r="AX18" s="56">
        <f t="shared" si="13"/>
        <v>0</v>
      </c>
      <c r="AY18" s="60" t="str">
        <f t="shared" si="14"/>
        <v/>
      </c>
      <c r="AZ18" s="54" t="str">
        <f t="shared" si="15"/>
        <v/>
      </c>
      <c r="BA18" s="21"/>
      <c r="BB18" s="62">
        <f t="shared" si="16"/>
        <v>98.875</v>
      </c>
      <c r="BC18" s="64" t="str">
        <f t="shared" si="17"/>
        <v/>
      </c>
      <c r="BE18" s="20">
        <f t="shared" si="18"/>
        <v>99</v>
      </c>
      <c r="BF18" s="20">
        <f t="shared" si="19"/>
        <v>97.5</v>
      </c>
      <c r="BG18" s="89">
        <f t="shared" si="20"/>
        <v>99.5</v>
      </c>
      <c r="BH18" s="20">
        <f t="shared" si="21"/>
        <v>99.5</v>
      </c>
      <c r="BI18" s="20">
        <f t="shared" si="22"/>
        <v>98.875</v>
      </c>
    </row>
    <row r="19" spans="1:61" x14ac:dyDescent="0.2">
      <c r="A19" s="29">
        <v>17</v>
      </c>
      <c r="B19" s="88" t="s">
        <v>128</v>
      </c>
      <c r="C19" s="69" t="s">
        <v>63</v>
      </c>
      <c r="D19" s="69" t="s">
        <v>64</v>
      </c>
      <c r="E19" s="84">
        <v>95</v>
      </c>
      <c r="F19" s="85"/>
      <c r="G19" s="85">
        <v>90</v>
      </c>
      <c r="H19" s="85"/>
      <c r="I19" s="85">
        <v>98</v>
      </c>
      <c r="J19" s="85"/>
      <c r="K19" s="85">
        <v>95</v>
      </c>
      <c r="L19" s="86"/>
      <c r="M19" s="84">
        <v>93</v>
      </c>
      <c r="N19" s="85"/>
      <c r="O19" s="85">
        <v>100</v>
      </c>
      <c r="P19" s="85"/>
      <c r="Q19" s="85">
        <v>100</v>
      </c>
      <c r="R19" s="85"/>
      <c r="S19" s="85">
        <v>95</v>
      </c>
      <c r="T19" s="86"/>
      <c r="U19" s="84">
        <v>90</v>
      </c>
      <c r="V19" s="85"/>
      <c r="W19" s="85">
        <v>100</v>
      </c>
      <c r="X19" s="85"/>
      <c r="Y19" s="85">
        <v>95</v>
      </c>
      <c r="Z19" s="85"/>
      <c r="AA19" s="85">
        <v>98</v>
      </c>
      <c r="AB19" s="86"/>
      <c r="AC19" s="84">
        <v>98</v>
      </c>
      <c r="AD19" s="85"/>
      <c r="AE19" s="85">
        <v>98</v>
      </c>
      <c r="AF19" s="85"/>
      <c r="AG19" s="85">
        <v>100</v>
      </c>
      <c r="AH19" s="85"/>
      <c r="AI19" s="85">
        <v>100</v>
      </c>
      <c r="AJ19" s="3"/>
      <c r="AK19" s="44">
        <f t="shared" si="4"/>
        <v>94.5</v>
      </c>
      <c r="AL19" s="45">
        <f t="shared" si="5"/>
        <v>97</v>
      </c>
      <c r="AM19" s="46">
        <f t="shared" si="6"/>
        <v>95.75</v>
      </c>
      <c r="AN19" s="47">
        <f t="shared" si="7"/>
        <v>99</v>
      </c>
      <c r="AO19" s="48">
        <f t="shared" si="8"/>
        <v>96.5625</v>
      </c>
      <c r="AP19" s="37"/>
      <c r="AR19" s="54" t="str">
        <f t="shared" si="9"/>
        <v/>
      </c>
      <c r="AS19" s="20"/>
      <c r="AT19" s="56">
        <f t="shared" si="10"/>
        <v>0</v>
      </c>
      <c r="AU19" s="57" t="str">
        <f t="shared" si="11"/>
        <v/>
      </c>
      <c r="AV19" s="54" t="str">
        <f t="shared" si="12"/>
        <v/>
      </c>
      <c r="AW19" s="20"/>
      <c r="AX19" s="56">
        <f t="shared" si="13"/>
        <v>0</v>
      </c>
      <c r="AY19" s="60" t="str">
        <f t="shared" si="14"/>
        <v/>
      </c>
      <c r="AZ19" s="54" t="str">
        <f t="shared" si="15"/>
        <v/>
      </c>
      <c r="BA19" s="21"/>
      <c r="BB19" s="62">
        <f t="shared" si="16"/>
        <v>96.5625</v>
      </c>
      <c r="BC19" s="64" t="str">
        <f t="shared" si="17"/>
        <v/>
      </c>
      <c r="BE19" s="20">
        <f t="shared" si="18"/>
        <v>94</v>
      </c>
      <c r="BF19" s="20">
        <f t="shared" si="19"/>
        <v>97</v>
      </c>
      <c r="BG19" s="89">
        <f t="shared" si="20"/>
        <v>98.25</v>
      </c>
      <c r="BH19" s="20">
        <f t="shared" si="21"/>
        <v>97</v>
      </c>
      <c r="BI19" s="20">
        <f t="shared" si="22"/>
        <v>96.5625</v>
      </c>
    </row>
    <row r="20" spans="1:61" x14ac:dyDescent="0.2">
      <c r="A20" s="29">
        <v>18</v>
      </c>
      <c r="B20" s="88" t="s">
        <v>129</v>
      </c>
      <c r="C20" s="70" t="s">
        <v>65</v>
      </c>
      <c r="D20" s="70" t="s">
        <v>66</v>
      </c>
      <c r="E20" s="84">
        <v>88</v>
      </c>
      <c r="F20" s="85"/>
      <c r="G20" s="85">
        <v>85</v>
      </c>
      <c r="H20" s="85"/>
      <c r="I20" s="85">
        <v>90</v>
      </c>
      <c r="J20" s="85"/>
      <c r="K20" s="85">
        <v>90</v>
      </c>
      <c r="L20" s="86"/>
      <c r="M20" s="84">
        <v>90</v>
      </c>
      <c r="N20" s="85"/>
      <c r="O20" s="85">
        <v>85</v>
      </c>
      <c r="P20" s="85"/>
      <c r="Q20" s="85">
        <v>88</v>
      </c>
      <c r="R20" s="85"/>
      <c r="S20" s="85">
        <v>92</v>
      </c>
      <c r="T20" s="86"/>
      <c r="U20" s="84">
        <v>85</v>
      </c>
      <c r="V20" s="85"/>
      <c r="W20" s="85">
        <v>87</v>
      </c>
      <c r="X20" s="85"/>
      <c r="Y20" s="85">
        <v>92</v>
      </c>
      <c r="Z20" s="85"/>
      <c r="AA20" s="85">
        <v>90</v>
      </c>
      <c r="AB20" s="86"/>
      <c r="AC20" s="84">
        <v>90</v>
      </c>
      <c r="AD20" s="85"/>
      <c r="AE20" s="85">
        <v>80</v>
      </c>
      <c r="AF20" s="85"/>
      <c r="AG20" s="85">
        <v>90</v>
      </c>
      <c r="AH20" s="85"/>
      <c r="AI20" s="85">
        <v>95</v>
      </c>
      <c r="AJ20" s="3"/>
      <c r="AK20" s="44">
        <f t="shared" si="4"/>
        <v>88.25</v>
      </c>
      <c r="AL20" s="45">
        <f t="shared" si="5"/>
        <v>88.75</v>
      </c>
      <c r="AM20" s="46">
        <f t="shared" si="6"/>
        <v>88.5</v>
      </c>
      <c r="AN20" s="47">
        <f t="shared" si="7"/>
        <v>88.75</v>
      </c>
      <c r="AO20" s="48">
        <f t="shared" si="8"/>
        <v>88.5625</v>
      </c>
      <c r="AP20" s="37"/>
      <c r="AR20" s="54" t="str">
        <f t="shared" si="9"/>
        <v/>
      </c>
      <c r="AS20" s="20"/>
      <c r="AT20" s="56">
        <f t="shared" si="10"/>
        <v>0</v>
      </c>
      <c r="AU20" s="57" t="str">
        <f t="shared" si="11"/>
        <v/>
      </c>
      <c r="AV20" s="54" t="str">
        <f t="shared" si="12"/>
        <v/>
      </c>
      <c r="AW20" s="20"/>
      <c r="AX20" s="56">
        <f t="shared" si="13"/>
        <v>0</v>
      </c>
      <c r="AY20" s="60" t="str">
        <f t="shared" si="14"/>
        <v/>
      </c>
      <c r="AZ20" s="54" t="str">
        <f t="shared" si="15"/>
        <v/>
      </c>
      <c r="BA20" s="21"/>
      <c r="BB20" s="62">
        <f t="shared" si="16"/>
        <v>88.5625</v>
      </c>
      <c r="BC20" s="64" t="str">
        <f t="shared" si="17"/>
        <v/>
      </c>
      <c r="BE20" s="20">
        <f t="shared" si="18"/>
        <v>88.25</v>
      </c>
      <c r="BF20" s="20">
        <f t="shared" si="19"/>
        <v>84.25</v>
      </c>
      <c r="BG20" s="89">
        <f t="shared" si="20"/>
        <v>90</v>
      </c>
      <c r="BH20" s="20">
        <f t="shared" si="21"/>
        <v>91.75</v>
      </c>
      <c r="BI20" s="20">
        <f t="shared" si="22"/>
        <v>88.5625</v>
      </c>
    </row>
    <row r="21" spans="1:61" x14ac:dyDescent="0.2">
      <c r="A21" s="29">
        <v>19</v>
      </c>
      <c r="B21" s="88" t="s">
        <v>130</v>
      </c>
      <c r="C21" s="69" t="s">
        <v>67</v>
      </c>
      <c r="D21" s="69" t="s">
        <v>68</v>
      </c>
      <c r="E21" s="84">
        <v>90</v>
      </c>
      <c r="F21" s="85"/>
      <c r="G21" s="85">
        <v>90</v>
      </c>
      <c r="H21" s="85"/>
      <c r="I21" s="85">
        <v>95</v>
      </c>
      <c r="J21" s="85"/>
      <c r="K21" s="85">
        <v>90</v>
      </c>
      <c r="L21" s="86"/>
      <c r="M21" s="84">
        <v>90</v>
      </c>
      <c r="N21" s="85"/>
      <c r="O21" s="85">
        <v>90</v>
      </c>
      <c r="P21" s="85"/>
      <c r="Q21" s="85">
        <v>93</v>
      </c>
      <c r="R21" s="85"/>
      <c r="S21" s="85">
        <v>95</v>
      </c>
      <c r="T21" s="86"/>
      <c r="U21" s="84">
        <v>100</v>
      </c>
      <c r="V21" s="85"/>
      <c r="W21" s="85">
        <v>90</v>
      </c>
      <c r="X21" s="85"/>
      <c r="Y21" s="85">
        <v>95</v>
      </c>
      <c r="Z21" s="85"/>
      <c r="AA21" s="85">
        <v>90</v>
      </c>
      <c r="AB21" s="86"/>
      <c r="AC21" s="84">
        <v>95</v>
      </c>
      <c r="AD21" s="85"/>
      <c r="AE21" s="85">
        <v>98</v>
      </c>
      <c r="AF21" s="85"/>
      <c r="AG21" s="85">
        <v>90</v>
      </c>
      <c r="AH21" s="85"/>
      <c r="AI21" s="85">
        <v>90</v>
      </c>
      <c r="AJ21" s="3"/>
      <c r="AK21" s="44">
        <f t="shared" si="4"/>
        <v>91.25</v>
      </c>
      <c r="AL21" s="45">
        <f t="shared" si="5"/>
        <v>92</v>
      </c>
      <c r="AM21" s="46">
        <f t="shared" si="6"/>
        <v>93.75</v>
      </c>
      <c r="AN21" s="47">
        <f t="shared" si="7"/>
        <v>93.25</v>
      </c>
      <c r="AO21" s="48">
        <f t="shared" si="8"/>
        <v>92.5625</v>
      </c>
      <c r="AP21" s="37"/>
      <c r="AR21" s="54" t="str">
        <f t="shared" si="9"/>
        <v/>
      </c>
      <c r="AS21" s="20"/>
      <c r="AT21" s="56">
        <f t="shared" si="10"/>
        <v>0</v>
      </c>
      <c r="AU21" s="57" t="str">
        <f t="shared" si="11"/>
        <v/>
      </c>
      <c r="AV21" s="54" t="str">
        <f t="shared" si="12"/>
        <v/>
      </c>
      <c r="AW21" s="20"/>
      <c r="AX21" s="56">
        <f t="shared" si="13"/>
        <v>0</v>
      </c>
      <c r="AY21" s="60" t="str">
        <f t="shared" si="14"/>
        <v/>
      </c>
      <c r="AZ21" s="54" t="str">
        <f t="shared" si="15"/>
        <v/>
      </c>
      <c r="BA21" s="21"/>
      <c r="BB21" s="62">
        <f t="shared" si="16"/>
        <v>92.5625</v>
      </c>
      <c r="BC21" s="64" t="str">
        <f t="shared" si="17"/>
        <v/>
      </c>
      <c r="BE21" s="20">
        <f t="shared" si="18"/>
        <v>93.75</v>
      </c>
      <c r="BF21" s="20">
        <f t="shared" si="19"/>
        <v>92</v>
      </c>
      <c r="BG21" s="89">
        <f t="shared" si="20"/>
        <v>93.25</v>
      </c>
      <c r="BH21" s="20">
        <f t="shared" si="21"/>
        <v>91.25</v>
      </c>
      <c r="BI21" s="20">
        <f t="shared" si="22"/>
        <v>92.5625</v>
      </c>
    </row>
    <row r="22" spans="1:61" x14ac:dyDescent="0.2">
      <c r="A22" s="29">
        <v>20</v>
      </c>
      <c r="B22" s="88" t="s">
        <v>131</v>
      </c>
      <c r="C22" s="70" t="s">
        <v>69</v>
      </c>
      <c r="D22" s="70" t="s">
        <v>70</v>
      </c>
      <c r="E22" s="84">
        <v>85</v>
      </c>
      <c r="F22" s="85"/>
      <c r="G22" s="85">
        <v>85</v>
      </c>
      <c r="H22" s="85"/>
      <c r="I22" s="85">
        <v>92</v>
      </c>
      <c r="J22" s="85"/>
      <c r="K22" s="85">
        <v>90</v>
      </c>
      <c r="L22" s="86"/>
      <c r="M22" s="84">
        <v>80</v>
      </c>
      <c r="N22" s="85"/>
      <c r="O22" s="85">
        <v>85</v>
      </c>
      <c r="P22" s="85"/>
      <c r="Q22" s="85">
        <v>90</v>
      </c>
      <c r="R22" s="85"/>
      <c r="S22" s="85">
        <v>85</v>
      </c>
      <c r="T22" s="86"/>
      <c r="U22" s="84">
        <v>95</v>
      </c>
      <c r="V22" s="85"/>
      <c r="W22" s="85">
        <v>80</v>
      </c>
      <c r="X22" s="85"/>
      <c r="Y22" s="85">
        <v>91</v>
      </c>
      <c r="Z22" s="85"/>
      <c r="AA22" s="85">
        <v>91</v>
      </c>
      <c r="AB22" s="86"/>
      <c r="AC22" s="84">
        <v>100</v>
      </c>
      <c r="AD22" s="85"/>
      <c r="AE22" s="85">
        <v>90</v>
      </c>
      <c r="AF22" s="85"/>
      <c r="AG22" s="85">
        <v>92</v>
      </c>
      <c r="AH22" s="85"/>
      <c r="AI22" s="85">
        <v>88</v>
      </c>
      <c r="AJ22" s="3"/>
      <c r="AK22" s="44">
        <f t="shared" si="4"/>
        <v>88</v>
      </c>
      <c r="AL22" s="45">
        <f t="shared" si="5"/>
        <v>85</v>
      </c>
      <c r="AM22" s="46">
        <f t="shared" si="6"/>
        <v>89.25</v>
      </c>
      <c r="AN22" s="47">
        <f t="shared" si="7"/>
        <v>92.5</v>
      </c>
      <c r="AO22" s="48">
        <f t="shared" si="8"/>
        <v>88.6875</v>
      </c>
      <c r="AP22" s="37"/>
      <c r="AR22" s="54" t="str">
        <f t="shared" si="9"/>
        <v/>
      </c>
      <c r="AS22" s="20"/>
      <c r="AT22" s="56">
        <f t="shared" si="10"/>
        <v>0</v>
      </c>
      <c r="AU22" s="57" t="str">
        <f t="shared" si="11"/>
        <v/>
      </c>
      <c r="AV22" s="54" t="str">
        <f t="shared" si="12"/>
        <v/>
      </c>
      <c r="AW22" s="20"/>
      <c r="AX22" s="56">
        <f t="shared" si="13"/>
        <v>0</v>
      </c>
      <c r="AY22" s="60" t="str">
        <f t="shared" si="14"/>
        <v/>
      </c>
      <c r="AZ22" s="54" t="str">
        <f t="shared" si="15"/>
        <v/>
      </c>
      <c r="BA22" s="21"/>
      <c r="BB22" s="62">
        <f t="shared" si="16"/>
        <v>88.6875</v>
      </c>
      <c r="BC22" s="64" t="str">
        <f t="shared" si="17"/>
        <v/>
      </c>
      <c r="BE22" s="20">
        <f t="shared" si="18"/>
        <v>90</v>
      </c>
      <c r="BF22" s="20">
        <f t="shared" si="19"/>
        <v>85</v>
      </c>
      <c r="BG22" s="89">
        <f t="shared" si="20"/>
        <v>91.25</v>
      </c>
      <c r="BH22" s="20">
        <f t="shared" si="21"/>
        <v>88.5</v>
      </c>
      <c r="BI22" s="20">
        <f t="shared" si="22"/>
        <v>88.6875</v>
      </c>
    </row>
    <row r="23" spans="1:61" x14ac:dyDescent="0.2">
      <c r="A23" s="29">
        <v>21</v>
      </c>
      <c r="B23" s="88" t="s">
        <v>132</v>
      </c>
      <c r="C23" s="69" t="s">
        <v>71</v>
      </c>
      <c r="D23" s="69" t="s">
        <v>72</v>
      </c>
      <c r="E23" s="84">
        <v>0</v>
      </c>
      <c r="F23" s="19">
        <v>60</v>
      </c>
      <c r="G23" s="19">
        <v>60</v>
      </c>
      <c r="H23" s="20"/>
      <c r="I23" s="20">
        <v>65</v>
      </c>
      <c r="J23" s="20"/>
      <c r="K23" s="20">
        <v>63</v>
      </c>
      <c r="L23" s="20"/>
      <c r="M23" s="20">
        <v>68</v>
      </c>
      <c r="N23" s="19">
        <v>60</v>
      </c>
      <c r="O23" s="19">
        <v>60</v>
      </c>
      <c r="P23" s="20"/>
      <c r="Q23" s="20">
        <v>65</v>
      </c>
      <c r="R23" s="20"/>
      <c r="S23" s="20">
        <v>63</v>
      </c>
      <c r="T23" s="20"/>
      <c r="U23" s="20">
        <v>68</v>
      </c>
      <c r="V23" s="19">
        <v>60</v>
      </c>
      <c r="W23" s="19">
        <v>60</v>
      </c>
      <c r="X23" s="20"/>
      <c r="Y23" s="20">
        <v>65</v>
      </c>
      <c r="Z23" s="20"/>
      <c r="AA23" s="20">
        <v>63</v>
      </c>
      <c r="AB23" s="20"/>
      <c r="AC23" s="20">
        <v>68</v>
      </c>
      <c r="AD23" s="19">
        <v>60</v>
      </c>
      <c r="AE23" s="19">
        <v>60</v>
      </c>
      <c r="AF23" s="20"/>
      <c r="AG23" s="20">
        <v>65</v>
      </c>
      <c r="AH23" s="20"/>
      <c r="AI23" s="20">
        <v>63</v>
      </c>
      <c r="AJ23" s="20">
        <v>63</v>
      </c>
      <c r="AK23" s="44">
        <f t="shared" si="4"/>
        <v>15</v>
      </c>
      <c r="AL23" s="45">
        <f t="shared" si="5"/>
        <v>15</v>
      </c>
      <c r="AM23" s="46">
        <f t="shared" si="6"/>
        <v>15</v>
      </c>
      <c r="AN23" s="47">
        <f t="shared" si="7"/>
        <v>64</v>
      </c>
      <c r="AO23" s="48">
        <f t="shared" si="8"/>
        <v>27.25</v>
      </c>
      <c r="AP23" s="37"/>
      <c r="AR23" s="54">
        <f t="shared" si="9"/>
        <v>13.625</v>
      </c>
      <c r="AS23" s="20"/>
      <c r="AT23" s="56">
        <f t="shared" si="10"/>
        <v>0</v>
      </c>
      <c r="AU23" s="57" t="str">
        <f t="shared" si="11"/>
        <v/>
      </c>
      <c r="AV23" s="54" t="str">
        <f t="shared" si="12"/>
        <v/>
      </c>
      <c r="AW23" s="20"/>
      <c r="AX23" s="56">
        <f t="shared" si="13"/>
        <v>0</v>
      </c>
      <c r="AY23" s="60" t="str">
        <f t="shared" si="14"/>
        <v/>
      </c>
      <c r="AZ23" s="54" t="str">
        <f t="shared" si="15"/>
        <v/>
      </c>
      <c r="BA23" s="21"/>
      <c r="BB23" s="62" t="str">
        <f t="shared" si="16"/>
        <v/>
      </c>
      <c r="BC23" s="64">
        <f t="shared" si="17"/>
        <v>27.25</v>
      </c>
      <c r="BE23" s="20">
        <f t="shared" si="18"/>
        <v>51</v>
      </c>
      <c r="BF23" s="20">
        <f t="shared" si="19"/>
        <v>60</v>
      </c>
      <c r="BG23" s="89">
        <f t="shared" si="20"/>
        <v>65</v>
      </c>
      <c r="BH23" s="20">
        <f t="shared" si="21"/>
        <v>63</v>
      </c>
      <c r="BI23" s="20">
        <f t="shared" si="22"/>
        <v>59.75</v>
      </c>
    </row>
    <row r="24" spans="1:61" x14ac:dyDescent="0.2">
      <c r="A24" s="29">
        <v>22</v>
      </c>
      <c r="B24" s="88" t="s">
        <v>133</v>
      </c>
      <c r="C24" s="70" t="s">
        <v>73</v>
      </c>
      <c r="D24" s="70" t="s">
        <v>74</v>
      </c>
      <c r="E24" s="84">
        <v>0</v>
      </c>
      <c r="F24" s="19">
        <v>60</v>
      </c>
      <c r="G24" s="19">
        <v>60</v>
      </c>
      <c r="H24" s="20"/>
      <c r="I24" s="20">
        <v>65</v>
      </c>
      <c r="J24" s="20"/>
      <c r="K24" s="20">
        <v>63</v>
      </c>
      <c r="L24" s="20"/>
      <c r="M24" s="20">
        <v>68</v>
      </c>
      <c r="N24" s="19">
        <v>60</v>
      </c>
      <c r="O24" s="19">
        <v>60</v>
      </c>
      <c r="P24" s="20"/>
      <c r="Q24" s="20">
        <v>65</v>
      </c>
      <c r="R24" s="20"/>
      <c r="S24" s="20">
        <v>63</v>
      </c>
      <c r="T24" s="20"/>
      <c r="U24" s="20">
        <v>68</v>
      </c>
      <c r="V24" s="19">
        <v>60</v>
      </c>
      <c r="W24" s="19">
        <v>60</v>
      </c>
      <c r="X24" s="20"/>
      <c r="Y24" s="20">
        <v>65</v>
      </c>
      <c r="Z24" s="20"/>
      <c r="AA24" s="20">
        <v>63</v>
      </c>
      <c r="AB24" s="20"/>
      <c r="AC24" s="20">
        <v>68</v>
      </c>
      <c r="AD24" s="19">
        <v>60</v>
      </c>
      <c r="AE24" s="19">
        <v>60</v>
      </c>
      <c r="AF24" s="20"/>
      <c r="AG24" s="20">
        <v>65</v>
      </c>
      <c r="AH24" s="20"/>
      <c r="AI24" s="20">
        <v>63</v>
      </c>
      <c r="AJ24" s="20">
        <v>63</v>
      </c>
      <c r="AK24" s="44">
        <f t="shared" si="4"/>
        <v>15</v>
      </c>
      <c r="AL24" s="45">
        <f t="shared" si="5"/>
        <v>15</v>
      </c>
      <c r="AM24" s="46">
        <f t="shared" si="6"/>
        <v>15</v>
      </c>
      <c r="AN24" s="47">
        <f t="shared" si="7"/>
        <v>64</v>
      </c>
      <c r="AO24" s="48">
        <f t="shared" si="8"/>
        <v>27.25</v>
      </c>
      <c r="AP24" s="37"/>
      <c r="AR24" s="54">
        <f t="shared" si="9"/>
        <v>13.625</v>
      </c>
      <c r="AS24" s="20"/>
      <c r="AT24" s="56">
        <f t="shared" si="10"/>
        <v>0</v>
      </c>
      <c r="AU24" s="57" t="str">
        <f t="shared" si="11"/>
        <v/>
      </c>
      <c r="AV24" s="54" t="str">
        <f t="shared" si="12"/>
        <v/>
      </c>
      <c r="AW24" s="20"/>
      <c r="AX24" s="56">
        <f t="shared" si="13"/>
        <v>0</v>
      </c>
      <c r="AY24" s="60" t="str">
        <f t="shared" si="14"/>
        <v/>
      </c>
      <c r="AZ24" s="54" t="str">
        <f t="shared" si="15"/>
        <v/>
      </c>
      <c r="BA24" s="21"/>
      <c r="BB24" s="62" t="str">
        <f t="shared" si="16"/>
        <v/>
      </c>
      <c r="BC24" s="64">
        <f t="shared" si="17"/>
        <v>27.25</v>
      </c>
      <c r="BE24" s="20">
        <f t="shared" si="18"/>
        <v>51</v>
      </c>
      <c r="BF24" s="20">
        <f t="shared" si="19"/>
        <v>60</v>
      </c>
      <c r="BG24" s="89">
        <f t="shared" si="20"/>
        <v>65</v>
      </c>
      <c r="BH24" s="20">
        <f t="shared" si="21"/>
        <v>63</v>
      </c>
      <c r="BI24" s="20">
        <f t="shared" si="22"/>
        <v>59.75</v>
      </c>
    </row>
    <row r="25" spans="1:61" x14ac:dyDescent="0.2">
      <c r="A25" s="29">
        <v>23</v>
      </c>
      <c r="B25" s="88" t="s">
        <v>134</v>
      </c>
      <c r="C25" s="69" t="s">
        <v>75</v>
      </c>
      <c r="D25" s="69" t="s">
        <v>76</v>
      </c>
      <c r="E25" s="84">
        <v>0</v>
      </c>
      <c r="F25" s="19">
        <v>60</v>
      </c>
      <c r="G25" s="19">
        <v>60</v>
      </c>
      <c r="H25" s="20"/>
      <c r="I25" s="20">
        <v>65</v>
      </c>
      <c r="J25" s="20"/>
      <c r="K25" s="20">
        <v>63</v>
      </c>
      <c r="L25" s="20"/>
      <c r="M25" s="20">
        <v>68</v>
      </c>
      <c r="N25" s="19">
        <v>60</v>
      </c>
      <c r="O25" s="19">
        <v>60</v>
      </c>
      <c r="P25" s="20"/>
      <c r="Q25" s="20">
        <v>65</v>
      </c>
      <c r="R25" s="20"/>
      <c r="S25" s="20">
        <v>63</v>
      </c>
      <c r="T25" s="20"/>
      <c r="U25" s="20">
        <v>68</v>
      </c>
      <c r="V25" s="19">
        <v>60</v>
      </c>
      <c r="W25" s="19">
        <v>60</v>
      </c>
      <c r="X25" s="20"/>
      <c r="Y25" s="20">
        <v>65</v>
      </c>
      <c r="Z25" s="20"/>
      <c r="AA25" s="20">
        <v>63</v>
      </c>
      <c r="AB25" s="20"/>
      <c r="AC25" s="20">
        <v>68</v>
      </c>
      <c r="AD25" s="19">
        <v>60</v>
      </c>
      <c r="AE25" s="19">
        <v>60</v>
      </c>
      <c r="AF25" s="20"/>
      <c r="AG25" s="20">
        <v>65</v>
      </c>
      <c r="AH25" s="20"/>
      <c r="AI25" s="20">
        <v>63</v>
      </c>
      <c r="AJ25" s="20">
        <v>63</v>
      </c>
      <c r="AK25" s="44">
        <f t="shared" si="4"/>
        <v>15</v>
      </c>
      <c r="AL25" s="45">
        <f t="shared" si="5"/>
        <v>15</v>
      </c>
      <c r="AM25" s="46">
        <f t="shared" si="6"/>
        <v>15</v>
      </c>
      <c r="AN25" s="47">
        <f t="shared" si="7"/>
        <v>64</v>
      </c>
      <c r="AO25" s="48">
        <f t="shared" si="8"/>
        <v>27.25</v>
      </c>
      <c r="AP25" s="37"/>
      <c r="AR25" s="54">
        <f t="shared" si="9"/>
        <v>13.625</v>
      </c>
      <c r="AS25" s="20"/>
      <c r="AT25" s="56">
        <f t="shared" si="10"/>
        <v>0</v>
      </c>
      <c r="AU25" s="57" t="str">
        <f t="shared" si="11"/>
        <v/>
      </c>
      <c r="AV25" s="54" t="str">
        <f t="shared" si="12"/>
        <v/>
      </c>
      <c r="AW25" s="20"/>
      <c r="AX25" s="56">
        <f t="shared" si="13"/>
        <v>0</v>
      </c>
      <c r="AY25" s="60" t="str">
        <f t="shared" si="14"/>
        <v/>
      </c>
      <c r="AZ25" s="54" t="str">
        <f t="shared" si="15"/>
        <v/>
      </c>
      <c r="BA25" s="21"/>
      <c r="BB25" s="62" t="str">
        <f t="shared" si="16"/>
        <v/>
      </c>
      <c r="BC25" s="64">
        <f t="shared" si="17"/>
        <v>27.25</v>
      </c>
      <c r="BE25" s="20">
        <f t="shared" si="18"/>
        <v>51</v>
      </c>
      <c r="BF25" s="20">
        <f t="shared" si="19"/>
        <v>60</v>
      </c>
      <c r="BG25" s="89">
        <f t="shared" si="20"/>
        <v>65</v>
      </c>
      <c r="BH25" s="20">
        <f t="shared" si="21"/>
        <v>63</v>
      </c>
      <c r="BI25" s="20">
        <f t="shared" si="22"/>
        <v>59.75</v>
      </c>
    </row>
    <row r="26" spans="1:61" x14ac:dyDescent="0.2">
      <c r="A26" s="29">
        <v>24</v>
      </c>
      <c r="B26" s="88" t="s">
        <v>135</v>
      </c>
      <c r="C26" s="70" t="s">
        <v>77</v>
      </c>
      <c r="D26" s="70" t="s">
        <v>78</v>
      </c>
      <c r="E26" s="84">
        <v>75</v>
      </c>
      <c r="F26" s="85"/>
      <c r="G26" s="85">
        <v>80</v>
      </c>
      <c r="H26" s="85"/>
      <c r="I26" s="85">
        <v>70</v>
      </c>
      <c r="J26" s="85"/>
      <c r="K26" s="85">
        <v>80</v>
      </c>
      <c r="L26" s="86"/>
      <c r="M26" s="84">
        <v>78</v>
      </c>
      <c r="N26" s="85"/>
      <c r="O26" s="85">
        <v>82</v>
      </c>
      <c r="P26" s="85"/>
      <c r="Q26" s="85">
        <v>72</v>
      </c>
      <c r="R26" s="85"/>
      <c r="S26" s="85">
        <v>76</v>
      </c>
      <c r="T26" s="86"/>
      <c r="U26" s="84">
        <v>78</v>
      </c>
      <c r="V26" s="85"/>
      <c r="W26" s="85">
        <v>75</v>
      </c>
      <c r="X26" s="85"/>
      <c r="Y26" s="85">
        <v>75</v>
      </c>
      <c r="Z26" s="85"/>
      <c r="AA26" s="85">
        <v>78</v>
      </c>
      <c r="AB26" s="86"/>
      <c r="AC26" s="84">
        <v>75</v>
      </c>
      <c r="AD26" s="85"/>
      <c r="AE26" s="85">
        <v>80</v>
      </c>
      <c r="AF26" s="85"/>
      <c r="AG26" s="85">
        <v>78</v>
      </c>
      <c r="AH26" s="85"/>
      <c r="AI26" s="85">
        <v>75</v>
      </c>
      <c r="AJ26" s="3"/>
      <c r="AK26" s="44">
        <f t="shared" si="4"/>
        <v>76.25</v>
      </c>
      <c r="AL26" s="45">
        <f t="shared" si="5"/>
        <v>77</v>
      </c>
      <c r="AM26" s="46">
        <f t="shared" si="6"/>
        <v>76.5</v>
      </c>
      <c r="AN26" s="47">
        <f t="shared" si="7"/>
        <v>77</v>
      </c>
      <c r="AO26" s="48">
        <f t="shared" si="8"/>
        <v>76.6875</v>
      </c>
      <c r="AP26" s="37"/>
      <c r="AR26" s="54" t="str">
        <f t="shared" si="9"/>
        <v/>
      </c>
      <c r="AS26" s="20"/>
      <c r="AT26" s="56">
        <f t="shared" si="10"/>
        <v>0</v>
      </c>
      <c r="AU26" s="57" t="str">
        <f t="shared" si="11"/>
        <v/>
      </c>
      <c r="AV26" s="54" t="str">
        <f t="shared" si="12"/>
        <v/>
      </c>
      <c r="AW26" s="20"/>
      <c r="AX26" s="56">
        <f t="shared" si="13"/>
        <v>0</v>
      </c>
      <c r="AY26" s="60" t="str">
        <f t="shared" si="14"/>
        <v/>
      </c>
      <c r="AZ26" s="54" t="str">
        <f t="shared" si="15"/>
        <v/>
      </c>
      <c r="BA26" s="21"/>
      <c r="BB26" s="62">
        <f t="shared" si="16"/>
        <v>76.6875</v>
      </c>
      <c r="BC26" s="64" t="str">
        <f t="shared" si="17"/>
        <v/>
      </c>
      <c r="BE26" s="20">
        <f t="shared" si="18"/>
        <v>76.5</v>
      </c>
      <c r="BF26" s="20">
        <f t="shared" si="19"/>
        <v>79.25</v>
      </c>
      <c r="BG26" s="89">
        <f t="shared" si="20"/>
        <v>73.75</v>
      </c>
      <c r="BH26" s="20">
        <f t="shared" si="21"/>
        <v>77.25</v>
      </c>
      <c r="BI26" s="20">
        <f t="shared" si="22"/>
        <v>76.6875</v>
      </c>
    </row>
    <row r="27" spans="1:61" x14ac:dyDescent="0.2">
      <c r="A27" s="29">
        <v>25</v>
      </c>
      <c r="B27" s="88" t="s">
        <v>136</v>
      </c>
      <c r="C27" s="69" t="s">
        <v>79</v>
      </c>
      <c r="D27" s="69" t="s">
        <v>80</v>
      </c>
      <c r="E27" s="84">
        <v>0</v>
      </c>
      <c r="F27" s="19">
        <v>60</v>
      </c>
      <c r="G27" s="19">
        <v>60</v>
      </c>
      <c r="H27" s="20"/>
      <c r="I27" s="20">
        <v>65</v>
      </c>
      <c r="J27" s="20"/>
      <c r="K27" s="20">
        <v>63</v>
      </c>
      <c r="L27" s="20"/>
      <c r="M27" s="20">
        <v>68</v>
      </c>
      <c r="N27" s="19">
        <v>60</v>
      </c>
      <c r="O27" s="19">
        <v>60</v>
      </c>
      <c r="P27" s="20"/>
      <c r="Q27" s="20">
        <v>65</v>
      </c>
      <c r="R27" s="20"/>
      <c r="S27" s="20">
        <v>63</v>
      </c>
      <c r="T27" s="20"/>
      <c r="U27" s="20">
        <v>68</v>
      </c>
      <c r="V27" s="19">
        <v>60</v>
      </c>
      <c r="W27" s="19">
        <v>60</v>
      </c>
      <c r="X27" s="20"/>
      <c r="Y27" s="20">
        <v>65</v>
      </c>
      <c r="Z27" s="20"/>
      <c r="AA27" s="20">
        <v>63</v>
      </c>
      <c r="AB27" s="20"/>
      <c r="AC27" s="20">
        <v>68</v>
      </c>
      <c r="AD27" s="19">
        <v>60</v>
      </c>
      <c r="AE27" s="19">
        <v>60</v>
      </c>
      <c r="AF27" s="20"/>
      <c r="AG27" s="20">
        <v>65</v>
      </c>
      <c r="AH27" s="20"/>
      <c r="AI27" s="20">
        <v>63</v>
      </c>
      <c r="AJ27" s="20">
        <v>63</v>
      </c>
      <c r="AK27" s="44">
        <f t="shared" si="4"/>
        <v>15</v>
      </c>
      <c r="AL27" s="45">
        <f t="shared" si="5"/>
        <v>15</v>
      </c>
      <c r="AM27" s="46">
        <f t="shared" si="6"/>
        <v>15</v>
      </c>
      <c r="AN27" s="47">
        <f t="shared" si="7"/>
        <v>64</v>
      </c>
      <c r="AO27" s="48">
        <f t="shared" si="8"/>
        <v>27.25</v>
      </c>
      <c r="AP27" s="37"/>
      <c r="AR27" s="54">
        <f t="shared" si="9"/>
        <v>13.625</v>
      </c>
      <c r="AS27" s="20"/>
      <c r="AT27" s="56">
        <f t="shared" si="10"/>
        <v>0</v>
      </c>
      <c r="AU27" s="57" t="str">
        <f t="shared" si="11"/>
        <v/>
      </c>
      <c r="AV27" s="54" t="str">
        <f t="shared" si="12"/>
        <v/>
      </c>
      <c r="AW27" s="20"/>
      <c r="AX27" s="56">
        <f t="shared" si="13"/>
        <v>0</v>
      </c>
      <c r="AY27" s="60" t="str">
        <f t="shared" si="14"/>
        <v/>
      </c>
      <c r="AZ27" s="54" t="str">
        <f t="shared" si="15"/>
        <v/>
      </c>
      <c r="BA27" s="21"/>
      <c r="BB27" s="62" t="str">
        <f t="shared" si="16"/>
        <v/>
      </c>
      <c r="BC27" s="64">
        <f t="shared" si="17"/>
        <v>27.25</v>
      </c>
      <c r="BE27" s="20">
        <f t="shared" si="18"/>
        <v>51</v>
      </c>
      <c r="BF27" s="20">
        <f t="shared" si="19"/>
        <v>60</v>
      </c>
      <c r="BG27" s="89">
        <f t="shared" si="20"/>
        <v>65</v>
      </c>
      <c r="BH27" s="20">
        <f t="shared" si="21"/>
        <v>63</v>
      </c>
      <c r="BI27" s="20">
        <f t="shared" si="22"/>
        <v>59.75</v>
      </c>
    </row>
    <row r="28" spans="1:61" x14ac:dyDescent="0.2">
      <c r="A28" s="29">
        <v>26</v>
      </c>
      <c r="B28" s="88" t="s">
        <v>137</v>
      </c>
      <c r="C28" s="70" t="s">
        <v>81</v>
      </c>
      <c r="D28" s="70" t="s">
        <v>82</v>
      </c>
      <c r="E28" s="84">
        <v>98</v>
      </c>
      <c r="F28" s="85"/>
      <c r="G28" s="85">
        <v>100</v>
      </c>
      <c r="H28" s="85"/>
      <c r="I28" s="85">
        <v>100</v>
      </c>
      <c r="J28" s="85"/>
      <c r="K28" s="85">
        <v>90</v>
      </c>
      <c r="L28" s="86"/>
      <c r="M28" s="84">
        <v>95</v>
      </c>
      <c r="N28" s="85"/>
      <c r="O28" s="85">
        <v>95</v>
      </c>
      <c r="P28" s="85"/>
      <c r="Q28" s="85">
        <v>98</v>
      </c>
      <c r="R28" s="85"/>
      <c r="S28" s="85">
        <v>95</v>
      </c>
      <c r="T28" s="86"/>
      <c r="U28" s="84">
        <v>100</v>
      </c>
      <c r="V28" s="85"/>
      <c r="W28" s="85">
        <v>90</v>
      </c>
      <c r="X28" s="85"/>
      <c r="Y28" s="85">
        <v>98</v>
      </c>
      <c r="Z28" s="85"/>
      <c r="AA28" s="85">
        <v>98</v>
      </c>
      <c r="AB28" s="86"/>
      <c r="AC28" s="84">
        <v>95</v>
      </c>
      <c r="AD28" s="85"/>
      <c r="AE28" s="85">
        <v>98</v>
      </c>
      <c r="AF28" s="85"/>
      <c r="AG28" s="85">
        <v>98</v>
      </c>
      <c r="AH28" s="85"/>
      <c r="AI28" s="85">
        <v>100</v>
      </c>
      <c r="AJ28" s="3"/>
      <c r="AK28" s="44">
        <f t="shared" si="4"/>
        <v>97</v>
      </c>
      <c r="AL28" s="45">
        <f t="shared" si="5"/>
        <v>95.75</v>
      </c>
      <c r="AM28" s="46">
        <f t="shared" si="6"/>
        <v>96.5</v>
      </c>
      <c r="AN28" s="47">
        <f t="shared" si="7"/>
        <v>97.75</v>
      </c>
      <c r="AO28" s="48">
        <f t="shared" si="8"/>
        <v>96.75</v>
      </c>
      <c r="AP28" s="37"/>
      <c r="AR28" s="54" t="str">
        <f t="shared" si="9"/>
        <v/>
      </c>
      <c r="AS28" s="20"/>
      <c r="AT28" s="56">
        <f t="shared" si="10"/>
        <v>0</v>
      </c>
      <c r="AU28" s="57" t="str">
        <f t="shared" si="11"/>
        <v/>
      </c>
      <c r="AV28" s="54" t="str">
        <f t="shared" si="12"/>
        <v/>
      </c>
      <c r="AW28" s="20"/>
      <c r="AX28" s="56">
        <f t="shared" si="13"/>
        <v>0</v>
      </c>
      <c r="AY28" s="60" t="str">
        <f t="shared" si="14"/>
        <v/>
      </c>
      <c r="AZ28" s="54" t="str">
        <f t="shared" si="15"/>
        <v/>
      </c>
      <c r="BA28" s="21"/>
      <c r="BB28" s="62">
        <f t="shared" si="16"/>
        <v>96.75</v>
      </c>
      <c r="BC28" s="64" t="str">
        <f t="shared" si="17"/>
        <v/>
      </c>
      <c r="BE28" s="20">
        <f t="shared" si="18"/>
        <v>97</v>
      </c>
      <c r="BF28" s="20">
        <f t="shared" si="19"/>
        <v>95.75</v>
      </c>
      <c r="BG28" s="89">
        <f t="shared" si="20"/>
        <v>98.5</v>
      </c>
      <c r="BH28" s="20">
        <f t="shared" si="21"/>
        <v>95.75</v>
      </c>
      <c r="BI28" s="20">
        <f t="shared" si="22"/>
        <v>96.75</v>
      </c>
    </row>
    <row r="29" spans="1:61" x14ac:dyDescent="0.2">
      <c r="A29" s="29">
        <v>27</v>
      </c>
      <c r="B29" s="88" t="s">
        <v>138</v>
      </c>
      <c r="C29" s="69" t="s">
        <v>83</v>
      </c>
      <c r="D29" s="69" t="s">
        <v>84</v>
      </c>
      <c r="E29" s="84">
        <v>80</v>
      </c>
      <c r="F29" s="85"/>
      <c r="G29" s="85">
        <v>100</v>
      </c>
      <c r="H29" s="85"/>
      <c r="I29" s="85">
        <v>93</v>
      </c>
      <c r="J29" s="85"/>
      <c r="K29" s="85">
        <v>85</v>
      </c>
      <c r="L29" s="86"/>
      <c r="M29" s="84">
        <v>98</v>
      </c>
      <c r="N29" s="85"/>
      <c r="O29" s="85">
        <v>95</v>
      </c>
      <c r="P29" s="85"/>
      <c r="Q29" s="85">
        <v>90</v>
      </c>
      <c r="R29" s="85"/>
      <c r="S29" s="85">
        <v>85</v>
      </c>
      <c r="T29" s="86"/>
      <c r="U29" s="84">
        <v>90</v>
      </c>
      <c r="V29" s="85"/>
      <c r="W29" s="85">
        <v>98</v>
      </c>
      <c r="X29" s="85"/>
      <c r="Y29" s="85">
        <v>95</v>
      </c>
      <c r="Z29" s="85"/>
      <c r="AA29" s="85">
        <v>80</v>
      </c>
      <c r="AB29" s="86"/>
      <c r="AC29" s="84">
        <v>85</v>
      </c>
      <c r="AD29" s="85"/>
      <c r="AE29" s="85">
        <v>90</v>
      </c>
      <c r="AF29" s="85"/>
      <c r="AG29" s="85">
        <v>90</v>
      </c>
      <c r="AH29" s="85"/>
      <c r="AI29" s="85">
        <v>82</v>
      </c>
      <c r="AJ29" s="3"/>
      <c r="AK29" s="44">
        <f t="shared" si="4"/>
        <v>89.5</v>
      </c>
      <c r="AL29" s="45">
        <f t="shared" si="5"/>
        <v>92</v>
      </c>
      <c r="AM29" s="46">
        <f t="shared" si="6"/>
        <v>90.75</v>
      </c>
      <c r="AN29" s="47">
        <f t="shared" si="7"/>
        <v>86.75</v>
      </c>
      <c r="AO29" s="48">
        <f t="shared" si="8"/>
        <v>89.75</v>
      </c>
      <c r="AP29" s="37"/>
      <c r="AR29" s="54" t="str">
        <f t="shared" si="9"/>
        <v/>
      </c>
      <c r="AS29" s="20"/>
      <c r="AT29" s="56">
        <f t="shared" si="10"/>
        <v>0</v>
      </c>
      <c r="AU29" s="57" t="str">
        <f t="shared" si="11"/>
        <v/>
      </c>
      <c r="AV29" s="54" t="str">
        <f t="shared" si="12"/>
        <v/>
      </c>
      <c r="AW29" s="20"/>
      <c r="AX29" s="56">
        <f t="shared" si="13"/>
        <v>0</v>
      </c>
      <c r="AY29" s="60" t="str">
        <f t="shared" si="14"/>
        <v/>
      </c>
      <c r="AZ29" s="54" t="str">
        <f t="shared" si="15"/>
        <v/>
      </c>
      <c r="BA29" s="21"/>
      <c r="BB29" s="62">
        <f t="shared" si="16"/>
        <v>89.75</v>
      </c>
      <c r="BC29" s="64" t="str">
        <f t="shared" si="17"/>
        <v/>
      </c>
      <c r="BE29" s="20">
        <f t="shared" si="18"/>
        <v>88.25</v>
      </c>
      <c r="BF29" s="20">
        <f t="shared" si="19"/>
        <v>95.75</v>
      </c>
      <c r="BG29" s="89">
        <f t="shared" si="20"/>
        <v>92</v>
      </c>
      <c r="BH29" s="20">
        <f t="shared" si="21"/>
        <v>83</v>
      </c>
      <c r="BI29" s="20">
        <f t="shared" si="22"/>
        <v>89.75</v>
      </c>
    </row>
    <row r="30" spans="1:61" x14ac:dyDescent="0.2">
      <c r="A30" s="29">
        <v>28</v>
      </c>
      <c r="B30" s="88" t="s">
        <v>139</v>
      </c>
      <c r="C30" s="70" t="s">
        <v>85</v>
      </c>
      <c r="D30" s="70" t="s">
        <v>86</v>
      </c>
      <c r="E30" s="84">
        <v>98</v>
      </c>
      <c r="F30" s="85"/>
      <c r="G30" s="85">
        <v>100</v>
      </c>
      <c r="H30" s="85"/>
      <c r="I30" s="85">
        <v>90</v>
      </c>
      <c r="J30" s="85"/>
      <c r="K30" s="85">
        <v>90</v>
      </c>
      <c r="L30" s="86"/>
      <c r="M30" s="84">
        <v>95</v>
      </c>
      <c r="N30" s="85"/>
      <c r="O30" s="85">
        <v>92</v>
      </c>
      <c r="P30" s="85"/>
      <c r="Q30" s="85">
        <v>90</v>
      </c>
      <c r="R30" s="85"/>
      <c r="S30" s="85">
        <v>95</v>
      </c>
      <c r="T30" s="86"/>
      <c r="U30" s="84">
        <v>95</v>
      </c>
      <c r="V30" s="85"/>
      <c r="W30" s="85">
        <v>100</v>
      </c>
      <c r="X30" s="85"/>
      <c r="Y30" s="85">
        <v>90</v>
      </c>
      <c r="Z30" s="85"/>
      <c r="AA30" s="85">
        <v>95</v>
      </c>
      <c r="AB30" s="86"/>
      <c r="AC30" s="84">
        <v>90</v>
      </c>
      <c r="AD30" s="85"/>
      <c r="AE30" s="85">
        <v>95</v>
      </c>
      <c r="AF30" s="85"/>
      <c r="AG30" s="85">
        <v>98</v>
      </c>
      <c r="AH30" s="85"/>
      <c r="AI30" s="85">
        <v>95</v>
      </c>
      <c r="AJ30" s="3"/>
      <c r="AK30" s="44">
        <f t="shared" si="4"/>
        <v>94.5</v>
      </c>
      <c r="AL30" s="45">
        <f t="shared" si="5"/>
        <v>93</v>
      </c>
      <c r="AM30" s="46">
        <f t="shared" si="6"/>
        <v>95</v>
      </c>
      <c r="AN30" s="47">
        <f t="shared" si="7"/>
        <v>94.5</v>
      </c>
      <c r="AO30" s="48">
        <f t="shared" si="8"/>
        <v>94.25</v>
      </c>
      <c r="AP30" s="37"/>
      <c r="AR30" s="54" t="str">
        <f t="shared" si="9"/>
        <v/>
      </c>
      <c r="AS30" s="20"/>
      <c r="AT30" s="56">
        <f t="shared" si="10"/>
        <v>0</v>
      </c>
      <c r="AU30" s="57" t="str">
        <f t="shared" si="11"/>
        <v/>
      </c>
      <c r="AV30" s="54" t="str">
        <f t="shared" si="12"/>
        <v/>
      </c>
      <c r="AW30" s="20"/>
      <c r="AX30" s="56">
        <f t="shared" si="13"/>
        <v>0</v>
      </c>
      <c r="AY30" s="60" t="str">
        <f t="shared" si="14"/>
        <v/>
      </c>
      <c r="AZ30" s="54" t="str">
        <f t="shared" si="15"/>
        <v/>
      </c>
      <c r="BA30" s="21"/>
      <c r="BB30" s="62">
        <f t="shared" si="16"/>
        <v>94.25</v>
      </c>
      <c r="BC30" s="64" t="str">
        <f t="shared" si="17"/>
        <v/>
      </c>
      <c r="BE30" s="20">
        <f t="shared" si="18"/>
        <v>94.5</v>
      </c>
      <c r="BF30" s="20">
        <f t="shared" si="19"/>
        <v>96.75</v>
      </c>
      <c r="BG30" s="89">
        <f t="shared" si="20"/>
        <v>92</v>
      </c>
      <c r="BH30" s="20">
        <f t="shared" si="21"/>
        <v>93.75</v>
      </c>
      <c r="BI30" s="20">
        <f t="shared" si="22"/>
        <v>94.25</v>
      </c>
    </row>
    <row r="31" spans="1:61" x14ac:dyDescent="0.2">
      <c r="A31" s="29">
        <v>29</v>
      </c>
      <c r="B31" s="88" t="s">
        <v>140</v>
      </c>
      <c r="C31" s="69" t="s">
        <v>87</v>
      </c>
      <c r="D31" s="69" t="s">
        <v>88</v>
      </c>
      <c r="E31" s="84">
        <v>0</v>
      </c>
      <c r="F31" s="19">
        <v>60</v>
      </c>
      <c r="G31" s="19">
        <v>60</v>
      </c>
      <c r="H31" s="20"/>
      <c r="I31" s="20">
        <v>65</v>
      </c>
      <c r="J31" s="20"/>
      <c r="K31" s="20">
        <v>63</v>
      </c>
      <c r="L31" s="20"/>
      <c r="M31" s="20">
        <v>68</v>
      </c>
      <c r="N31" s="19">
        <v>60</v>
      </c>
      <c r="O31" s="19">
        <v>60</v>
      </c>
      <c r="P31" s="20"/>
      <c r="Q31" s="20">
        <v>65</v>
      </c>
      <c r="R31" s="20"/>
      <c r="S31" s="20">
        <v>63</v>
      </c>
      <c r="T31" s="20"/>
      <c r="U31" s="20">
        <v>68</v>
      </c>
      <c r="V31" s="19">
        <v>60</v>
      </c>
      <c r="W31" s="19">
        <v>60</v>
      </c>
      <c r="X31" s="20"/>
      <c r="Y31" s="20">
        <v>65</v>
      </c>
      <c r="Z31" s="20"/>
      <c r="AA31" s="20">
        <v>63</v>
      </c>
      <c r="AB31" s="20"/>
      <c r="AC31" s="20">
        <v>68</v>
      </c>
      <c r="AD31" s="19">
        <v>60</v>
      </c>
      <c r="AE31" s="19">
        <v>60</v>
      </c>
      <c r="AF31" s="20"/>
      <c r="AG31" s="20">
        <v>65</v>
      </c>
      <c r="AH31" s="20"/>
      <c r="AI31" s="20">
        <v>63</v>
      </c>
      <c r="AJ31" s="3"/>
      <c r="AK31" s="44">
        <f t="shared" si="4"/>
        <v>15</v>
      </c>
      <c r="AL31" s="45">
        <f t="shared" si="5"/>
        <v>15</v>
      </c>
      <c r="AM31" s="46">
        <f t="shared" si="6"/>
        <v>15</v>
      </c>
      <c r="AN31" s="47">
        <f t="shared" si="7"/>
        <v>48.25</v>
      </c>
      <c r="AO31" s="48">
        <f t="shared" si="8"/>
        <v>23.3125</v>
      </c>
      <c r="AP31" s="37"/>
      <c r="AR31" s="54">
        <f t="shared" si="9"/>
        <v>11.65625</v>
      </c>
      <c r="AS31" s="20"/>
      <c r="AT31" s="56">
        <f t="shared" si="10"/>
        <v>0</v>
      </c>
      <c r="AU31" s="57" t="str">
        <f t="shared" si="11"/>
        <v/>
      </c>
      <c r="AV31" s="54" t="str">
        <f t="shared" si="12"/>
        <v/>
      </c>
      <c r="AW31" s="20"/>
      <c r="AX31" s="56">
        <f t="shared" si="13"/>
        <v>0</v>
      </c>
      <c r="AY31" s="60" t="str">
        <f t="shared" si="14"/>
        <v/>
      </c>
      <c r="AZ31" s="54" t="str">
        <f t="shared" si="15"/>
        <v/>
      </c>
      <c r="BA31" s="21"/>
      <c r="BB31" s="62" t="str">
        <f t="shared" si="16"/>
        <v/>
      </c>
      <c r="BC31" s="64">
        <f t="shared" si="17"/>
        <v>23.3125</v>
      </c>
      <c r="BE31" s="20">
        <f t="shared" si="18"/>
        <v>51</v>
      </c>
      <c r="BF31" s="20">
        <f t="shared" si="19"/>
        <v>60</v>
      </c>
      <c r="BG31" s="89">
        <f t="shared" si="20"/>
        <v>65</v>
      </c>
      <c r="BH31" s="20">
        <f t="shared" si="21"/>
        <v>63</v>
      </c>
      <c r="BI31" s="20">
        <f t="shared" si="22"/>
        <v>59.75</v>
      </c>
    </row>
    <row r="32" spans="1:61" x14ac:dyDescent="0.2">
      <c r="A32" s="29">
        <v>30</v>
      </c>
      <c r="B32" s="88" t="s">
        <v>141</v>
      </c>
      <c r="C32" s="70" t="s">
        <v>89</v>
      </c>
      <c r="D32" s="70" t="s">
        <v>90</v>
      </c>
      <c r="E32" s="84">
        <v>80</v>
      </c>
      <c r="F32" s="85"/>
      <c r="G32" s="85">
        <v>75</v>
      </c>
      <c r="H32" s="85"/>
      <c r="I32" s="85">
        <v>82</v>
      </c>
      <c r="J32" s="85"/>
      <c r="K32" s="85">
        <v>80</v>
      </c>
      <c r="L32" s="86"/>
      <c r="M32" s="84">
        <v>85</v>
      </c>
      <c r="N32" s="85"/>
      <c r="O32" s="85">
        <v>78</v>
      </c>
      <c r="P32" s="85"/>
      <c r="Q32" s="85">
        <v>80</v>
      </c>
      <c r="R32" s="85"/>
      <c r="S32" s="85">
        <v>82</v>
      </c>
      <c r="T32" s="86"/>
      <c r="U32" s="84">
        <v>80</v>
      </c>
      <c r="V32" s="85"/>
      <c r="W32" s="85">
        <v>80</v>
      </c>
      <c r="X32" s="85"/>
      <c r="Y32" s="85">
        <v>75</v>
      </c>
      <c r="Z32" s="85"/>
      <c r="AA32" s="85">
        <v>78</v>
      </c>
      <c r="AB32" s="86"/>
      <c r="AC32" s="84">
        <v>80</v>
      </c>
      <c r="AD32" s="85"/>
      <c r="AE32" s="85">
        <v>78</v>
      </c>
      <c r="AF32" s="85"/>
      <c r="AG32" s="85">
        <v>85</v>
      </c>
      <c r="AH32" s="85"/>
      <c r="AI32" s="85">
        <v>80</v>
      </c>
      <c r="AJ32" s="3"/>
      <c r="AK32" s="44">
        <f t="shared" si="4"/>
        <v>79.25</v>
      </c>
      <c r="AL32" s="45">
        <f t="shared" si="5"/>
        <v>81.25</v>
      </c>
      <c r="AM32" s="46">
        <f t="shared" si="6"/>
        <v>78.25</v>
      </c>
      <c r="AN32" s="47">
        <f t="shared" si="7"/>
        <v>80.75</v>
      </c>
      <c r="AO32" s="48">
        <f t="shared" si="8"/>
        <v>79.875</v>
      </c>
      <c r="AP32" s="37"/>
      <c r="AR32" s="54" t="str">
        <f t="shared" si="9"/>
        <v/>
      </c>
      <c r="AS32" s="20"/>
      <c r="AT32" s="56">
        <f t="shared" si="10"/>
        <v>0</v>
      </c>
      <c r="AU32" s="57" t="str">
        <f t="shared" si="11"/>
        <v/>
      </c>
      <c r="AV32" s="54" t="str">
        <f t="shared" si="12"/>
        <v/>
      </c>
      <c r="AW32" s="20"/>
      <c r="AX32" s="56">
        <f t="shared" si="13"/>
        <v>0</v>
      </c>
      <c r="AY32" s="60" t="str">
        <f t="shared" si="14"/>
        <v/>
      </c>
      <c r="AZ32" s="54" t="str">
        <f t="shared" si="15"/>
        <v/>
      </c>
      <c r="BA32" s="21"/>
      <c r="BB32" s="62">
        <f t="shared" si="16"/>
        <v>79.875</v>
      </c>
      <c r="BC32" s="64" t="str">
        <f t="shared" si="17"/>
        <v/>
      </c>
      <c r="BE32" s="20">
        <f t="shared" si="18"/>
        <v>81.25</v>
      </c>
      <c r="BF32" s="20">
        <f t="shared" si="19"/>
        <v>77.75</v>
      </c>
      <c r="BG32" s="89">
        <f t="shared" si="20"/>
        <v>80.5</v>
      </c>
      <c r="BH32" s="20">
        <f t="shared" si="21"/>
        <v>80</v>
      </c>
      <c r="BI32" s="20">
        <f t="shared" si="22"/>
        <v>79.875</v>
      </c>
    </row>
    <row r="33" spans="1:61" x14ac:dyDescent="0.2">
      <c r="A33" s="29">
        <v>31</v>
      </c>
      <c r="B33" s="88" t="s">
        <v>142</v>
      </c>
      <c r="C33" s="69" t="s">
        <v>91</v>
      </c>
      <c r="D33" s="69" t="s">
        <v>92</v>
      </c>
      <c r="E33" s="84">
        <v>85</v>
      </c>
      <c r="F33" s="85"/>
      <c r="G33" s="85">
        <v>78</v>
      </c>
      <c r="H33" s="85"/>
      <c r="I33" s="85">
        <v>90</v>
      </c>
      <c r="J33" s="85"/>
      <c r="K33" s="85">
        <v>92</v>
      </c>
      <c r="L33" s="86"/>
      <c r="M33" s="84">
        <v>85</v>
      </c>
      <c r="N33" s="85"/>
      <c r="O33" s="85">
        <v>75</v>
      </c>
      <c r="P33" s="85"/>
      <c r="Q33" s="85">
        <v>92</v>
      </c>
      <c r="R33" s="85"/>
      <c r="S33" s="85">
        <v>90</v>
      </c>
      <c r="T33" s="86"/>
      <c r="U33" s="84">
        <v>90</v>
      </c>
      <c r="V33" s="85"/>
      <c r="W33" s="85">
        <v>72</v>
      </c>
      <c r="X33" s="85"/>
      <c r="Y33" s="85">
        <v>90</v>
      </c>
      <c r="Z33" s="85"/>
      <c r="AA33" s="85">
        <v>90</v>
      </c>
      <c r="AB33" s="86"/>
      <c r="AC33" s="84">
        <v>91</v>
      </c>
      <c r="AD33" s="85"/>
      <c r="AE33" s="85">
        <v>85</v>
      </c>
      <c r="AF33" s="85"/>
      <c r="AG33" s="85">
        <v>90</v>
      </c>
      <c r="AH33" s="85"/>
      <c r="AI33" s="85">
        <v>92</v>
      </c>
      <c r="AJ33" s="3"/>
      <c r="AK33" s="44">
        <f t="shared" si="4"/>
        <v>86.25</v>
      </c>
      <c r="AL33" s="45">
        <f t="shared" si="5"/>
        <v>85.5</v>
      </c>
      <c r="AM33" s="46">
        <f t="shared" si="6"/>
        <v>85.5</v>
      </c>
      <c r="AN33" s="47">
        <f t="shared" si="7"/>
        <v>89.5</v>
      </c>
      <c r="AO33" s="48">
        <f t="shared" si="8"/>
        <v>86.6875</v>
      </c>
      <c r="AP33" s="37"/>
      <c r="AR33" s="54" t="str">
        <f t="shared" si="9"/>
        <v/>
      </c>
      <c r="AS33" s="20"/>
      <c r="AT33" s="56">
        <f t="shared" si="10"/>
        <v>0</v>
      </c>
      <c r="AU33" s="57" t="str">
        <f t="shared" si="11"/>
        <v/>
      </c>
      <c r="AV33" s="54" t="str">
        <f t="shared" si="12"/>
        <v/>
      </c>
      <c r="AW33" s="20"/>
      <c r="AX33" s="56">
        <f t="shared" si="13"/>
        <v>0</v>
      </c>
      <c r="AY33" s="60" t="str">
        <f t="shared" si="14"/>
        <v/>
      </c>
      <c r="AZ33" s="54" t="str">
        <f t="shared" si="15"/>
        <v/>
      </c>
      <c r="BA33" s="21"/>
      <c r="BB33" s="62">
        <f t="shared" si="16"/>
        <v>86.6875</v>
      </c>
      <c r="BC33" s="64" t="str">
        <f t="shared" si="17"/>
        <v/>
      </c>
      <c r="BE33" s="20">
        <f t="shared" si="18"/>
        <v>87.75</v>
      </c>
      <c r="BF33" s="20">
        <f t="shared" si="19"/>
        <v>77.5</v>
      </c>
      <c r="BG33" s="89">
        <f t="shared" si="20"/>
        <v>90.5</v>
      </c>
      <c r="BH33" s="20">
        <f t="shared" si="21"/>
        <v>91</v>
      </c>
      <c r="BI33" s="20">
        <f t="shared" si="22"/>
        <v>86.6875</v>
      </c>
    </row>
    <row r="34" spans="1:61" x14ac:dyDescent="0.2">
      <c r="A34" s="29">
        <v>32</v>
      </c>
      <c r="B34" s="88" t="s">
        <v>143</v>
      </c>
      <c r="C34" s="70" t="s">
        <v>93</v>
      </c>
      <c r="D34" s="70" t="s">
        <v>94</v>
      </c>
      <c r="E34" s="84">
        <v>85</v>
      </c>
      <c r="F34" s="85"/>
      <c r="G34" s="85">
        <v>75</v>
      </c>
      <c r="H34" s="85"/>
      <c r="I34" s="85">
        <v>78</v>
      </c>
      <c r="J34" s="85"/>
      <c r="K34" s="85">
        <v>85</v>
      </c>
      <c r="L34" s="86"/>
      <c r="M34" s="84">
        <v>88</v>
      </c>
      <c r="N34" s="85"/>
      <c r="O34" s="85">
        <v>80</v>
      </c>
      <c r="P34" s="85"/>
      <c r="Q34" s="85">
        <v>85</v>
      </c>
      <c r="R34" s="85"/>
      <c r="S34" s="85">
        <v>75</v>
      </c>
      <c r="T34" s="86"/>
      <c r="U34" s="84">
        <v>87</v>
      </c>
      <c r="V34" s="85"/>
      <c r="W34" s="85">
        <v>79</v>
      </c>
      <c r="X34" s="85"/>
      <c r="Y34" s="85">
        <v>82</v>
      </c>
      <c r="Z34" s="85"/>
      <c r="AA34" s="85">
        <v>75</v>
      </c>
      <c r="AB34" s="86"/>
      <c r="AC34" s="84">
        <v>85</v>
      </c>
      <c r="AD34" s="85"/>
      <c r="AE34" s="85">
        <v>83</v>
      </c>
      <c r="AF34" s="85"/>
      <c r="AG34" s="85">
        <v>80</v>
      </c>
      <c r="AH34" s="85"/>
      <c r="AI34" s="85">
        <v>70</v>
      </c>
      <c r="AJ34" s="3"/>
      <c r="AK34" s="44">
        <f t="shared" si="4"/>
        <v>80.75</v>
      </c>
      <c r="AL34" s="45">
        <f t="shared" si="5"/>
        <v>82</v>
      </c>
      <c r="AM34" s="46">
        <f t="shared" si="6"/>
        <v>80.75</v>
      </c>
      <c r="AN34" s="47">
        <f t="shared" si="7"/>
        <v>79.5</v>
      </c>
      <c r="AO34" s="48">
        <f t="shared" si="8"/>
        <v>80.75</v>
      </c>
      <c r="AP34" s="37"/>
      <c r="AR34" s="54" t="str">
        <f t="shared" si="9"/>
        <v/>
      </c>
      <c r="AS34" s="20"/>
      <c r="AT34" s="56">
        <f t="shared" si="10"/>
        <v>0</v>
      </c>
      <c r="AU34" s="57" t="str">
        <f t="shared" si="11"/>
        <v/>
      </c>
      <c r="AV34" s="54" t="str">
        <f t="shared" si="12"/>
        <v/>
      </c>
      <c r="AW34" s="20"/>
      <c r="AX34" s="56">
        <f t="shared" si="13"/>
        <v>0</v>
      </c>
      <c r="AY34" s="60" t="str">
        <f t="shared" si="14"/>
        <v/>
      </c>
      <c r="AZ34" s="54" t="str">
        <f t="shared" si="15"/>
        <v/>
      </c>
      <c r="BA34" s="21"/>
      <c r="BB34" s="62">
        <f t="shared" si="16"/>
        <v>80.75</v>
      </c>
      <c r="BC34" s="64" t="str">
        <f t="shared" si="17"/>
        <v/>
      </c>
      <c r="BE34" s="20">
        <f t="shared" si="18"/>
        <v>86.25</v>
      </c>
      <c r="BF34" s="20">
        <f t="shared" si="19"/>
        <v>79.25</v>
      </c>
      <c r="BG34" s="89">
        <f t="shared" si="20"/>
        <v>81.25</v>
      </c>
      <c r="BH34" s="20">
        <f t="shared" si="21"/>
        <v>76.25</v>
      </c>
      <c r="BI34" s="20">
        <f t="shared" si="22"/>
        <v>80.75</v>
      </c>
    </row>
    <row r="35" spans="1:61" x14ac:dyDescent="0.2">
      <c r="A35" s="29">
        <v>33</v>
      </c>
      <c r="B35" s="88" t="s">
        <v>144</v>
      </c>
      <c r="C35" s="71" t="s">
        <v>95</v>
      </c>
      <c r="D35" s="71" t="s">
        <v>96</v>
      </c>
      <c r="E35" s="84">
        <v>80</v>
      </c>
      <c r="F35" s="85"/>
      <c r="G35" s="85">
        <v>82</v>
      </c>
      <c r="H35" s="85"/>
      <c r="I35" s="85">
        <v>85</v>
      </c>
      <c r="J35" s="85"/>
      <c r="K35" s="85">
        <v>85</v>
      </c>
      <c r="L35" s="86"/>
      <c r="M35" s="84">
        <v>85</v>
      </c>
      <c r="N35" s="85"/>
      <c r="O35" s="85">
        <v>80</v>
      </c>
      <c r="P35" s="85"/>
      <c r="Q35" s="85">
        <v>82</v>
      </c>
      <c r="R35" s="85"/>
      <c r="S35" s="85">
        <v>75</v>
      </c>
      <c r="T35" s="86"/>
      <c r="U35" s="84">
        <v>80</v>
      </c>
      <c r="V35" s="85"/>
      <c r="W35" s="85">
        <v>81</v>
      </c>
      <c r="X35" s="85"/>
      <c r="Y35" s="85">
        <v>85</v>
      </c>
      <c r="Z35" s="85"/>
      <c r="AA35" s="85">
        <v>80</v>
      </c>
      <c r="AB35" s="86"/>
      <c r="AC35" s="84">
        <v>80</v>
      </c>
      <c r="AD35" s="85"/>
      <c r="AE35" s="85">
        <v>85</v>
      </c>
      <c r="AF35" s="85"/>
      <c r="AG35" s="85">
        <v>87</v>
      </c>
      <c r="AH35" s="85"/>
      <c r="AI35" s="85">
        <v>89</v>
      </c>
      <c r="AJ35" s="3"/>
      <c r="AK35" s="44">
        <f t="shared" si="4"/>
        <v>83</v>
      </c>
      <c r="AL35" s="45">
        <f t="shared" si="5"/>
        <v>80.5</v>
      </c>
      <c r="AM35" s="46">
        <f t="shared" si="6"/>
        <v>81.5</v>
      </c>
      <c r="AN35" s="47">
        <f t="shared" si="7"/>
        <v>85.25</v>
      </c>
      <c r="AO35" s="48">
        <f t="shared" si="8"/>
        <v>82.5625</v>
      </c>
      <c r="AP35" s="37"/>
      <c r="AR35" s="54" t="str">
        <f t="shared" si="9"/>
        <v/>
      </c>
      <c r="AS35" s="20"/>
      <c r="AT35" s="56">
        <f t="shared" si="10"/>
        <v>0</v>
      </c>
      <c r="AU35" s="57" t="str">
        <f t="shared" si="11"/>
        <v/>
      </c>
      <c r="AV35" s="54" t="str">
        <f t="shared" si="12"/>
        <v/>
      </c>
      <c r="AW35" s="20"/>
      <c r="AX35" s="56">
        <f t="shared" si="13"/>
        <v>0</v>
      </c>
      <c r="AY35" s="60" t="str">
        <f t="shared" si="14"/>
        <v/>
      </c>
      <c r="AZ35" s="54" t="str">
        <f t="shared" si="15"/>
        <v/>
      </c>
      <c r="BA35" s="21"/>
      <c r="BB35" s="62">
        <f t="shared" si="16"/>
        <v>82.5625</v>
      </c>
      <c r="BC35" s="64" t="str">
        <f t="shared" si="17"/>
        <v/>
      </c>
      <c r="BE35" s="20">
        <f t="shared" si="18"/>
        <v>81.25</v>
      </c>
      <c r="BF35" s="20">
        <f t="shared" si="19"/>
        <v>82</v>
      </c>
      <c r="BG35" s="89">
        <f t="shared" si="20"/>
        <v>84.75</v>
      </c>
      <c r="BH35" s="20">
        <f t="shared" si="21"/>
        <v>82.25</v>
      </c>
      <c r="BI35" s="20">
        <f t="shared" si="22"/>
        <v>82.5625</v>
      </c>
    </row>
    <row r="36" spans="1:61" x14ac:dyDescent="0.2">
      <c r="A36" s="29">
        <v>34</v>
      </c>
      <c r="B36" s="88" t="s">
        <v>145</v>
      </c>
      <c r="C36" s="70" t="s">
        <v>97</v>
      </c>
      <c r="D36" s="70" t="s">
        <v>98</v>
      </c>
      <c r="E36" s="84">
        <v>95</v>
      </c>
      <c r="F36" s="85"/>
      <c r="G36" s="85">
        <v>100</v>
      </c>
      <c r="H36" s="85"/>
      <c r="I36" s="85">
        <v>95</v>
      </c>
      <c r="J36" s="85"/>
      <c r="K36" s="85">
        <v>90</v>
      </c>
      <c r="L36" s="86"/>
      <c r="M36" s="84">
        <v>100</v>
      </c>
      <c r="N36" s="85"/>
      <c r="O36" s="85">
        <v>100</v>
      </c>
      <c r="P36" s="85"/>
      <c r="Q36" s="85">
        <v>98</v>
      </c>
      <c r="R36" s="85"/>
      <c r="S36" s="85">
        <v>100</v>
      </c>
      <c r="T36" s="86"/>
      <c r="U36" s="84">
        <v>100</v>
      </c>
      <c r="V36" s="85"/>
      <c r="W36" s="85">
        <v>98</v>
      </c>
      <c r="X36" s="85"/>
      <c r="Y36" s="85">
        <v>98</v>
      </c>
      <c r="Z36" s="85"/>
      <c r="AA36" s="85">
        <v>95</v>
      </c>
      <c r="AB36" s="86"/>
      <c r="AC36" s="84">
        <v>100</v>
      </c>
      <c r="AD36" s="85"/>
      <c r="AE36" s="85">
        <v>98</v>
      </c>
      <c r="AF36" s="85"/>
      <c r="AG36" s="85">
        <v>95</v>
      </c>
      <c r="AH36" s="85"/>
      <c r="AI36" s="85">
        <v>100</v>
      </c>
      <c r="AJ36" s="3"/>
      <c r="AK36" s="44">
        <f t="shared" si="4"/>
        <v>95</v>
      </c>
      <c r="AL36" s="45">
        <f t="shared" si="5"/>
        <v>99.5</v>
      </c>
      <c r="AM36" s="46">
        <f t="shared" si="6"/>
        <v>97.75</v>
      </c>
      <c r="AN36" s="47">
        <f t="shared" si="7"/>
        <v>98.25</v>
      </c>
      <c r="AO36" s="48">
        <f t="shared" si="8"/>
        <v>97.625</v>
      </c>
      <c r="AP36" s="37"/>
      <c r="AR36" s="54" t="str">
        <f t="shared" si="9"/>
        <v/>
      </c>
      <c r="AS36" s="20"/>
      <c r="AT36" s="56">
        <f t="shared" si="10"/>
        <v>0</v>
      </c>
      <c r="AU36" s="57" t="str">
        <f t="shared" si="11"/>
        <v/>
      </c>
      <c r="AV36" s="54" t="str">
        <f t="shared" si="12"/>
        <v/>
      </c>
      <c r="AW36" s="20"/>
      <c r="AX36" s="56">
        <f t="shared" si="13"/>
        <v>0</v>
      </c>
      <c r="AY36" s="60" t="str">
        <f t="shared" si="14"/>
        <v/>
      </c>
      <c r="AZ36" s="54" t="str">
        <f t="shared" si="15"/>
        <v/>
      </c>
      <c r="BA36" s="21"/>
      <c r="BB36" s="62">
        <f t="shared" si="16"/>
        <v>97.625</v>
      </c>
      <c r="BC36" s="64" t="str">
        <f t="shared" si="17"/>
        <v/>
      </c>
      <c r="BE36" s="20">
        <f t="shared" si="18"/>
        <v>98.75</v>
      </c>
      <c r="BF36" s="20">
        <f t="shared" si="19"/>
        <v>99</v>
      </c>
      <c r="BG36" s="89">
        <f t="shared" si="20"/>
        <v>96.5</v>
      </c>
      <c r="BH36" s="20">
        <f t="shared" si="21"/>
        <v>96.25</v>
      </c>
      <c r="BI36" s="20">
        <f t="shared" si="22"/>
        <v>97.625</v>
      </c>
    </row>
    <row r="37" spans="1:61" x14ac:dyDescent="0.2">
      <c r="A37" s="29">
        <v>35</v>
      </c>
      <c r="B37" s="88" t="s">
        <v>146</v>
      </c>
      <c r="C37" s="69" t="s">
        <v>99</v>
      </c>
      <c r="D37" s="69" t="s">
        <v>100</v>
      </c>
      <c r="E37" s="84">
        <v>90</v>
      </c>
      <c r="F37" s="85"/>
      <c r="G37" s="85">
        <v>98</v>
      </c>
      <c r="H37" s="85"/>
      <c r="I37" s="85">
        <v>90</v>
      </c>
      <c r="J37" s="85"/>
      <c r="K37" s="85">
        <v>90</v>
      </c>
      <c r="L37" s="86"/>
      <c r="M37" s="84">
        <v>85</v>
      </c>
      <c r="N37" s="85"/>
      <c r="O37" s="85">
        <v>94</v>
      </c>
      <c r="P37" s="85"/>
      <c r="Q37" s="85">
        <v>92</v>
      </c>
      <c r="R37" s="85"/>
      <c r="S37" s="85">
        <v>90</v>
      </c>
      <c r="T37" s="86"/>
      <c r="U37" s="84">
        <v>90</v>
      </c>
      <c r="V37" s="85"/>
      <c r="W37" s="85">
        <v>85</v>
      </c>
      <c r="X37" s="85"/>
      <c r="Y37" s="85">
        <v>87</v>
      </c>
      <c r="Z37" s="85"/>
      <c r="AA37" s="85">
        <v>90</v>
      </c>
      <c r="AB37" s="86"/>
      <c r="AC37" s="84">
        <v>90</v>
      </c>
      <c r="AD37" s="85"/>
      <c r="AE37" s="85">
        <v>88</v>
      </c>
      <c r="AF37" s="85"/>
      <c r="AG37" s="85">
        <v>92</v>
      </c>
      <c r="AH37" s="85"/>
      <c r="AI37" s="85">
        <v>90</v>
      </c>
      <c r="AJ37" s="3"/>
      <c r="AK37" s="44">
        <f t="shared" si="4"/>
        <v>92</v>
      </c>
      <c r="AL37" s="45">
        <f t="shared" si="5"/>
        <v>90.25</v>
      </c>
      <c r="AM37" s="46">
        <f t="shared" si="6"/>
        <v>88</v>
      </c>
      <c r="AN37" s="47">
        <f t="shared" si="7"/>
        <v>90</v>
      </c>
      <c r="AO37" s="48">
        <f t="shared" si="8"/>
        <v>90.0625</v>
      </c>
      <c r="AP37" s="37"/>
      <c r="AR37" s="54" t="str">
        <f t="shared" si="9"/>
        <v/>
      </c>
      <c r="AS37" s="20"/>
      <c r="AT37" s="56">
        <f t="shared" si="10"/>
        <v>0</v>
      </c>
      <c r="AU37" s="57" t="str">
        <f t="shared" si="11"/>
        <v/>
      </c>
      <c r="AV37" s="54" t="str">
        <f t="shared" si="12"/>
        <v/>
      </c>
      <c r="AW37" s="20"/>
      <c r="AX37" s="56">
        <f t="shared" si="13"/>
        <v>0</v>
      </c>
      <c r="AY37" s="60" t="str">
        <f t="shared" si="14"/>
        <v/>
      </c>
      <c r="AZ37" s="54" t="str">
        <f t="shared" si="15"/>
        <v/>
      </c>
      <c r="BA37" s="21"/>
      <c r="BB37" s="62">
        <f t="shared" si="16"/>
        <v>90.0625</v>
      </c>
      <c r="BC37" s="64" t="str">
        <f t="shared" si="17"/>
        <v/>
      </c>
      <c r="BE37" s="20">
        <f t="shared" si="18"/>
        <v>88.75</v>
      </c>
      <c r="BF37" s="20">
        <f t="shared" si="19"/>
        <v>91.25</v>
      </c>
      <c r="BG37" s="89">
        <f t="shared" si="20"/>
        <v>90.25</v>
      </c>
      <c r="BH37" s="20">
        <f t="shared" si="21"/>
        <v>90</v>
      </c>
      <c r="BI37" s="20">
        <f t="shared" si="22"/>
        <v>90.0625</v>
      </c>
    </row>
    <row r="38" spans="1:61" x14ac:dyDescent="0.2">
      <c r="A38" s="29">
        <v>36</v>
      </c>
      <c r="B38" s="88" t="s">
        <v>147</v>
      </c>
      <c r="C38" s="70" t="s">
        <v>101</v>
      </c>
      <c r="D38" s="70" t="s">
        <v>102</v>
      </c>
      <c r="E38" s="84">
        <v>80</v>
      </c>
      <c r="F38" s="85"/>
      <c r="G38" s="85">
        <v>82</v>
      </c>
      <c r="H38" s="85"/>
      <c r="I38" s="85">
        <v>80</v>
      </c>
      <c r="J38" s="85"/>
      <c r="K38" s="85">
        <v>85</v>
      </c>
      <c r="L38" s="86"/>
      <c r="M38" s="84">
        <v>80</v>
      </c>
      <c r="N38" s="85"/>
      <c r="O38" s="85">
        <v>80</v>
      </c>
      <c r="P38" s="85"/>
      <c r="Q38" s="85">
        <v>84</v>
      </c>
      <c r="R38" s="85"/>
      <c r="S38" s="85">
        <v>84</v>
      </c>
      <c r="T38" s="86"/>
      <c r="U38" s="84">
        <v>83</v>
      </c>
      <c r="V38" s="85"/>
      <c r="W38" s="85">
        <v>85</v>
      </c>
      <c r="X38" s="85"/>
      <c r="Y38" s="85">
        <v>88</v>
      </c>
      <c r="Z38" s="85"/>
      <c r="AA38" s="85">
        <v>85</v>
      </c>
      <c r="AB38" s="86"/>
      <c r="AC38" s="84">
        <v>87</v>
      </c>
      <c r="AD38" s="85"/>
      <c r="AE38" s="85">
        <v>85</v>
      </c>
      <c r="AF38" s="85"/>
      <c r="AG38" s="85">
        <v>89</v>
      </c>
      <c r="AH38" s="85"/>
      <c r="AI38" s="85">
        <v>85</v>
      </c>
      <c r="AJ38" s="3"/>
      <c r="AK38" s="44">
        <f t="shared" si="4"/>
        <v>81.75</v>
      </c>
      <c r="AL38" s="45">
        <f t="shared" si="5"/>
        <v>82</v>
      </c>
      <c r="AM38" s="46">
        <f t="shared" si="6"/>
        <v>85.25</v>
      </c>
      <c r="AN38" s="47">
        <f t="shared" si="7"/>
        <v>86.5</v>
      </c>
      <c r="AO38" s="48">
        <f t="shared" si="8"/>
        <v>83.875</v>
      </c>
      <c r="AP38" s="37"/>
      <c r="AR38" s="54" t="str">
        <f t="shared" si="9"/>
        <v/>
      </c>
      <c r="AS38" s="20"/>
      <c r="AT38" s="56">
        <f t="shared" si="10"/>
        <v>0</v>
      </c>
      <c r="AU38" s="57" t="str">
        <f t="shared" si="11"/>
        <v/>
      </c>
      <c r="AV38" s="54" t="str">
        <f t="shared" si="12"/>
        <v/>
      </c>
      <c r="AW38" s="20"/>
      <c r="AX38" s="56">
        <f t="shared" si="13"/>
        <v>0</v>
      </c>
      <c r="AY38" s="60" t="str">
        <f t="shared" si="14"/>
        <v/>
      </c>
      <c r="AZ38" s="54" t="str">
        <f t="shared" si="15"/>
        <v/>
      </c>
      <c r="BA38" s="21"/>
      <c r="BB38" s="62">
        <f t="shared" si="16"/>
        <v>83.875</v>
      </c>
      <c r="BC38" s="64" t="str">
        <f t="shared" si="17"/>
        <v/>
      </c>
      <c r="BE38" s="20">
        <f t="shared" si="18"/>
        <v>82.5</v>
      </c>
      <c r="BF38" s="20">
        <f t="shared" si="19"/>
        <v>83</v>
      </c>
      <c r="BG38" s="89">
        <f t="shared" si="20"/>
        <v>85.25</v>
      </c>
      <c r="BH38" s="20">
        <f t="shared" si="21"/>
        <v>84.75</v>
      </c>
      <c r="BI38" s="20">
        <f t="shared" si="22"/>
        <v>83.875</v>
      </c>
    </row>
    <row r="39" spans="1:61" x14ac:dyDescent="0.2">
      <c r="A39" s="29">
        <v>37</v>
      </c>
      <c r="B39" s="88" t="s">
        <v>148</v>
      </c>
      <c r="C39" s="69" t="s">
        <v>103</v>
      </c>
      <c r="D39" s="69" t="s">
        <v>104</v>
      </c>
      <c r="E39" s="84">
        <v>0</v>
      </c>
      <c r="F39" s="19">
        <v>60</v>
      </c>
      <c r="G39" s="19">
        <v>60</v>
      </c>
      <c r="H39" s="20"/>
      <c r="I39" s="20">
        <v>65</v>
      </c>
      <c r="J39" s="20"/>
      <c r="K39" s="20">
        <v>63</v>
      </c>
      <c r="L39" s="20"/>
      <c r="M39" s="20">
        <v>68</v>
      </c>
      <c r="N39" s="19">
        <v>60</v>
      </c>
      <c r="O39" s="19">
        <v>60</v>
      </c>
      <c r="P39" s="20"/>
      <c r="Q39" s="20">
        <v>65</v>
      </c>
      <c r="R39" s="20"/>
      <c r="S39" s="20">
        <v>63</v>
      </c>
      <c r="T39" s="20"/>
      <c r="U39" s="20">
        <v>68</v>
      </c>
      <c r="V39" s="19">
        <v>60</v>
      </c>
      <c r="W39" s="19">
        <v>60</v>
      </c>
      <c r="X39" s="20"/>
      <c r="Y39" s="20">
        <v>65</v>
      </c>
      <c r="Z39" s="20"/>
      <c r="AA39" s="20">
        <v>63</v>
      </c>
      <c r="AB39" s="20"/>
      <c r="AC39" s="20">
        <v>68</v>
      </c>
      <c r="AD39" s="19">
        <v>60</v>
      </c>
      <c r="AE39" s="19">
        <v>60</v>
      </c>
      <c r="AF39" s="20"/>
      <c r="AG39" s="20">
        <v>65</v>
      </c>
      <c r="AH39" s="20"/>
      <c r="AI39" s="20">
        <v>63</v>
      </c>
      <c r="AJ39" s="3"/>
      <c r="AK39" s="44">
        <f t="shared" si="4"/>
        <v>15</v>
      </c>
      <c r="AL39" s="45">
        <f t="shared" si="5"/>
        <v>15</v>
      </c>
      <c r="AM39" s="46">
        <f t="shared" si="6"/>
        <v>15</v>
      </c>
      <c r="AN39" s="47">
        <f t="shared" si="7"/>
        <v>48.25</v>
      </c>
      <c r="AO39" s="48">
        <f t="shared" si="8"/>
        <v>23.3125</v>
      </c>
      <c r="AP39" s="37"/>
      <c r="AR39" s="54">
        <f t="shared" si="9"/>
        <v>11.65625</v>
      </c>
      <c r="AS39" s="20"/>
      <c r="AT39" s="56">
        <f t="shared" si="10"/>
        <v>0</v>
      </c>
      <c r="AU39" s="57" t="str">
        <f t="shared" si="11"/>
        <v/>
      </c>
      <c r="AV39" s="54" t="str">
        <f t="shared" si="12"/>
        <v/>
      </c>
      <c r="AW39" s="20"/>
      <c r="AX39" s="56">
        <f t="shared" si="13"/>
        <v>0</v>
      </c>
      <c r="AY39" s="60" t="str">
        <f t="shared" si="14"/>
        <v/>
      </c>
      <c r="AZ39" s="54" t="str">
        <f t="shared" si="15"/>
        <v/>
      </c>
      <c r="BA39" s="21"/>
      <c r="BB39" s="62" t="str">
        <f t="shared" si="16"/>
        <v/>
      </c>
      <c r="BC39" s="64">
        <f t="shared" si="17"/>
        <v>23.3125</v>
      </c>
      <c r="BE39" s="20">
        <f t="shared" si="18"/>
        <v>51</v>
      </c>
      <c r="BF39" s="20">
        <f t="shared" si="19"/>
        <v>60</v>
      </c>
      <c r="BG39" s="89">
        <f t="shared" si="20"/>
        <v>65</v>
      </c>
      <c r="BH39" s="20">
        <f t="shared" si="21"/>
        <v>63</v>
      </c>
      <c r="BI39" s="20">
        <f t="shared" si="22"/>
        <v>59.75</v>
      </c>
    </row>
    <row r="40" spans="1:61" x14ac:dyDescent="0.2">
      <c r="A40" s="29">
        <v>38</v>
      </c>
      <c r="B40" s="88" t="s">
        <v>149</v>
      </c>
      <c r="C40" s="70" t="s">
        <v>105</v>
      </c>
      <c r="D40" s="70" t="s">
        <v>106</v>
      </c>
      <c r="E40" s="84">
        <v>80</v>
      </c>
      <c r="F40" s="85"/>
      <c r="G40" s="85">
        <v>84</v>
      </c>
      <c r="H40" s="85"/>
      <c r="I40" s="85">
        <v>82</v>
      </c>
      <c r="J40" s="85"/>
      <c r="K40" s="85">
        <v>85</v>
      </c>
      <c r="L40" s="86"/>
      <c r="M40" s="84">
        <v>78</v>
      </c>
      <c r="N40" s="85"/>
      <c r="O40" s="85">
        <v>77</v>
      </c>
      <c r="P40" s="85"/>
      <c r="Q40" s="85">
        <v>76</v>
      </c>
      <c r="R40" s="85"/>
      <c r="S40" s="85">
        <v>79</v>
      </c>
      <c r="T40" s="86"/>
      <c r="U40" s="84">
        <v>80</v>
      </c>
      <c r="V40" s="85"/>
      <c r="W40" s="85">
        <v>80</v>
      </c>
      <c r="X40" s="85"/>
      <c r="Y40" s="85">
        <v>80</v>
      </c>
      <c r="Z40" s="85"/>
      <c r="AA40" s="85">
        <v>84</v>
      </c>
      <c r="AB40" s="86"/>
      <c r="AC40" s="84">
        <v>82</v>
      </c>
      <c r="AD40" s="85"/>
      <c r="AE40" s="85">
        <v>80</v>
      </c>
      <c r="AF40" s="85"/>
      <c r="AG40" s="85">
        <v>80</v>
      </c>
      <c r="AH40" s="85"/>
      <c r="AI40" s="85">
        <v>82</v>
      </c>
      <c r="AJ40" s="3"/>
      <c r="AK40" s="44">
        <f t="shared" si="4"/>
        <v>82.75</v>
      </c>
      <c r="AL40" s="45">
        <f t="shared" si="5"/>
        <v>77.5</v>
      </c>
      <c r="AM40" s="46">
        <f t="shared" si="6"/>
        <v>81</v>
      </c>
      <c r="AN40" s="47">
        <f t="shared" si="7"/>
        <v>81</v>
      </c>
      <c r="AO40" s="48">
        <f t="shared" si="8"/>
        <v>80.5625</v>
      </c>
      <c r="AP40" s="37"/>
      <c r="AR40" s="54" t="str">
        <f t="shared" si="9"/>
        <v/>
      </c>
      <c r="AS40" s="20"/>
      <c r="AT40" s="56">
        <f t="shared" si="10"/>
        <v>0</v>
      </c>
      <c r="AU40" s="57" t="str">
        <f t="shared" si="11"/>
        <v/>
      </c>
      <c r="AV40" s="54" t="str">
        <f t="shared" si="12"/>
        <v/>
      </c>
      <c r="AW40" s="20"/>
      <c r="AX40" s="56">
        <f t="shared" si="13"/>
        <v>0</v>
      </c>
      <c r="AY40" s="60" t="str">
        <f t="shared" si="14"/>
        <v/>
      </c>
      <c r="AZ40" s="54" t="str">
        <f t="shared" si="15"/>
        <v/>
      </c>
      <c r="BA40" s="21"/>
      <c r="BB40" s="62">
        <f t="shared" si="16"/>
        <v>80.5625</v>
      </c>
      <c r="BC40" s="64" t="str">
        <f t="shared" si="17"/>
        <v/>
      </c>
      <c r="BE40" s="20">
        <f t="shared" si="18"/>
        <v>80</v>
      </c>
      <c r="BF40" s="20">
        <f t="shared" si="19"/>
        <v>80.25</v>
      </c>
      <c r="BG40" s="89">
        <f t="shared" si="20"/>
        <v>79.5</v>
      </c>
      <c r="BH40" s="20">
        <f t="shared" si="21"/>
        <v>82.5</v>
      </c>
      <c r="BI40" s="20">
        <f t="shared" si="22"/>
        <v>80.5625</v>
      </c>
    </row>
    <row r="41" spans="1:61" x14ac:dyDescent="0.2">
      <c r="A41" s="29">
        <v>39</v>
      </c>
      <c r="B41" s="88" t="s">
        <v>150</v>
      </c>
      <c r="C41" s="69" t="s">
        <v>107</v>
      </c>
      <c r="D41" s="69" t="s">
        <v>108</v>
      </c>
      <c r="E41" s="84">
        <v>81</v>
      </c>
      <c r="F41" s="85"/>
      <c r="G41" s="85">
        <v>75</v>
      </c>
      <c r="H41" s="85"/>
      <c r="I41" s="85">
        <v>77</v>
      </c>
      <c r="J41" s="85"/>
      <c r="K41" s="85">
        <v>85</v>
      </c>
      <c r="L41" s="86"/>
      <c r="M41" s="84">
        <v>85</v>
      </c>
      <c r="N41" s="85"/>
      <c r="O41" s="85">
        <v>70</v>
      </c>
      <c r="P41" s="85"/>
      <c r="Q41" s="85">
        <v>78</v>
      </c>
      <c r="R41" s="85"/>
      <c r="S41" s="85">
        <v>70</v>
      </c>
      <c r="T41" s="86"/>
      <c r="U41" s="84">
        <v>87</v>
      </c>
      <c r="V41" s="85"/>
      <c r="W41" s="85">
        <v>75</v>
      </c>
      <c r="X41" s="85"/>
      <c r="Y41" s="85">
        <v>80</v>
      </c>
      <c r="Z41" s="85"/>
      <c r="AA41" s="85">
        <v>82</v>
      </c>
      <c r="AB41" s="86"/>
      <c r="AC41" s="84">
        <v>80</v>
      </c>
      <c r="AD41" s="85"/>
      <c r="AE41" s="85">
        <v>75</v>
      </c>
      <c r="AF41" s="85"/>
      <c r="AG41" s="85">
        <v>85</v>
      </c>
      <c r="AH41" s="85"/>
      <c r="AI41" s="85">
        <v>84</v>
      </c>
      <c r="AJ41" s="3"/>
      <c r="AK41" s="44">
        <f t="shared" si="4"/>
        <v>79.5</v>
      </c>
      <c r="AL41" s="45">
        <f t="shared" si="5"/>
        <v>75.75</v>
      </c>
      <c r="AM41" s="46">
        <f t="shared" si="6"/>
        <v>81</v>
      </c>
      <c r="AN41" s="47">
        <f t="shared" si="7"/>
        <v>81</v>
      </c>
      <c r="AO41" s="48">
        <f t="shared" si="8"/>
        <v>79.3125</v>
      </c>
      <c r="AP41" s="37"/>
      <c r="AR41" s="54" t="str">
        <f t="shared" si="9"/>
        <v/>
      </c>
      <c r="AS41" s="20"/>
      <c r="AT41" s="56">
        <f t="shared" si="10"/>
        <v>0</v>
      </c>
      <c r="AU41" s="57" t="str">
        <f t="shared" si="11"/>
        <v/>
      </c>
      <c r="AV41" s="54" t="str">
        <f t="shared" si="12"/>
        <v/>
      </c>
      <c r="AW41" s="20"/>
      <c r="AX41" s="56">
        <f t="shared" si="13"/>
        <v>0</v>
      </c>
      <c r="AY41" s="60" t="str">
        <f t="shared" si="14"/>
        <v/>
      </c>
      <c r="AZ41" s="54" t="str">
        <f t="shared" si="15"/>
        <v/>
      </c>
      <c r="BA41" s="21"/>
      <c r="BB41" s="62">
        <f t="shared" si="16"/>
        <v>79.3125</v>
      </c>
      <c r="BC41" s="64" t="str">
        <f t="shared" si="17"/>
        <v/>
      </c>
      <c r="BE41" s="20">
        <f t="shared" si="18"/>
        <v>83.25</v>
      </c>
      <c r="BF41" s="20">
        <f t="shared" si="19"/>
        <v>73.75</v>
      </c>
      <c r="BG41" s="89">
        <f t="shared" si="20"/>
        <v>80</v>
      </c>
      <c r="BH41" s="20">
        <f t="shared" si="21"/>
        <v>80.25</v>
      </c>
      <c r="BI41" s="20">
        <f t="shared" si="22"/>
        <v>79.3125</v>
      </c>
    </row>
    <row r="42" spans="1:61" x14ac:dyDescent="0.2">
      <c r="A42" s="29">
        <v>40</v>
      </c>
      <c r="B42" s="88" t="s">
        <v>151</v>
      </c>
      <c r="C42" s="70" t="s">
        <v>109</v>
      </c>
      <c r="D42" s="70" t="s">
        <v>110</v>
      </c>
      <c r="E42" s="84">
        <v>0</v>
      </c>
      <c r="F42" s="19">
        <v>60</v>
      </c>
      <c r="G42" s="19">
        <v>60</v>
      </c>
      <c r="H42" s="20"/>
      <c r="I42" s="20">
        <v>65</v>
      </c>
      <c r="J42" s="20"/>
      <c r="K42" s="20">
        <v>63</v>
      </c>
      <c r="L42" s="20"/>
      <c r="M42" s="20">
        <v>68</v>
      </c>
      <c r="N42" s="19">
        <v>60</v>
      </c>
      <c r="O42" s="19">
        <v>60</v>
      </c>
      <c r="P42" s="20"/>
      <c r="Q42" s="20">
        <v>65</v>
      </c>
      <c r="R42" s="20"/>
      <c r="S42" s="20">
        <v>63</v>
      </c>
      <c r="T42" s="20"/>
      <c r="U42" s="20">
        <v>68</v>
      </c>
      <c r="V42" s="19">
        <v>60</v>
      </c>
      <c r="W42" s="19">
        <v>60</v>
      </c>
      <c r="X42" s="20"/>
      <c r="Y42" s="20">
        <v>65</v>
      </c>
      <c r="Z42" s="20"/>
      <c r="AA42" s="20">
        <v>63</v>
      </c>
      <c r="AB42" s="20"/>
      <c r="AC42" s="20">
        <v>68</v>
      </c>
      <c r="AD42" s="19">
        <v>60</v>
      </c>
      <c r="AE42" s="19">
        <v>60</v>
      </c>
      <c r="AF42" s="20"/>
      <c r="AG42" s="20">
        <v>65</v>
      </c>
      <c r="AH42" s="20"/>
      <c r="AI42" s="20">
        <v>63</v>
      </c>
      <c r="AJ42" s="3"/>
      <c r="AK42" s="44">
        <f t="shared" si="4"/>
        <v>15</v>
      </c>
      <c r="AL42" s="45">
        <f t="shared" si="5"/>
        <v>15</v>
      </c>
      <c r="AM42" s="46">
        <f t="shared" si="6"/>
        <v>15</v>
      </c>
      <c r="AN42" s="47">
        <f t="shared" si="7"/>
        <v>48.25</v>
      </c>
      <c r="AO42" s="48">
        <f t="shared" si="8"/>
        <v>23.3125</v>
      </c>
      <c r="AP42" s="37"/>
      <c r="AR42" s="54">
        <f t="shared" si="9"/>
        <v>11.65625</v>
      </c>
      <c r="AS42" s="20"/>
      <c r="AT42" s="56">
        <f t="shared" si="10"/>
        <v>0</v>
      </c>
      <c r="AU42" s="57" t="str">
        <f t="shared" si="11"/>
        <v/>
      </c>
      <c r="AV42" s="54" t="str">
        <f t="shared" si="12"/>
        <v/>
      </c>
      <c r="AW42" s="20"/>
      <c r="AX42" s="56">
        <f t="shared" si="13"/>
        <v>0</v>
      </c>
      <c r="AY42" s="60" t="str">
        <f t="shared" si="14"/>
        <v/>
      </c>
      <c r="AZ42" s="54" t="str">
        <f t="shared" si="15"/>
        <v/>
      </c>
      <c r="BA42" s="21"/>
      <c r="BB42" s="62" t="str">
        <f t="shared" si="16"/>
        <v/>
      </c>
      <c r="BC42" s="64">
        <f t="shared" si="17"/>
        <v>23.3125</v>
      </c>
      <c r="BE42" s="20">
        <f t="shared" si="18"/>
        <v>51</v>
      </c>
      <c r="BF42" s="20">
        <f t="shared" si="19"/>
        <v>60</v>
      </c>
      <c r="BG42" s="89">
        <f t="shared" si="20"/>
        <v>65</v>
      </c>
      <c r="BH42" s="20">
        <f t="shared" si="21"/>
        <v>63</v>
      </c>
      <c r="BI42" s="20">
        <f t="shared" si="22"/>
        <v>59.75</v>
      </c>
    </row>
    <row r="43" spans="1:61" x14ac:dyDescent="0.2">
      <c r="A43" s="29">
        <v>41</v>
      </c>
      <c r="B43" s="88" t="s">
        <v>152</v>
      </c>
      <c r="C43" s="67"/>
      <c r="D43" s="67"/>
      <c r="E43" s="19"/>
      <c r="F43" s="20"/>
      <c r="G43" s="20"/>
      <c r="H43" s="20"/>
      <c r="I43" s="20"/>
      <c r="J43" s="20"/>
      <c r="K43" s="20"/>
      <c r="L43" s="21"/>
      <c r="M43" s="19"/>
      <c r="N43" s="20"/>
      <c r="O43" s="20"/>
      <c r="P43" s="20"/>
      <c r="Q43" s="20"/>
      <c r="R43" s="20"/>
      <c r="S43" s="20"/>
      <c r="T43" s="3"/>
      <c r="U43" s="19"/>
      <c r="V43" s="20"/>
      <c r="W43" s="20"/>
      <c r="X43" s="20"/>
      <c r="Y43" s="20"/>
      <c r="Z43" s="20"/>
      <c r="AA43" s="20"/>
      <c r="AB43" s="21"/>
      <c r="AC43" s="1"/>
      <c r="AD43" s="20"/>
      <c r="AE43" s="20"/>
      <c r="AF43" s="20"/>
      <c r="AG43" s="20"/>
      <c r="AH43" s="20"/>
      <c r="AI43" s="20"/>
      <c r="AJ43" s="3"/>
      <c r="AK43" s="44">
        <f t="shared" si="4"/>
        <v>0</v>
      </c>
      <c r="AL43" s="45">
        <f t="shared" si="5"/>
        <v>0</v>
      </c>
      <c r="AM43" s="46">
        <f t="shared" si="6"/>
        <v>0</v>
      </c>
      <c r="AN43" s="47">
        <f t="shared" si="7"/>
        <v>0</v>
      </c>
      <c r="AO43" s="48">
        <f t="shared" si="8"/>
        <v>0</v>
      </c>
      <c r="AP43" s="37"/>
      <c r="AR43" s="54">
        <f t="shared" si="9"/>
        <v>0</v>
      </c>
      <c r="AS43" s="20"/>
      <c r="AT43" s="56">
        <f t="shared" si="10"/>
        <v>0</v>
      </c>
      <c r="AU43" s="57" t="str">
        <f t="shared" si="11"/>
        <v/>
      </c>
      <c r="AV43" s="54" t="str">
        <f t="shared" si="12"/>
        <v/>
      </c>
      <c r="AW43" s="20"/>
      <c r="AX43" s="56">
        <f t="shared" si="13"/>
        <v>0</v>
      </c>
      <c r="AY43" s="60" t="str">
        <f t="shared" si="14"/>
        <v/>
      </c>
      <c r="AZ43" s="54" t="str">
        <f t="shared" si="15"/>
        <v/>
      </c>
      <c r="BA43" s="21"/>
      <c r="BB43" s="62" t="str">
        <f t="shared" si="16"/>
        <v/>
      </c>
      <c r="BC43" s="64">
        <f t="shared" si="17"/>
        <v>0</v>
      </c>
      <c r="BE43" s="20">
        <f t="shared" si="18"/>
        <v>0</v>
      </c>
      <c r="BF43" s="20">
        <f t="shared" si="19"/>
        <v>0</v>
      </c>
      <c r="BG43" s="89">
        <f t="shared" si="20"/>
        <v>0</v>
      </c>
      <c r="BH43" s="20">
        <f t="shared" si="21"/>
        <v>0</v>
      </c>
      <c r="BI43" s="20">
        <f t="shared" si="22"/>
        <v>0</v>
      </c>
    </row>
    <row r="44" spans="1:61" x14ac:dyDescent="0.2">
      <c r="A44" s="29">
        <v>42</v>
      </c>
      <c r="B44" s="88" t="s">
        <v>153</v>
      </c>
      <c r="C44" s="68"/>
      <c r="D44" s="68"/>
      <c r="E44" s="19"/>
      <c r="F44" s="20"/>
      <c r="G44" s="20"/>
      <c r="H44" s="20"/>
      <c r="I44" s="20"/>
      <c r="J44" s="20"/>
      <c r="K44" s="20"/>
      <c r="L44" s="21"/>
      <c r="M44" s="19"/>
      <c r="N44" s="20"/>
      <c r="O44" s="20"/>
      <c r="P44" s="20"/>
      <c r="Q44" s="20"/>
      <c r="R44" s="20"/>
      <c r="S44" s="20"/>
      <c r="T44" s="3"/>
      <c r="U44" s="19"/>
      <c r="V44" s="20"/>
      <c r="W44" s="20"/>
      <c r="X44" s="20"/>
      <c r="Y44" s="20"/>
      <c r="Z44" s="20"/>
      <c r="AA44" s="20"/>
      <c r="AB44" s="21"/>
      <c r="AC44" s="1"/>
      <c r="AD44" s="20"/>
      <c r="AE44" s="20"/>
      <c r="AF44" s="20"/>
      <c r="AG44" s="20"/>
      <c r="AH44" s="20"/>
      <c r="AI44" s="20"/>
      <c r="AJ44" s="3"/>
      <c r="AK44" s="44">
        <f t="shared" si="4"/>
        <v>0</v>
      </c>
      <c r="AL44" s="45">
        <f t="shared" si="5"/>
        <v>0</v>
      </c>
      <c r="AM44" s="46">
        <f t="shared" si="6"/>
        <v>0</v>
      </c>
      <c r="AN44" s="47">
        <f t="shared" si="7"/>
        <v>0</v>
      </c>
      <c r="AO44" s="48">
        <f t="shared" si="8"/>
        <v>0</v>
      </c>
      <c r="AP44" s="37"/>
      <c r="AR44" s="54">
        <f t="shared" si="9"/>
        <v>0</v>
      </c>
      <c r="AS44" s="20"/>
      <c r="AT44" s="56">
        <f t="shared" si="10"/>
        <v>0</v>
      </c>
      <c r="AU44" s="57" t="str">
        <f t="shared" si="11"/>
        <v/>
      </c>
      <c r="AV44" s="54" t="str">
        <f t="shared" si="12"/>
        <v/>
      </c>
      <c r="AW44" s="20"/>
      <c r="AX44" s="56">
        <f t="shared" si="13"/>
        <v>0</v>
      </c>
      <c r="AY44" s="60" t="str">
        <f t="shared" si="14"/>
        <v/>
      </c>
      <c r="AZ44" s="54" t="str">
        <f t="shared" si="15"/>
        <v/>
      </c>
      <c r="BA44" s="21"/>
      <c r="BB44" s="62" t="str">
        <f t="shared" si="16"/>
        <v/>
      </c>
      <c r="BC44" s="64">
        <f t="shared" si="17"/>
        <v>0</v>
      </c>
      <c r="BE44" s="20">
        <f t="shared" si="18"/>
        <v>0</v>
      </c>
      <c r="BF44" s="20">
        <f t="shared" si="19"/>
        <v>0</v>
      </c>
      <c r="BG44" s="89">
        <f t="shared" si="20"/>
        <v>0</v>
      </c>
      <c r="BH44" s="20">
        <f t="shared" si="21"/>
        <v>0</v>
      </c>
      <c r="BI44" s="20">
        <f t="shared" si="22"/>
        <v>0</v>
      </c>
    </row>
    <row r="45" spans="1:61" x14ac:dyDescent="0.2">
      <c r="A45" s="29">
        <v>43</v>
      </c>
      <c r="B45" s="88" t="s">
        <v>154</v>
      </c>
      <c r="C45" s="22"/>
      <c r="D45" s="24"/>
      <c r="E45" s="19"/>
      <c r="F45" s="20"/>
      <c r="G45" s="20"/>
      <c r="H45" s="20"/>
      <c r="I45" s="20"/>
      <c r="J45" s="20"/>
      <c r="K45" s="20"/>
      <c r="L45" s="21"/>
      <c r="M45" s="19"/>
      <c r="N45" s="20"/>
      <c r="O45" s="20"/>
      <c r="P45" s="20"/>
      <c r="Q45" s="20"/>
      <c r="R45" s="20"/>
      <c r="S45" s="20"/>
      <c r="T45" s="3"/>
      <c r="U45" s="19"/>
      <c r="V45" s="20"/>
      <c r="W45" s="20"/>
      <c r="X45" s="20"/>
      <c r="Y45" s="20"/>
      <c r="Z45" s="20"/>
      <c r="AA45" s="20"/>
      <c r="AB45" s="21"/>
      <c r="AC45" s="1"/>
      <c r="AD45" s="20"/>
      <c r="AE45" s="20"/>
      <c r="AF45" s="20"/>
      <c r="AG45" s="20"/>
      <c r="AH45" s="20"/>
      <c r="AI45" s="20"/>
      <c r="AJ45" s="3"/>
      <c r="AK45" s="44">
        <f t="shared" si="4"/>
        <v>0</v>
      </c>
      <c r="AL45" s="45">
        <f t="shared" si="5"/>
        <v>0</v>
      </c>
      <c r="AM45" s="46">
        <f t="shared" si="6"/>
        <v>0</v>
      </c>
      <c r="AN45" s="47">
        <f t="shared" si="7"/>
        <v>0</v>
      </c>
      <c r="AO45" s="48">
        <f t="shared" si="8"/>
        <v>0</v>
      </c>
      <c r="AP45" s="37"/>
      <c r="AR45" s="54">
        <f t="shared" si="9"/>
        <v>0</v>
      </c>
      <c r="AS45" s="20"/>
      <c r="AT45" s="56">
        <f t="shared" si="10"/>
        <v>0</v>
      </c>
      <c r="AU45" s="57" t="str">
        <f t="shared" si="11"/>
        <v/>
      </c>
      <c r="AV45" s="54" t="str">
        <f t="shared" si="12"/>
        <v/>
      </c>
      <c r="AW45" s="20"/>
      <c r="AX45" s="56">
        <f t="shared" si="13"/>
        <v>0</v>
      </c>
      <c r="AY45" s="60" t="str">
        <f t="shared" si="14"/>
        <v/>
      </c>
      <c r="AZ45" s="54" t="str">
        <f t="shared" si="15"/>
        <v/>
      </c>
      <c r="BA45" s="21"/>
      <c r="BB45" s="62" t="str">
        <f t="shared" si="16"/>
        <v/>
      </c>
      <c r="BC45" s="64">
        <f t="shared" si="17"/>
        <v>0</v>
      </c>
      <c r="BE45" s="20">
        <f t="shared" si="18"/>
        <v>0</v>
      </c>
      <c r="BF45" s="20">
        <f t="shared" si="19"/>
        <v>0</v>
      </c>
      <c r="BG45" s="89">
        <f t="shared" si="20"/>
        <v>0</v>
      </c>
      <c r="BH45" s="20">
        <f t="shared" si="21"/>
        <v>0</v>
      </c>
      <c r="BI45" s="20">
        <f t="shared" si="22"/>
        <v>0</v>
      </c>
    </row>
    <row r="46" spans="1:61" x14ac:dyDescent="0.2">
      <c r="A46" s="29">
        <v>44</v>
      </c>
      <c r="B46" s="88" t="s">
        <v>155</v>
      </c>
      <c r="C46" s="22"/>
      <c r="D46" s="24"/>
      <c r="E46" s="19"/>
      <c r="F46" s="20"/>
      <c r="G46" s="20"/>
      <c r="H46" s="20"/>
      <c r="I46" s="20"/>
      <c r="J46" s="20"/>
      <c r="K46" s="20"/>
      <c r="L46" s="21"/>
      <c r="M46" s="19"/>
      <c r="N46" s="20"/>
      <c r="O46" s="20"/>
      <c r="P46" s="20"/>
      <c r="Q46" s="20"/>
      <c r="R46" s="20"/>
      <c r="S46" s="20"/>
      <c r="T46" s="3"/>
      <c r="U46" s="19"/>
      <c r="V46" s="20"/>
      <c r="W46" s="20"/>
      <c r="X46" s="20"/>
      <c r="Y46" s="20"/>
      <c r="Z46" s="20"/>
      <c r="AA46" s="20"/>
      <c r="AB46" s="21"/>
      <c r="AC46" s="1"/>
      <c r="AD46" s="20"/>
      <c r="AE46" s="20"/>
      <c r="AF46" s="20"/>
      <c r="AG46" s="20"/>
      <c r="AH46" s="20"/>
      <c r="AI46" s="20"/>
      <c r="AJ46" s="3"/>
      <c r="AK46" s="44">
        <f t="shared" si="4"/>
        <v>0</v>
      </c>
      <c r="AL46" s="45">
        <f t="shared" si="5"/>
        <v>0</v>
      </c>
      <c r="AM46" s="46">
        <f t="shared" si="6"/>
        <v>0</v>
      </c>
      <c r="AN46" s="47">
        <f t="shared" si="7"/>
        <v>0</v>
      </c>
      <c r="AO46" s="48">
        <f t="shared" si="8"/>
        <v>0</v>
      </c>
      <c r="AP46" s="37"/>
      <c r="AR46" s="54">
        <f t="shared" si="9"/>
        <v>0</v>
      </c>
      <c r="AS46" s="20"/>
      <c r="AT46" s="56">
        <f t="shared" si="10"/>
        <v>0</v>
      </c>
      <c r="AU46" s="57" t="str">
        <f t="shared" si="11"/>
        <v/>
      </c>
      <c r="AV46" s="54" t="str">
        <f t="shared" si="12"/>
        <v/>
      </c>
      <c r="AW46" s="20"/>
      <c r="AX46" s="56">
        <f t="shared" si="13"/>
        <v>0</v>
      </c>
      <c r="AY46" s="60" t="str">
        <f t="shared" si="14"/>
        <v/>
      </c>
      <c r="AZ46" s="54" t="str">
        <f t="shared" si="15"/>
        <v/>
      </c>
      <c r="BA46" s="21"/>
      <c r="BB46" s="62" t="str">
        <f t="shared" si="16"/>
        <v/>
      </c>
      <c r="BC46" s="64">
        <f t="shared" si="17"/>
        <v>0</v>
      </c>
      <c r="BE46" s="20">
        <f t="shared" si="18"/>
        <v>0</v>
      </c>
      <c r="BF46" s="20">
        <f t="shared" si="19"/>
        <v>0</v>
      </c>
      <c r="BG46" s="89">
        <f t="shared" si="20"/>
        <v>0</v>
      </c>
      <c r="BH46" s="20">
        <f t="shared" si="21"/>
        <v>0</v>
      </c>
      <c r="BI46" s="20">
        <f t="shared" si="22"/>
        <v>0</v>
      </c>
    </row>
    <row r="47" spans="1:61" ht="16" thickBot="1" x14ac:dyDescent="0.25">
      <c r="A47" s="30">
        <v>45</v>
      </c>
      <c r="B47" s="88" t="s">
        <v>156</v>
      </c>
      <c r="C47" s="23"/>
      <c r="D47" s="25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4"/>
      <c r="U47" s="31"/>
      <c r="V47" s="32"/>
      <c r="W47" s="32"/>
      <c r="X47" s="32"/>
      <c r="Y47" s="32"/>
      <c r="Z47" s="32"/>
      <c r="AA47" s="32"/>
      <c r="AB47" s="33"/>
      <c r="AC47" s="5"/>
      <c r="AD47" s="32"/>
      <c r="AE47" s="32"/>
      <c r="AF47" s="32"/>
      <c r="AG47" s="32"/>
      <c r="AH47" s="32"/>
      <c r="AI47" s="32"/>
      <c r="AJ47" s="4"/>
      <c r="AK47" s="49">
        <f t="shared" si="4"/>
        <v>0</v>
      </c>
      <c r="AL47" s="50">
        <f t="shared" si="5"/>
        <v>0</v>
      </c>
      <c r="AM47" s="51">
        <f t="shared" si="6"/>
        <v>0</v>
      </c>
      <c r="AN47" s="52">
        <f t="shared" si="7"/>
        <v>0</v>
      </c>
      <c r="AO47" s="53">
        <f t="shared" si="8"/>
        <v>0</v>
      </c>
      <c r="AP47" s="38"/>
      <c r="AR47" s="55">
        <f t="shared" si="9"/>
        <v>0</v>
      </c>
      <c r="AS47" s="32"/>
      <c r="AT47" s="58">
        <f t="shared" si="10"/>
        <v>0</v>
      </c>
      <c r="AU47" s="59" t="str">
        <f t="shared" si="11"/>
        <v/>
      </c>
      <c r="AV47" s="55" t="str">
        <f t="shared" si="12"/>
        <v/>
      </c>
      <c r="AW47" s="32"/>
      <c r="AX47" s="58">
        <f t="shared" si="13"/>
        <v>0</v>
      </c>
      <c r="AY47" s="61" t="str">
        <f t="shared" si="14"/>
        <v/>
      </c>
      <c r="AZ47" s="55" t="str">
        <f t="shared" si="15"/>
        <v/>
      </c>
      <c r="BA47" s="33"/>
      <c r="BB47" s="65" t="str">
        <f t="shared" si="16"/>
        <v/>
      </c>
      <c r="BC47" s="66">
        <f t="shared" si="17"/>
        <v>0</v>
      </c>
      <c r="BE47" s="20">
        <f t="shared" si="18"/>
        <v>0</v>
      </c>
      <c r="BF47" s="20">
        <f t="shared" si="19"/>
        <v>0</v>
      </c>
      <c r="BG47" s="89">
        <f t="shared" si="20"/>
        <v>0</v>
      </c>
      <c r="BH47" s="20">
        <f t="shared" si="21"/>
        <v>0</v>
      </c>
      <c r="BI47" s="20">
        <f t="shared" si="22"/>
        <v>0</v>
      </c>
    </row>
  </sheetData>
  <mergeCells count="26">
    <mergeCell ref="AN1:AN2"/>
    <mergeCell ref="AR1:AR2"/>
    <mergeCell ref="AS1:AS2"/>
    <mergeCell ref="U1:AB1"/>
    <mergeCell ref="AC1:AJ1"/>
    <mergeCell ref="AK1:AK2"/>
    <mergeCell ref="AL1:AL2"/>
    <mergeCell ref="AM1:AM2"/>
    <mergeCell ref="AO1:AO2"/>
    <mergeCell ref="AP1:AP2"/>
    <mergeCell ref="A1:A2"/>
    <mergeCell ref="C1:C2"/>
    <mergeCell ref="D1:D2"/>
    <mergeCell ref="E1:L1"/>
    <mergeCell ref="M1:T1"/>
    <mergeCell ref="B1:B2"/>
    <mergeCell ref="AZ1:AZ2"/>
    <mergeCell ref="BA1:BA2"/>
    <mergeCell ref="BB1:BB2"/>
    <mergeCell ref="BC1:BC2"/>
    <mergeCell ref="AT1:AT2"/>
    <mergeCell ref="AU1:AU2"/>
    <mergeCell ref="AV1:AV2"/>
    <mergeCell ref="AW1:AW2"/>
    <mergeCell ref="AX1:AX2"/>
    <mergeCell ref="AY1:AY2"/>
  </mergeCells>
  <conditionalFormatting sqref="E3 AJ3">
    <cfRule type="cellIs" dxfId="385" priority="93" operator="lessThan">
      <formula>70</formula>
    </cfRule>
  </conditionalFormatting>
  <conditionalFormatting sqref="G4:L11 G13:L15 G17:L22 G28:L30 G26:L26 G32:L33">
    <cfRule type="cellIs" dxfId="384" priority="96" operator="lessThan">
      <formula>70</formula>
    </cfRule>
  </conditionalFormatting>
  <conditionalFormatting sqref="O4:AB11 O13:AB15 O17:AB22 O28:AB30 O26:AB26 O32:AB33">
    <cfRule type="cellIs" dxfId="383" priority="95" operator="lessThan">
      <formula>70</formula>
    </cfRule>
  </conditionalFormatting>
  <conditionalFormatting sqref="AE4:AJ11 AE13:AJ15 AE17:AJ22 AE28:AJ30 AE26:AJ26 AE32:AJ33 AJ31">
    <cfRule type="cellIs" dxfId="382" priority="94" operator="lessThan">
      <formula>70</formula>
    </cfRule>
  </conditionalFormatting>
  <conditionalFormatting sqref="AK3:AP47 E4:F11 M4:N11 AC4:AD11 E34:AJ38 AC13:AD15 M13:N15 M17:N22 AC17:AD22 AC28:AD30 M28:N30 AC26:AD26 M26:N26 E26:F26 E23:E25 E17:F22 E16 E13:F15 E12 E43:AJ47 E42 AJ42 E40:AJ41 E39 AJ39 E32:F33 E31 M32:N33 AC32:AD33 E28:F30 E27">
    <cfRule type="cellIs" dxfId="381" priority="99" operator="lessThan">
      <formula>70</formula>
    </cfRule>
  </conditionalFormatting>
  <conditionalFormatting sqref="AR3:AR47">
    <cfRule type="cellIs" dxfId="380" priority="97" operator="lessThan">
      <formula>70</formula>
    </cfRule>
  </conditionalFormatting>
  <conditionalFormatting sqref="AR3:AY47">
    <cfRule type="cellIs" dxfId="379" priority="98" operator="lessThan">
      <formula>70</formula>
    </cfRule>
  </conditionalFormatting>
  <conditionalFormatting sqref="AZ3:AZ47">
    <cfRule type="cellIs" dxfId="378" priority="92" operator="lessThan">
      <formula>70</formula>
    </cfRule>
  </conditionalFormatting>
  <conditionalFormatting sqref="F3:H3 N3:P3 AD3:AF3">
    <cfRule type="cellIs" dxfId="98" priority="91" operator="lessThan">
      <formula>70</formula>
    </cfRule>
  </conditionalFormatting>
  <conditionalFormatting sqref="H3:M3">
    <cfRule type="cellIs" dxfId="97" priority="90" operator="lessThan">
      <formula>70</formula>
    </cfRule>
  </conditionalFormatting>
  <conditionalFormatting sqref="V3">
    <cfRule type="cellIs" dxfId="96" priority="89" operator="lessThan">
      <formula>70</formula>
    </cfRule>
  </conditionalFormatting>
  <conditionalFormatting sqref="P3:U3">
    <cfRule type="cellIs" dxfId="95" priority="88" operator="lessThan">
      <formula>70</formula>
    </cfRule>
  </conditionalFormatting>
  <conditionalFormatting sqref="W3:X3">
    <cfRule type="cellIs" dxfId="94" priority="87" operator="lessThan">
      <formula>70</formula>
    </cfRule>
  </conditionalFormatting>
  <conditionalFormatting sqref="X3:AC3">
    <cfRule type="cellIs" dxfId="93" priority="86" operator="lessThan">
      <formula>70</formula>
    </cfRule>
  </conditionalFormatting>
  <conditionalFormatting sqref="AF3:AI3">
    <cfRule type="cellIs" dxfId="92" priority="85" operator="lessThan">
      <formula>70</formula>
    </cfRule>
  </conditionalFormatting>
  <conditionalFormatting sqref="AJ12">
    <cfRule type="cellIs" dxfId="85" priority="78" operator="lessThan">
      <formula>70</formula>
    </cfRule>
  </conditionalFormatting>
  <conditionalFormatting sqref="AJ16">
    <cfRule type="cellIs" dxfId="78" priority="71" operator="lessThan">
      <formula>70</formula>
    </cfRule>
  </conditionalFormatting>
  <conditionalFormatting sqref="AJ27">
    <cfRule type="cellIs" dxfId="71" priority="64" operator="lessThan">
      <formula>70</formula>
    </cfRule>
  </conditionalFormatting>
  <conditionalFormatting sqref="AJ23:AJ25">
    <cfRule type="cellIs" dxfId="64" priority="57" operator="lessThan">
      <formula>70</formula>
    </cfRule>
  </conditionalFormatting>
  <conditionalFormatting sqref="F23:H23 N23:P23 AD23:AF23">
    <cfRule type="cellIs" dxfId="63" priority="56" operator="lessThan">
      <formula>70</formula>
    </cfRule>
  </conditionalFormatting>
  <conditionalFormatting sqref="H23:M23">
    <cfRule type="cellIs" dxfId="62" priority="55" operator="lessThan">
      <formula>70</formula>
    </cfRule>
  </conditionalFormatting>
  <conditionalFormatting sqref="V23">
    <cfRule type="cellIs" dxfId="61" priority="54" operator="lessThan">
      <formula>70</formula>
    </cfRule>
  </conditionalFormatting>
  <conditionalFormatting sqref="P23:U23">
    <cfRule type="cellIs" dxfId="60" priority="53" operator="lessThan">
      <formula>70</formula>
    </cfRule>
  </conditionalFormatting>
  <conditionalFormatting sqref="W23:X23">
    <cfRule type="cellIs" dxfId="59" priority="52" operator="lessThan">
      <formula>70</formula>
    </cfRule>
  </conditionalFormatting>
  <conditionalFormatting sqref="X23:AC23">
    <cfRule type="cellIs" dxfId="58" priority="51" operator="lessThan">
      <formula>70</formula>
    </cfRule>
  </conditionalFormatting>
  <conditionalFormatting sqref="AF23:AI23">
    <cfRule type="cellIs" dxfId="57" priority="50" operator="lessThan">
      <formula>70</formula>
    </cfRule>
  </conditionalFormatting>
  <conditionalFormatting sqref="F24:H25 N24:P25 AD24:AF25">
    <cfRule type="cellIs" dxfId="56" priority="49" operator="lessThan">
      <formula>70</formula>
    </cfRule>
  </conditionalFormatting>
  <conditionalFormatting sqref="H24:M25">
    <cfRule type="cellIs" dxfId="55" priority="48" operator="lessThan">
      <formula>70</formula>
    </cfRule>
  </conditionalFormatting>
  <conditionalFormatting sqref="V24:V25">
    <cfRule type="cellIs" dxfId="54" priority="47" operator="lessThan">
      <formula>70</formula>
    </cfRule>
  </conditionalFormatting>
  <conditionalFormatting sqref="P24:U25">
    <cfRule type="cellIs" dxfId="53" priority="46" operator="lessThan">
      <formula>70</formula>
    </cfRule>
  </conditionalFormatting>
  <conditionalFormatting sqref="W24:X25">
    <cfRule type="cellIs" dxfId="52" priority="45" operator="lessThan">
      <formula>70</formula>
    </cfRule>
  </conditionalFormatting>
  <conditionalFormatting sqref="X24:AC25">
    <cfRule type="cellIs" dxfId="51" priority="44" operator="lessThan">
      <formula>70</formula>
    </cfRule>
  </conditionalFormatting>
  <conditionalFormatting sqref="AF24:AI25">
    <cfRule type="cellIs" dxfId="50" priority="43" operator="lessThan">
      <formula>70</formula>
    </cfRule>
  </conditionalFormatting>
  <conditionalFormatting sqref="F16:H16 N16:P16 AD16:AF16">
    <cfRule type="cellIs" dxfId="49" priority="42" operator="lessThan">
      <formula>70</formula>
    </cfRule>
  </conditionalFormatting>
  <conditionalFormatting sqref="H16:M16">
    <cfRule type="cellIs" dxfId="48" priority="41" operator="lessThan">
      <formula>70</formula>
    </cfRule>
  </conditionalFormatting>
  <conditionalFormatting sqref="V16">
    <cfRule type="cellIs" dxfId="47" priority="40" operator="lessThan">
      <formula>70</formula>
    </cfRule>
  </conditionalFormatting>
  <conditionalFormatting sqref="P16:U16">
    <cfRule type="cellIs" dxfId="46" priority="39" operator="lessThan">
      <formula>70</formula>
    </cfRule>
  </conditionalFormatting>
  <conditionalFormatting sqref="W16:X16">
    <cfRule type="cellIs" dxfId="45" priority="38" operator="lessThan">
      <formula>70</formula>
    </cfRule>
  </conditionalFormatting>
  <conditionalFormatting sqref="X16:AC16">
    <cfRule type="cellIs" dxfId="44" priority="37" operator="lessThan">
      <formula>70</formula>
    </cfRule>
  </conditionalFormatting>
  <conditionalFormatting sqref="AF16:AI16">
    <cfRule type="cellIs" dxfId="43" priority="36" operator="lessThan">
      <formula>70</formula>
    </cfRule>
  </conditionalFormatting>
  <conditionalFormatting sqref="F12:H12 N12:P12 AD12:AF12">
    <cfRule type="cellIs" dxfId="42" priority="35" operator="lessThan">
      <formula>70</formula>
    </cfRule>
  </conditionalFormatting>
  <conditionalFormatting sqref="H12:M12">
    <cfRule type="cellIs" dxfId="41" priority="34" operator="lessThan">
      <formula>70</formula>
    </cfRule>
  </conditionalFormatting>
  <conditionalFormatting sqref="V12">
    <cfRule type="cellIs" dxfId="40" priority="33" operator="lessThan">
      <formula>70</formula>
    </cfRule>
  </conditionalFormatting>
  <conditionalFormatting sqref="P12:U12">
    <cfRule type="cellIs" dxfId="39" priority="32" operator="lessThan">
      <formula>70</formula>
    </cfRule>
  </conditionalFormatting>
  <conditionalFormatting sqref="W12:X12">
    <cfRule type="cellIs" dxfId="38" priority="31" operator="lessThan">
      <formula>70</formula>
    </cfRule>
  </conditionalFormatting>
  <conditionalFormatting sqref="X12:AC12">
    <cfRule type="cellIs" dxfId="37" priority="30" operator="lessThan">
      <formula>70</formula>
    </cfRule>
  </conditionalFormatting>
  <conditionalFormatting sqref="AF12:AI12">
    <cfRule type="cellIs" dxfId="36" priority="29" operator="lessThan">
      <formula>70</formula>
    </cfRule>
  </conditionalFormatting>
  <conditionalFormatting sqref="F42:H42 N42:P42 AD42:AF42">
    <cfRule type="cellIs" dxfId="35" priority="28" operator="lessThan">
      <formula>70</formula>
    </cfRule>
  </conditionalFormatting>
  <conditionalFormatting sqref="H42:M42">
    <cfRule type="cellIs" dxfId="34" priority="27" operator="lessThan">
      <formula>70</formula>
    </cfRule>
  </conditionalFormatting>
  <conditionalFormatting sqref="V42">
    <cfRule type="cellIs" dxfId="33" priority="26" operator="lessThan">
      <formula>70</formula>
    </cfRule>
  </conditionalFormatting>
  <conditionalFormatting sqref="P42:U42">
    <cfRule type="cellIs" dxfId="32" priority="25" operator="lessThan">
      <formula>70</formula>
    </cfRule>
  </conditionalFormatting>
  <conditionalFormatting sqref="W42:X42">
    <cfRule type="cellIs" dxfId="31" priority="24" operator="lessThan">
      <formula>70</formula>
    </cfRule>
  </conditionalFormatting>
  <conditionalFormatting sqref="X42:AC42">
    <cfRule type="cellIs" dxfId="30" priority="23" operator="lessThan">
      <formula>70</formula>
    </cfRule>
  </conditionalFormatting>
  <conditionalFormatting sqref="AF42:AI42">
    <cfRule type="cellIs" dxfId="29" priority="22" operator="lessThan">
      <formula>70</formula>
    </cfRule>
  </conditionalFormatting>
  <conditionalFormatting sqref="F39:H39 N39:P39 AD39:AF39">
    <cfRule type="cellIs" dxfId="28" priority="21" operator="lessThan">
      <formula>70</formula>
    </cfRule>
  </conditionalFormatting>
  <conditionalFormatting sqref="H39:M39">
    <cfRule type="cellIs" dxfId="27" priority="20" operator="lessThan">
      <formula>70</formula>
    </cfRule>
  </conditionalFormatting>
  <conditionalFormatting sqref="V39">
    <cfRule type="cellIs" dxfId="26" priority="19" operator="lessThan">
      <formula>70</formula>
    </cfRule>
  </conditionalFormatting>
  <conditionalFormatting sqref="P39:U39">
    <cfRule type="cellIs" dxfId="25" priority="18" operator="lessThan">
      <formula>70</formula>
    </cfRule>
  </conditionalFormatting>
  <conditionalFormatting sqref="W39:X39">
    <cfRule type="cellIs" dxfId="24" priority="17" operator="lessThan">
      <formula>70</formula>
    </cfRule>
  </conditionalFormatting>
  <conditionalFormatting sqref="X39:AC39">
    <cfRule type="cellIs" dxfId="23" priority="16" operator="lessThan">
      <formula>70</formula>
    </cfRule>
  </conditionalFormatting>
  <conditionalFormatting sqref="AF39:AI39">
    <cfRule type="cellIs" dxfId="22" priority="15" operator="lessThan">
      <formula>70</formula>
    </cfRule>
  </conditionalFormatting>
  <conditionalFormatting sqref="F31:H31 N31:P31 AD31:AF31">
    <cfRule type="cellIs" dxfId="21" priority="14" operator="lessThan">
      <formula>70</formula>
    </cfRule>
  </conditionalFormatting>
  <conditionalFormatting sqref="H31:M31">
    <cfRule type="cellIs" dxfId="20" priority="13" operator="lessThan">
      <formula>70</formula>
    </cfRule>
  </conditionalFormatting>
  <conditionalFormatting sqref="V31">
    <cfRule type="cellIs" dxfId="19" priority="12" operator="lessThan">
      <formula>70</formula>
    </cfRule>
  </conditionalFormatting>
  <conditionalFormatting sqref="P31:U31">
    <cfRule type="cellIs" dxfId="18" priority="11" operator="lessThan">
      <formula>70</formula>
    </cfRule>
  </conditionalFormatting>
  <conditionalFormatting sqref="W31:X31">
    <cfRule type="cellIs" dxfId="17" priority="10" operator="lessThan">
      <formula>70</formula>
    </cfRule>
  </conditionalFormatting>
  <conditionalFormatting sqref="X31:AC31">
    <cfRule type="cellIs" dxfId="16" priority="9" operator="lessThan">
      <formula>70</formula>
    </cfRule>
  </conditionalFormatting>
  <conditionalFormatting sqref="AF31:AI31">
    <cfRule type="cellIs" dxfId="15" priority="8" operator="lessThan">
      <formula>70</formula>
    </cfRule>
  </conditionalFormatting>
  <conditionalFormatting sqref="F27:H27 N27:P27 AD27:AF27">
    <cfRule type="cellIs" dxfId="14" priority="7" operator="lessThan">
      <formula>70</formula>
    </cfRule>
  </conditionalFormatting>
  <conditionalFormatting sqref="H27:M27">
    <cfRule type="cellIs" dxfId="13" priority="6" operator="lessThan">
      <formula>70</formula>
    </cfRule>
  </conditionalFormatting>
  <conditionalFormatting sqref="V27">
    <cfRule type="cellIs" dxfId="12" priority="5" operator="lessThan">
      <formula>70</formula>
    </cfRule>
  </conditionalFormatting>
  <conditionalFormatting sqref="P27:U27">
    <cfRule type="cellIs" dxfId="11" priority="4" operator="lessThan">
      <formula>70</formula>
    </cfRule>
  </conditionalFormatting>
  <conditionalFormatting sqref="W27:X27">
    <cfRule type="cellIs" dxfId="10" priority="3" operator="lessThan">
      <formula>70</formula>
    </cfRule>
  </conditionalFormatting>
  <conditionalFormatting sqref="X27:AC27">
    <cfRule type="cellIs" dxfId="9" priority="2" operator="lessThan">
      <formula>70</formula>
    </cfRule>
  </conditionalFormatting>
  <conditionalFormatting sqref="AF27:AI27">
    <cfRule type="cellIs" dxfId="8" priority="1" operator="lessThan">
      <formula>70</formula>
    </cfRule>
  </conditionalFormatting>
  <dataValidations count="1">
    <dataValidation type="custom" allowBlank="1" showInputMessage="1" showErrorMessage="1" sqref="F3:AI3 F16:AJ16 F23:AJ25 F31:AI31 F12:AJ12 F42:AI42 F39:AI39 F27:AJ27" xr:uid="{1BEFF8A6-C150-1841-9D38-C3F491DD7922}">
      <formula1>ISNUMBER(F3:F52)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1:BI47"/>
  <sheetViews>
    <sheetView tabSelected="1" zoomScaleNormal="100" workbookViewId="0">
      <selection activeCell="W22" sqref="W22"/>
    </sheetView>
  </sheetViews>
  <sheetFormatPr baseColWidth="10" defaultColWidth="11.5" defaultRowHeight="15" x14ac:dyDescent="0.2"/>
  <cols>
    <col min="1" max="1" width="4" style="12" customWidth="1"/>
    <col min="2" max="2" width="17.1640625" style="12" customWidth="1"/>
    <col min="3" max="3" width="21.33203125" style="13" customWidth="1"/>
    <col min="4" max="4" width="19.83203125" style="13" customWidth="1"/>
    <col min="5" max="36" width="4.6640625" style="13" customWidth="1"/>
    <col min="37" max="43" width="5.83203125" style="13" customWidth="1"/>
    <col min="44" max="44" width="7.6640625" style="13" customWidth="1"/>
    <col min="45" max="46" width="5.83203125" style="13" customWidth="1"/>
    <col min="47" max="47" width="6.5" style="13" customWidth="1"/>
    <col min="48" max="51" width="5.83203125" style="13" customWidth="1"/>
    <col min="52" max="53" width="5.33203125" style="13" customWidth="1"/>
    <col min="54" max="55" width="6.1640625" style="13" customWidth="1"/>
    <col min="56" max="56" width="11.5" style="13"/>
    <col min="57" max="58" width="6.33203125" style="13" customWidth="1"/>
    <col min="59" max="59" width="6.33203125" customWidth="1"/>
    <col min="60" max="61" width="6.33203125" style="13" customWidth="1"/>
    <col min="62" max="16384" width="11.5" style="13"/>
  </cols>
  <sheetData>
    <row r="1" spans="1:61" x14ac:dyDescent="0.2">
      <c r="A1" s="105" t="s">
        <v>5</v>
      </c>
      <c r="B1" s="117" t="s">
        <v>111</v>
      </c>
      <c r="C1" s="107" t="s">
        <v>4</v>
      </c>
      <c r="D1" s="109" t="s">
        <v>10</v>
      </c>
      <c r="E1" s="111" t="s">
        <v>18</v>
      </c>
      <c r="F1" s="112"/>
      <c r="G1" s="112"/>
      <c r="H1" s="112"/>
      <c r="I1" s="112"/>
      <c r="J1" s="112"/>
      <c r="K1" s="112"/>
      <c r="L1" s="113"/>
      <c r="M1" s="114" t="s">
        <v>19</v>
      </c>
      <c r="N1" s="115"/>
      <c r="O1" s="115"/>
      <c r="P1" s="115"/>
      <c r="Q1" s="115"/>
      <c r="R1" s="115"/>
      <c r="S1" s="115"/>
      <c r="T1" s="116"/>
      <c r="U1" s="121" t="s">
        <v>20</v>
      </c>
      <c r="V1" s="122"/>
      <c r="W1" s="122"/>
      <c r="X1" s="122"/>
      <c r="Y1" s="122"/>
      <c r="Z1" s="122"/>
      <c r="AA1" s="122"/>
      <c r="AB1" s="123"/>
      <c r="AC1" s="124" t="s">
        <v>21</v>
      </c>
      <c r="AD1" s="125"/>
      <c r="AE1" s="125"/>
      <c r="AF1" s="125"/>
      <c r="AG1" s="125"/>
      <c r="AH1" s="125"/>
      <c r="AI1" s="125"/>
      <c r="AJ1" s="126"/>
      <c r="AK1" s="127" t="s">
        <v>22</v>
      </c>
      <c r="AL1" s="129" t="s">
        <v>23</v>
      </c>
      <c r="AM1" s="131" t="s">
        <v>24</v>
      </c>
      <c r="AN1" s="119" t="s">
        <v>25</v>
      </c>
      <c r="AO1" s="133"/>
      <c r="AP1" s="135"/>
      <c r="AR1" s="99" t="s">
        <v>11</v>
      </c>
      <c r="AS1" s="101" t="s">
        <v>12</v>
      </c>
      <c r="AT1" s="95" t="s">
        <v>13</v>
      </c>
      <c r="AU1" s="97" t="s">
        <v>26</v>
      </c>
      <c r="AV1" s="99" t="s">
        <v>14</v>
      </c>
      <c r="AW1" s="101" t="s">
        <v>29</v>
      </c>
      <c r="AX1" s="95" t="s">
        <v>30</v>
      </c>
      <c r="AY1" s="103" t="s">
        <v>31</v>
      </c>
      <c r="AZ1" s="90" t="s">
        <v>27</v>
      </c>
      <c r="BA1" s="92" t="s">
        <v>28</v>
      </c>
      <c r="BB1" s="91" t="s">
        <v>16</v>
      </c>
      <c r="BC1" s="94" t="s">
        <v>17</v>
      </c>
    </row>
    <row r="2" spans="1:61" ht="16" thickBot="1" x14ac:dyDescent="0.25">
      <c r="A2" s="106"/>
      <c r="B2" s="118"/>
      <c r="C2" s="108"/>
      <c r="D2" s="110"/>
      <c r="E2" s="14" t="s">
        <v>0</v>
      </c>
      <c r="F2" s="15" t="s">
        <v>6</v>
      </c>
      <c r="G2" s="15" t="s">
        <v>1</v>
      </c>
      <c r="H2" s="15" t="s">
        <v>7</v>
      </c>
      <c r="I2" s="15" t="s">
        <v>2</v>
      </c>
      <c r="J2" s="15" t="s">
        <v>8</v>
      </c>
      <c r="K2" s="15" t="s">
        <v>3</v>
      </c>
      <c r="L2" s="16" t="s">
        <v>9</v>
      </c>
      <c r="M2" s="7" t="s">
        <v>0</v>
      </c>
      <c r="N2" s="7" t="s">
        <v>6</v>
      </c>
      <c r="O2" s="7" t="s">
        <v>1</v>
      </c>
      <c r="P2" s="7" t="s">
        <v>7</v>
      </c>
      <c r="Q2" s="7" t="s">
        <v>2</v>
      </c>
      <c r="R2" s="7" t="s">
        <v>8</v>
      </c>
      <c r="S2" s="7" t="s">
        <v>3</v>
      </c>
      <c r="T2" s="8" t="s">
        <v>9</v>
      </c>
      <c r="U2" s="9" t="s">
        <v>0</v>
      </c>
      <c r="V2" s="10" t="s">
        <v>6</v>
      </c>
      <c r="W2" s="10" t="s">
        <v>1</v>
      </c>
      <c r="X2" s="10" t="s">
        <v>8</v>
      </c>
      <c r="Y2" s="10" t="s">
        <v>2</v>
      </c>
      <c r="Z2" s="10" t="s">
        <v>9</v>
      </c>
      <c r="AA2" s="10" t="s">
        <v>3</v>
      </c>
      <c r="AB2" s="11" t="s">
        <v>9</v>
      </c>
      <c r="AC2" s="6" t="s">
        <v>0</v>
      </c>
      <c r="AD2" s="17" t="s">
        <v>6</v>
      </c>
      <c r="AE2" s="17" t="s">
        <v>1</v>
      </c>
      <c r="AF2" s="17" t="s">
        <v>8</v>
      </c>
      <c r="AG2" s="17" t="s">
        <v>2</v>
      </c>
      <c r="AH2" s="17" t="s">
        <v>9</v>
      </c>
      <c r="AI2" s="17" t="s">
        <v>3</v>
      </c>
      <c r="AJ2" s="18" t="s">
        <v>9</v>
      </c>
      <c r="AK2" s="128"/>
      <c r="AL2" s="130"/>
      <c r="AM2" s="132"/>
      <c r="AN2" s="120"/>
      <c r="AO2" s="134"/>
      <c r="AP2" s="136"/>
      <c r="AR2" s="100"/>
      <c r="AS2" s="102"/>
      <c r="AT2" s="96"/>
      <c r="AU2" s="98"/>
      <c r="AV2" s="100"/>
      <c r="AW2" s="102"/>
      <c r="AX2" s="96"/>
      <c r="AY2" s="104"/>
      <c r="AZ2" s="91"/>
      <c r="BA2" s="93"/>
      <c r="BB2" s="91"/>
      <c r="BC2" s="94"/>
      <c r="BE2" s="20" t="s">
        <v>0</v>
      </c>
      <c r="BF2" s="20" t="s">
        <v>1</v>
      </c>
      <c r="BG2" s="89" t="s">
        <v>2</v>
      </c>
      <c r="BH2" s="20" t="s">
        <v>3</v>
      </c>
      <c r="BI2" s="20" t="s">
        <v>15</v>
      </c>
    </row>
    <row r="3" spans="1:61" x14ac:dyDescent="0.2">
      <c r="A3" s="26">
        <v>1</v>
      </c>
      <c r="B3" s="88" t="s">
        <v>112</v>
      </c>
      <c r="C3" s="69" t="s">
        <v>33</v>
      </c>
      <c r="D3" s="69" t="s">
        <v>34</v>
      </c>
      <c r="E3" s="19">
        <v>89</v>
      </c>
      <c r="F3" s="20"/>
      <c r="G3" s="20">
        <v>93</v>
      </c>
      <c r="H3" s="20"/>
      <c r="I3" s="20">
        <v>90</v>
      </c>
      <c r="J3" s="20"/>
      <c r="K3" s="20">
        <v>90</v>
      </c>
      <c r="L3" s="21"/>
      <c r="M3" s="19">
        <v>90</v>
      </c>
      <c r="N3" s="20"/>
      <c r="O3" s="20">
        <v>92</v>
      </c>
      <c r="P3" s="20"/>
      <c r="Q3" s="20">
        <v>91</v>
      </c>
      <c r="R3" s="20"/>
      <c r="S3" s="20">
        <v>90</v>
      </c>
      <c r="T3" s="21"/>
      <c r="U3" s="19">
        <v>89</v>
      </c>
      <c r="V3" s="20"/>
      <c r="W3" s="20">
        <v>98</v>
      </c>
      <c r="X3" s="20"/>
      <c r="Y3" s="20">
        <v>92</v>
      </c>
      <c r="Z3" s="20"/>
      <c r="AA3" s="20">
        <v>90</v>
      </c>
      <c r="AB3" s="21"/>
      <c r="AC3" s="1">
        <v>89</v>
      </c>
      <c r="AD3" s="20"/>
      <c r="AE3" s="20">
        <v>91</v>
      </c>
      <c r="AF3" s="20"/>
      <c r="AG3" s="20">
        <v>90</v>
      </c>
      <c r="AH3" s="20"/>
      <c r="AI3" s="20">
        <v>92</v>
      </c>
      <c r="AJ3" s="2"/>
      <c r="AK3" s="39">
        <f>SUMIF(E3:E3, "&gt;=70") / 4 +SUMIF(G3:G3, "&gt;=70") / 4 +SUMIF(I3:I3, "&gt;=70") / 4 +SUMIF(K3:K3, "&gt;=70") / 4 + SUMIF(F3:F3, "&gt;1") / 4 + SUMIF(H3:H3, "&gt;1") / 4 + SUMIF(J3:J3, "&gt;1") / 4 + SUMIF(L3:L3, "&gt;1") / 4</f>
        <v>90.5</v>
      </c>
      <c r="AL3" s="40">
        <f>SUMIF(M3:M3, "&gt;=70") / 4 +SUMIF(O3:O3, "&gt;=70") / 4 +SUMIF(Q3:Q3, "&gt;=70") / 4 +SUMIF(S3:S3, "&gt;=70") / 4 + SUMIF(N3:N3, "&gt;1") / 4 + SUMIF(P3:P3, "&gt;1") / 4 + SUMIF(R3:R3, "&gt;1") / 4 + SUMIF(T3:T3, "&gt;1") / 4</f>
        <v>90.75</v>
      </c>
      <c r="AM3" s="41">
        <f>SUMIF(U3:U3, "&gt;=70") / 4 +SUMIF(W3:W3, "&gt;=70") / 4 +SUMIF(Y3:Y3, "&gt;=70") / 4 +SUMIF(AA3:AA3, "&gt;=70") / 4 + SUMIF(V3:V3, "&gt;1") / 4 + SUMIF(X3:X3, "&gt;1") / 4 + SUMIF(Z3:Z3, "&gt;1") / 4 + SUMIF(AB3:AB3, "&gt;1") / 4</f>
        <v>92.25</v>
      </c>
      <c r="AN3" s="42">
        <f>SUMIF(AC3:AC3, "&gt;=70") / 4 +SUMIF(AE3:AE3, "&gt;=70") / 4 +SUMIF(AG3:AG3, "&gt;=70") / 4 +SUMIF(AI3:AI3, "&gt;=70") / 4 + SUMIF(AD3:AD3, "&gt;1") / 4 + SUMIF(AF3:AF3, "&gt;1") / 4 + SUMIF(AH3:AH3, "&gt;1") / 4 + SUMIF(AJ3:AJ3, "&gt;1") / 4</f>
        <v>90.5</v>
      </c>
      <c r="AO3" s="43">
        <f>AVERAGE(AK3:AN3)</f>
        <v>91</v>
      </c>
      <c r="AP3" s="34"/>
      <c r="AR3" s="54" t="str">
        <f>IF(AO3&lt;70, AO3*0.5, "")</f>
        <v/>
      </c>
      <c r="AS3" s="35"/>
      <c r="AT3" s="56">
        <f>AS3*50%</f>
        <v>0</v>
      </c>
      <c r="AU3" s="57" t="str">
        <f>IF(AS3&lt;&gt;"", IF(AR3="","",AR3+AT3), "")</f>
        <v/>
      </c>
      <c r="AV3" s="54" t="str">
        <f>IF(AU3 &lt; 70, AR3*30%, "")</f>
        <v/>
      </c>
      <c r="AW3" s="36"/>
      <c r="AX3" s="56">
        <f>AW3*70%</f>
        <v>0</v>
      </c>
      <c r="AY3" s="60" t="str">
        <f>IF(AW3&lt;&gt;"", IF(AV3="", "", AV3+AX3), "")</f>
        <v/>
      </c>
      <c r="AZ3" s="54" t="str">
        <f>IF(AND(AU3&lt;70, AY3&lt;70), AO3, "")</f>
        <v/>
      </c>
      <c r="BA3" s="21"/>
      <c r="BB3" s="62">
        <f>IF(AW3&lt;&gt;"", IF(AY3&gt;=70, AY3, IF(AZ3+BA3&gt;=70, AZ3+BA3, "")),
   IF(AS3&lt;&gt;"", IF(AU3&gt;=70, AU3, ""),
   IF(AO3&gt;=70, AO3, "")))</f>
        <v>91</v>
      </c>
      <c r="BC3" s="63" t="str">
        <f>IF(AW3&lt;&gt;"", IF(AY3&lt;70, IF(AZ3+BA3&lt;70, AZ3+BA3, ""), ""), IF(AS3&lt;&gt;"", IF(AU3&lt;70, AU3, ""), IF(AO3&lt;70, AO3, "")))</f>
        <v/>
      </c>
      <c r="BE3" s="20">
        <f t="shared" ref="BE3:BE4" si="0">SUM(E3+M3+U3+AC3)/4</f>
        <v>89.25</v>
      </c>
      <c r="BF3" s="20">
        <f t="shared" ref="BF3:BF4" si="1">SUM(G3+O3+W3+AE3)/4</f>
        <v>93.5</v>
      </c>
      <c r="BG3" s="89">
        <f t="shared" ref="BG3:BG4" si="2">SUM(I3+Q3+Y3+AG3)/4</f>
        <v>90.75</v>
      </c>
      <c r="BH3" s="20">
        <f t="shared" ref="BH3:BH4" si="3">SUM(K3+S3+AA3+AI3)/4</f>
        <v>90.5</v>
      </c>
      <c r="BI3" s="20">
        <f>AVERAGE(BE3:BH3)</f>
        <v>91</v>
      </c>
    </row>
    <row r="4" spans="1:61" x14ac:dyDescent="0.2">
      <c r="A4" s="29">
        <v>2</v>
      </c>
      <c r="B4" s="88" t="s">
        <v>113</v>
      </c>
      <c r="C4" s="70" t="s">
        <v>35</v>
      </c>
      <c r="D4" s="70" t="s">
        <v>34</v>
      </c>
      <c r="E4" s="19">
        <v>89</v>
      </c>
      <c r="F4" s="20"/>
      <c r="G4" s="20">
        <v>93</v>
      </c>
      <c r="H4" s="20"/>
      <c r="I4" s="20">
        <v>90</v>
      </c>
      <c r="J4" s="20"/>
      <c r="K4" s="20">
        <v>90</v>
      </c>
      <c r="L4" s="21"/>
      <c r="M4" s="19">
        <v>90</v>
      </c>
      <c r="N4" s="20"/>
      <c r="O4" s="20">
        <v>92</v>
      </c>
      <c r="P4" s="20"/>
      <c r="Q4" s="20">
        <v>91</v>
      </c>
      <c r="R4" s="20"/>
      <c r="S4" s="20">
        <v>90</v>
      </c>
      <c r="T4" s="21"/>
      <c r="U4" s="19">
        <v>89</v>
      </c>
      <c r="V4" s="20"/>
      <c r="W4" s="20">
        <v>98</v>
      </c>
      <c r="X4" s="20"/>
      <c r="Y4" s="20">
        <v>92</v>
      </c>
      <c r="Z4" s="20"/>
      <c r="AA4" s="20">
        <v>91</v>
      </c>
      <c r="AB4" s="21"/>
      <c r="AC4" s="1">
        <v>89</v>
      </c>
      <c r="AD4" s="20"/>
      <c r="AE4" s="20">
        <v>91</v>
      </c>
      <c r="AF4" s="20"/>
      <c r="AG4" s="20">
        <v>90</v>
      </c>
      <c r="AH4" s="20"/>
      <c r="AI4" s="20">
        <v>92</v>
      </c>
      <c r="AJ4" s="3"/>
      <c r="AK4" s="44">
        <f t="shared" ref="AK4:AK47" si="4">SUMIF(E4:E4, "&gt;=70") / 4 +SUMIF(G4:G4, "&gt;=70") / 4 +SUMIF(I4:I4, "&gt;=70") / 4 +SUMIF(K4:K4, "&gt;=70") / 4 + SUMIF(F4:F4, "&gt;1") / 4 + SUMIF(H4:H4, "&gt;1") / 4 + SUMIF(J4:J4, "&gt;1") / 4 + SUMIF(L4:L4, "&gt;1") / 4</f>
        <v>90.5</v>
      </c>
      <c r="AL4" s="45">
        <f t="shared" ref="AL4:AL47" si="5">SUMIF(M4:M4, "&gt;=70") / 4 +SUMIF(O4:O4, "&gt;=70") / 4 +SUMIF(Q4:Q4, "&gt;=70") / 4 +SUMIF(S4:S4, "&gt;=70") / 4 + SUMIF(N4:N4, "&gt;1") / 4 + SUMIF(P4:P4, "&gt;1") / 4 + SUMIF(R4:R4, "&gt;1") / 4 + SUMIF(T4:T4, "&gt;1") / 4</f>
        <v>90.75</v>
      </c>
      <c r="AM4" s="46">
        <f t="shared" ref="AM4:AM47" si="6">SUMIF(U4:U4, "&gt;=70") / 4 +SUMIF(W4:W4, "&gt;=70") / 4 +SUMIF(Y4:Y4, "&gt;=70") / 4 +SUMIF(AA4:AA4, "&gt;=70") / 4 + SUMIF(V4:V4, "&gt;1") / 4 + SUMIF(X4:X4, "&gt;1") / 4 + SUMIF(Z4:Z4, "&gt;1") / 4 + SUMIF(AB4:AB4, "&gt;1") / 4</f>
        <v>92.5</v>
      </c>
      <c r="AN4" s="47">
        <f t="shared" ref="AN4:AN47" si="7">SUMIF(AC4:AC4, "&gt;=65") / 4 +SUMIF(AE4:AE4, "&gt;=65") / 4 +SUMIF(AG4:AG4, "&gt;=65") / 4 +SUMIF(AI4:AI4, "&gt;=65") / 4 + SUMIF(AD4:AD4, "&gt;1") / 4 + SUMIF(AF4:AF4, "&gt;1") / 4 + SUMIF(AH4:AH4, "&gt;1") / 4 + SUMIF(AJ4:AJ4, "&gt;1") / 4</f>
        <v>90.5</v>
      </c>
      <c r="AO4" s="48">
        <f t="shared" ref="AO4:AO47" si="8">AVERAGE(AK4:AN4)</f>
        <v>91.0625</v>
      </c>
      <c r="AP4" s="37"/>
      <c r="AR4" s="54" t="str">
        <f t="shared" ref="AR4:AR47" si="9">IF(AO4&lt;70, AO4*0.5, "")</f>
        <v/>
      </c>
      <c r="AS4" s="35"/>
      <c r="AT4" s="56">
        <f t="shared" ref="AT4:AT47" si="10">AS4*50%</f>
        <v>0</v>
      </c>
      <c r="AU4" s="57" t="str">
        <f t="shared" ref="AU4:AU47" si="11">IF(AS4&lt;&gt;"", IF(AR4="","",AR4+AT4), "")</f>
        <v/>
      </c>
      <c r="AV4" s="54" t="str">
        <f t="shared" ref="AV4:AV47" si="12">IF(AU4 &lt; 70, AR4*30%, "")</f>
        <v/>
      </c>
      <c r="AW4" s="36"/>
      <c r="AX4" s="56">
        <f t="shared" ref="AX4:AX47" si="13">AW4*70%</f>
        <v>0</v>
      </c>
      <c r="AY4" s="60" t="str">
        <f t="shared" ref="AY4:AY47" si="14">IF(AW4&lt;&gt;"", IF(AV4="", "", AV4+AX4), "")</f>
        <v/>
      </c>
      <c r="AZ4" s="54" t="str">
        <f t="shared" ref="AZ4:AZ47" si="15">IF(AND(AU4&lt;70, AY4&lt;70), AO4, "")</f>
        <v/>
      </c>
      <c r="BA4" s="21"/>
      <c r="BB4" s="62">
        <f t="shared" ref="BB4:BB47" si="16">IF(AW4&lt;&gt;"", IF(AY4&gt;=70, AY4, IF(AZ4+BA4&gt;=70, AZ4+BA4, "")),
   IF(AS4&lt;&gt;"", IF(AU4&gt;=70, AU4, ""),
   IF(AO4&gt;=70, AO4, "")))</f>
        <v>91.0625</v>
      </c>
      <c r="BC4" s="64" t="str">
        <f t="shared" ref="BC4:BC47" si="17">IF(AW4&lt;&gt;"", IF(AY4&lt;70, IF(AZ4+BA4&lt;70, AZ4+BA4, ""), ""), IF(AS4&lt;&gt;"", IF(AU4&lt;70, AU4, ""), IF(AO4&lt;70, AO4, "")))</f>
        <v/>
      </c>
      <c r="BE4" s="20">
        <f t="shared" si="0"/>
        <v>89.25</v>
      </c>
      <c r="BF4" s="20">
        <f t="shared" si="1"/>
        <v>93.5</v>
      </c>
      <c r="BG4" s="89">
        <f t="shared" si="2"/>
        <v>90.75</v>
      </c>
      <c r="BH4" s="20">
        <f t="shared" si="3"/>
        <v>90.75</v>
      </c>
      <c r="BI4" s="20">
        <f>AVERAGE(BE4:BH4)</f>
        <v>91.0625</v>
      </c>
    </row>
    <row r="5" spans="1:61" x14ac:dyDescent="0.2">
      <c r="A5" s="29">
        <v>3</v>
      </c>
      <c r="B5" s="88" t="s">
        <v>114</v>
      </c>
      <c r="C5" s="69" t="s">
        <v>36</v>
      </c>
      <c r="D5" s="69" t="s">
        <v>37</v>
      </c>
      <c r="E5" s="19">
        <v>89</v>
      </c>
      <c r="F5" s="20"/>
      <c r="G5" s="20">
        <v>93</v>
      </c>
      <c r="H5" s="20"/>
      <c r="I5" s="20">
        <v>90</v>
      </c>
      <c r="J5" s="20"/>
      <c r="K5" s="20">
        <v>90</v>
      </c>
      <c r="L5" s="21"/>
      <c r="M5" s="19">
        <v>90</v>
      </c>
      <c r="N5" s="20"/>
      <c r="O5" s="20">
        <v>92</v>
      </c>
      <c r="P5" s="20"/>
      <c r="Q5" s="20">
        <v>91</v>
      </c>
      <c r="R5" s="20"/>
      <c r="S5" s="20">
        <v>90</v>
      </c>
      <c r="T5" s="21"/>
      <c r="U5" s="19">
        <v>89</v>
      </c>
      <c r="V5" s="20"/>
      <c r="W5" s="20">
        <v>98</v>
      </c>
      <c r="X5" s="20"/>
      <c r="Y5" s="20">
        <v>92</v>
      </c>
      <c r="Z5" s="20"/>
      <c r="AA5" s="20">
        <v>87</v>
      </c>
      <c r="AB5" s="21"/>
      <c r="AC5" s="1">
        <v>89</v>
      </c>
      <c r="AD5" s="20"/>
      <c r="AE5" s="20">
        <v>91</v>
      </c>
      <c r="AF5" s="20"/>
      <c r="AG5" s="20">
        <v>90</v>
      </c>
      <c r="AH5" s="20"/>
      <c r="AI5" s="20">
        <v>92</v>
      </c>
      <c r="AJ5" s="3"/>
      <c r="AK5" s="44">
        <f t="shared" si="4"/>
        <v>90.5</v>
      </c>
      <c r="AL5" s="45">
        <f t="shared" si="5"/>
        <v>90.75</v>
      </c>
      <c r="AM5" s="46">
        <f t="shared" si="6"/>
        <v>91.5</v>
      </c>
      <c r="AN5" s="47">
        <f t="shared" si="7"/>
        <v>90.5</v>
      </c>
      <c r="AO5" s="48">
        <f t="shared" si="8"/>
        <v>90.8125</v>
      </c>
      <c r="AP5" s="37"/>
      <c r="AR5" s="54" t="str">
        <f t="shared" si="9"/>
        <v/>
      </c>
      <c r="AS5" s="35"/>
      <c r="AT5" s="56">
        <f t="shared" si="10"/>
        <v>0</v>
      </c>
      <c r="AU5" s="57" t="str">
        <f t="shared" si="11"/>
        <v/>
      </c>
      <c r="AV5" s="54" t="str">
        <f t="shared" si="12"/>
        <v/>
      </c>
      <c r="AW5" s="36"/>
      <c r="AX5" s="56">
        <f t="shared" si="13"/>
        <v>0</v>
      </c>
      <c r="AY5" s="60" t="str">
        <f t="shared" si="14"/>
        <v/>
      </c>
      <c r="AZ5" s="54" t="str">
        <f t="shared" si="15"/>
        <v/>
      </c>
      <c r="BA5" s="21"/>
      <c r="BB5" s="62">
        <f t="shared" si="16"/>
        <v>90.8125</v>
      </c>
      <c r="BC5" s="64" t="str">
        <f t="shared" si="17"/>
        <v/>
      </c>
      <c r="BE5" s="20">
        <f>SUM(E5+M5+U5+AC5)/4</f>
        <v>89.25</v>
      </c>
      <c r="BF5" s="20">
        <f>SUM(G5+O5+W5+AE5)/4</f>
        <v>93.5</v>
      </c>
      <c r="BG5" s="89">
        <f>SUM(I5+Q5+Y5+AG5)/4</f>
        <v>90.75</v>
      </c>
      <c r="BH5" s="20">
        <f>SUM(K5+S5+AA5+AI5)/4</f>
        <v>89.75</v>
      </c>
      <c r="BI5" s="20">
        <f>AVERAGE(BE5:BH5)</f>
        <v>90.8125</v>
      </c>
    </row>
    <row r="6" spans="1:61" x14ac:dyDescent="0.2">
      <c r="A6" s="29">
        <v>4</v>
      </c>
      <c r="B6" s="88" t="s">
        <v>115</v>
      </c>
      <c r="C6" s="70" t="s">
        <v>38</v>
      </c>
      <c r="D6" s="70" t="s">
        <v>39</v>
      </c>
      <c r="E6" s="19">
        <v>90</v>
      </c>
      <c r="F6" s="20"/>
      <c r="G6" s="20">
        <v>88</v>
      </c>
      <c r="H6" s="20"/>
      <c r="I6" s="20">
        <v>92</v>
      </c>
      <c r="J6" s="20"/>
      <c r="K6" s="20">
        <v>90</v>
      </c>
      <c r="L6" s="21"/>
      <c r="M6" s="19">
        <v>89</v>
      </c>
      <c r="N6" s="20"/>
      <c r="O6" s="20">
        <v>93</v>
      </c>
      <c r="P6" s="20"/>
      <c r="Q6" s="20">
        <v>90</v>
      </c>
      <c r="R6" s="20"/>
      <c r="S6" s="20">
        <v>92</v>
      </c>
      <c r="T6" s="21"/>
      <c r="U6" s="19">
        <v>90</v>
      </c>
      <c r="V6" s="20"/>
      <c r="W6" s="20">
        <v>89</v>
      </c>
      <c r="X6" s="20"/>
      <c r="Y6" s="20">
        <v>89</v>
      </c>
      <c r="Z6" s="20"/>
      <c r="AA6" s="20">
        <v>92</v>
      </c>
      <c r="AB6" s="21"/>
      <c r="AC6" s="1">
        <v>90</v>
      </c>
      <c r="AD6" s="20"/>
      <c r="AE6" s="20">
        <v>90</v>
      </c>
      <c r="AF6" s="20"/>
      <c r="AG6" s="20">
        <v>92</v>
      </c>
      <c r="AH6" s="20"/>
      <c r="AI6" s="20">
        <v>93</v>
      </c>
      <c r="AJ6" s="3"/>
      <c r="AK6" s="44">
        <f t="shared" si="4"/>
        <v>90</v>
      </c>
      <c r="AL6" s="45">
        <f t="shared" si="5"/>
        <v>91</v>
      </c>
      <c r="AM6" s="46">
        <f t="shared" si="6"/>
        <v>90</v>
      </c>
      <c r="AN6" s="47">
        <f t="shared" si="7"/>
        <v>91.25</v>
      </c>
      <c r="AO6" s="48">
        <f t="shared" si="8"/>
        <v>90.5625</v>
      </c>
      <c r="AP6" s="37"/>
      <c r="AR6" s="54" t="str">
        <f t="shared" si="9"/>
        <v/>
      </c>
      <c r="AS6" s="35"/>
      <c r="AT6" s="56">
        <f t="shared" si="10"/>
        <v>0</v>
      </c>
      <c r="AU6" s="57" t="str">
        <f t="shared" si="11"/>
        <v/>
      </c>
      <c r="AV6" s="54" t="str">
        <f t="shared" si="12"/>
        <v/>
      </c>
      <c r="AW6" s="35"/>
      <c r="AX6" s="56">
        <f t="shared" si="13"/>
        <v>0</v>
      </c>
      <c r="AY6" s="60" t="str">
        <f t="shared" si="14"/>
        <v/>
      </c>
      <c r="AZ6" s="54" t="str">
        <f t="shared" si="15"/>
        <v/>
      </c>
      <c r="BA6" s="21"/>
      <c r="BB6" s="62">
        <f t="shared" si="16"/>
        <v>90.5625</v>
      </c>
      <c r="BC6" s="64" t="str">
        <f t="shared" si="17"/>
        <v/>
      </c>
      <c r="BE6" s="20">
        <f t="shared" ref="BE6:BE47" si="18">SUM(E6+M6+U6+AC6)/4</f>
        <v>89.75</v>
      </c>
      <c r="BF6" s="20">
        <f t="shared" ref="BF6:BF47" si="19">SUM(G6+O6+W6+AE6)/4</f>
        <v>90</v>
      </c>
      <c r="BG6" s="89">
        <f t="shared" ref="BG6:BG47" si="20">SUM(I6+Q6+Y6+AG6)/4</f>
        <v>90.75</v>
      </c>
      <c r="BH6" s="20">
        <f t="shared" ref="BH6:BH47" si="21">SUM(K6+S6+AA6+AI6)/4</f>
        <v>91.75</v>
      </c>
      <c r="BI6" s="20">
        <f t="shared" ref="BI6:BI47" si="22">AVERAGE(BE6:BH6)</f>
        <v>90.5625</v>
      </c>
    </row>
    <row r="7" spans="1:61" x14ac:dyDescent="0.2">
      <c r="A7" s="29">
        <v>5</v>
      </c>
      <c r="B7" s="88" t="s">
        <v>116</v>
      </c>
      <c r="C7" s="71" t="s">
        <v>32</v>
      </c>
      <c r="D7" s="72" t="s">
        <v>40</v>
      </c>
      <c r="E7" s="19">
        <v>90</v>
      </c>
      <c r="F7" s="20"/>
      <c r="G7" s="20">
        <v>88</v>
      </c>
      <c r="H7" s="20"/>
      <c r="I7" s="20">
        <v>90</v>
      </c>
      <c r="J7" s="20"/>
      <c r="K7" s="20">
        <v>90</v>
      </c>
      <c r="L7" s="21"/>
      <c r="M7" s="19">
        <v>90</v>
      </c>
      <c r="N7" s="20"/>
      <c r="O7" s="20">
        <v>92</v>
      </c>
      <c r="P7" s="20"/>
      <c r="Q7" s="20">
        <v>90</v>
      </c>
      <c r="R7" s="20"/>
      <c r="S7" s="20">
        <v>89</v>
      </c>
      <c r="T7" s="21"/>
      <c r="U7" s="19">
        <v>92</v>
      </c>
      <c r="V7" s="20"/>
      <c r="W7" s="20">
        <v>90</v>
      </c>
      <c r="X7" s="20"/>
      <c r="Y7" s="20">
        <v>93</v>
      </c>
      <c r="Z7" s="20"/>
      <c r="AA7" s="20">
        <v>90</v>
      </c>
      <c r="AB7" s="21"/>
      <c r="AC7" s="1">
        <v>88</v>
      </c>
      <c r="AD7" s="20"/>
      <c r="AE7" s="20">
        <v>93</v>
      </c>
      <c r="AF7" s="20"/>
      <c r="AG7" s="20">
        <v>90</v>
      </c>
      <c r="AH7" s="20"/>
      <c r="AI7" s="20">
        <v>92</v>
      </c>
      <c r="AJ7" s="3"/>
      <c r="AK7" s="44">
        <f t="shared" si="4"/>
        <v>89.5</v>
      </c>
      <c r="AL7" s="45">
        <f t="shared" si="5"/>
        <v>90.25</v>
      </c>
      <c r="AM7" s="46">
        <f t="shared" si="6"/>
        <v>91.25</v>
      </c>
      <c r="AN7" s="47">
        <f t="shared" si="7"/>
        <v>90.75</v>
      </c>
      <c r="AO7" s="48">
        <f t="shared" si="8"/>
        <v>90.4375</v>
      </c>
      <c r="AP7" s="37"/>
      <c r="AR7" s="54" t="str">
        <f t="shared" si="9"/>
        <v/>
      </c>
      <c r="AS7" s="35"/>
      <c r="AT7" s="56">
        <f t="shared" si="10"/>
        <v>0</v>
      </c>
      <c r="AU7" s="57" t="str">
        <f t="shared" si="11"/>
        <v/>
      </c>
      <c r="AV7" s="54" t="str">
        <f t="shared" si="12"/>
        <v/>
      </c>
      <c r="AW7" s="35"/>
      <c r="AX7" s="56">
        <f t="shared" si="13"/>
        <v>0</v>
      </c>
      <c r="AY7" s="60" t="str">
        <f t="shared" si="14"/>
        <v/>
      </c>
      <c r="AZ7" s="54" t="str">
        <f t="shared" si="15"/>
        <v/>
      </c>
      <c r="BA7" s="21"/>
      <c r="BB7" s="62">
        <f t="shared" si="16"/>
        <v>90.4375</v>
      </c>
      <c r="BC7" s="64" t="str">
        <f t="shared" si="17"/>
        <v/>
      </c>
      <c r="BE7" s="20">
        <f t="shared" si="18"/>
        <v>90</v>
      </c>
      <c r="BF7" s="20">
        <f t="shared" si="19"/>
        <v>90.75</v>
      </c>
      <c r="BG7" s="89">
        <f t="shared" si="20"/>
        <v>90.75</v>
      </c>
      <c r="BH7" s="20">
        <f t="shared" si="21"/>
        <v>90.25</v>
      </c>
      <c r="BI7" s="20">
        <f t="shared" si="22"/>
        <v>90.4375</v>
      </c>
    </row>
    <row r="8" spans="1:61" x14ac:dyDescent="0.2">
      <c r="A8" s="29">
        <v>6</v>
      </c>
      <c r="B8" s="88" t="s">
        <v>117</v>
      </c>
      <c r="C8" s="70" t="s">
        <v>41</v>
      </c>
      <c r="D8" s="70" t="s">
        <v>42</v>
      </c>
      <c r="E8" s="19">
        <v>80</v>
      </c>
      <c r="F8" s="20"/>
      <c r="G8" s="20">
        <v>79</v>
      </c>
      <c r="H8" s="20"/>
      <c r="I8" s="20">
        <v>80</v>
      </c>
      <c r="J8" s="20"/>
      <c r="K8" s="20">
        <v>78</v>
      </c>
      <c r="L8" s="21"/>
      <c r="M8" s="19">
        <v>79</v>
      </c>
      <c r="N8" s="20"/>
      <c r="O8" s="20">
        <v>80</v>
      </c>
      <c r="P8" s="20"/>
      <c r="Q8" s="20">
        <v>79</v>
      </c>
      <c r="R8" s="20"/>
      <c r="S8" s="20">
        <v>79</v>
      </c>
      <c r="T8" s="21"/>
      <c r="U8" s="19">
        <v>80</v>
      </c>
      <c r="V8" s="20"/>
      <c r="W8" s="20">
        <v>85</v>
      </c>
      <c r="X8" s="20"/>
      <c r="Y8" s="20">
        <v>83</v>
      </c>
      <c r="Z8" s="20"/>
      <c r="AA8" s="20">
        <v>87</v>
      </c>
      <c r="AB8" s="21"/>
      <c r="AC8" s="1">
        <v>85</v>
      </c>
      <c r="AD8" s="20"/>
      <c r="AE8" s="20">
        <v>87</v>
      </c>
      <c r="AF8" s="20"/>
      <c r="AG8" s="20">
        <v>88</v>
      </c>
      <c r="AH8" s="20"/>
      <c r="AI8" s="20">
        <v>80</v>
      </c>
      <c r="AJ8" s="3"/>
      <c r="AK8" s="44">
        <f t="shared" si="4"/>
        <v>79.25</v>
      </c>
      <c r="AL8" s="45">
        <f t="shared" si="5"/>
        <v>79.25</v>
      </c>
      <c r="AM8" s="46">
        <f t="shared" si="6"/>
        <v>83.75</v>
      </c>
      <c r="AN8" s="47">
        <f t="shared" si="7"/>
        <v>85</v>
      </c>
      <c r="AO8" s="48">
        <f t="shared" si="8"/>
        <v>81.8125</v>
      </c>
      <c r="AP8" s="37"/>
      <c r="AR8" s="54" t="str">
        <f t="shared" si="9"/>
        <v/>
      </c>
      <c r="AS8" s="35"/>
      <c r="AT8" s="56">
        <f t="shared" si="10"/>
        <v>0</v>
      </c>
      <c r="AU8" s="57" t="str">
        <f t="shared" si="11"/>
        <v/>
      </c>
      <c r="AV8" s="54" t="str">
        <f t="shared" si="12"/>
        <v/>
      </c>
      <c r="AW8" s="35"/>
      <c r="AX8" s="56">
        <f t="shared" si="13"/>
        <v>0</v>
      </c>
      <c r="AY8" s="60" t="str">
        <f t="shared" si="14"/>
        <v/>
      </c>
      <c r="AZ8" s="54" t="str">
        <f t="shared" si="15"/>
        <v/>
      </c>
      <c r="BA8" s="21"/>
      <c r="BB8" s="62">
        <f t="shared" si="16"/>
        <v>81.8125</v>
      </c>
      <c r="BC8" s="64" t="str">
        <f t="shared" si="17"/>
        <v/>
      </c>
      <c r="BE8" s="20">
        <f t="shared" si="18"/>
        <v>81</v>
      </c>
      <c r="BF8" s="20">
        <f t="shared" si="19"/>
        <v>82.75</v>
      </c>
      <c r="BG8" s="89">
        <f t="shared" si="20"/>
        <v>82.5</v>
      </c>
      <c r="BH8" s="20">
        <f t="shared" si="21"/>
        <v>81</v>
      </c>
      <c r="BI8" s="20">
        <f t="shared" si="22"/>
        <v>81.8125</v>
      </c>
    </row>
    <row r="9" spans="1:61" x14ac:dyDescent="0.2">
      <c r="A9" s="29">
        <v>7</v>
      </c>
      <c r="B9" s="88" t="s">
        <v>118</v>
      </c>
      <c r="C9" s="69" t="s">
        <v>43</v>
      </c>
      <c r="D9" s="69" t="s">
        <v>44</v>
      </c>
      <c r="E9" s="19">
        <v>89</v>
      </c>
      <c r="F9" s="20"/>
      <c r="G9" s="20">
        <v>90</v>
      </c>
      <c r="H9" s="20"/>
      <c r="I9" s="20">
        <v>90</v>
      </c>
      <c r="J9" s="20"/>
      <c r="K9" s="20">
        <v>94</v>
      </c>
      <c r="L9" s="21"/>
      <c r="M9" s="19">
        <v>92</v>
      </c>
      <c r="N9" s="20"/>
      <c r="O9" s="20">
        <v>89</v>
      </c>
      <c r="P9" s="20"/>
      <c r="Q9" s="20">
        <v>90</v>
      </c>
      <c r="R9" s="20"/>
      <c r="S9" s="20">
        <v>90</v>
      </c>
      <c r="T9" s="21"/>
      <c r="U9" s="19">
        <v>89</v>
      </c>
      <c r="V9" s="20"/>
      <c r="W9" s="20">
        <v>91</v>
      </c>
      <c r="X9" s="20"/>
      <c r="Y9" s="20">
        <v>90</v>
      </c>
      <c r="Z9" s="20"/>
      <c r="AA9" s="20">
        <v>87</v>
      </c>
      <c r="AB9" s="21"/>
      <c r="AC9" s="1">
        <v>85</v>
      </c>
      <c r="AD9" s="20"/>
      <c r="AE9" s="20">
        <v>91</v>
      </c>
      <c r="AF9" s="20"/>
      <c r="AG9" s="20">
        <v>90</v>
      </c>
      <c r="AH9" s="20"/>
      <c r="AI9" s="20">
        <v>89</v>
      </c>
      <c r="AJ9" s="3"/>
      <c r="AK9" s="44">
        <f t="shared" si="4"/>
        <v>90.75</v>
      </c>
      <c r="AL9" s="45">
        <f t="shared" si="5"/>
        <v>90.25</v>
      </c>
      <c r="AM9" s="46">
        <f t="shared" si="6"/>
        <v>89.25</v>
      </c>
      <c r="AN9" s="47">
        <f t="shared" si="7"/>
        <v>88.75</v>
      </c>
      <c r="AO9" s="48">
        <f t="shared" si="8"/>
        <v>89.75</v>
      </c>
      <c r="AP9" s="37"/>
      <c r="AR9" s="54" t="str">
        <f t="shared" si="9"/>
        <v/>
      </c>
      <c r="AS9" s="35"/>
      <c r="AT9" s="56">
        <f t="shared" si="10"/>
        <v>0</v>
      </c>
      <c r="AU9" s="57" t="str">
        <f t="shared" si="11"/>
        <v/>
      </c>
      <c r="AV9" s="54" t="str">
        <f t="shared" si="12"/>
        <v/>
      </c>
      <c r="AW9" s="35"/>
      <c r="AX9" s="56">
        <f t="shared" si="13"/>
        <v>0</v>
      </c>
      <c r="AY9" s="60" t="str">
        <f t="shared" si="14"/>
        <v/>
      </c>
      <c r="AZ9" s="54" t="str">
        <f t="shared" si="15"/>
        <v/>
      </c>
      <c r="BA9" s="21"/>
      <c r="BB9" s="62">
        <f t="shared" si="16"/>
        <v>89.75</v>
      </c>
      <c r="BC9" s="64" t="str">
        <f t="shared" si="17"/>
        <v/>
      </c>
      <c r="BE9" s="20">
        <f t="shared" si="18"/>
        <v>88.75</v>
      </c>
      <c r="BF9" s="20">
        <f t="shared" si="19"/>
        <v>90.25</v>
      </c>
      <c r="BG9" s="89">
        <f t="shared" si="20"/>
        <v>90</v>
      </c>
      <c r="BH9" s="20">
        <f t="shared" si="21"/>
        <v>90</v>
      </c>
      <c r="BI9" s="20">
        <f t="shared" si="22"/>
        <v>89.75</v>
      </c>
    </row>
    <row r="10" spans="1:61" x14ac:dyDescent="0.2">
      <c r="A10" s="29">
        <v>8</v>
      </c>
      <c r="B10" s="88" t="s">
        <v>119</v>
      </c>
      <c r="C10" s="70" t="s">
        <v>45</v>
      </c>
      <c r="D10" s="70" t="s">
        <v>46</v>
      </c>
      <c r="E10" s="19">
        <v>78</v>
      </c>
      <c r="F10" s="20"/>
      <c r="G10" s="20">
        <v>79</v>
      </c>
      <c r="H10" s="20"/>
      <c r="I10" s="20">
        <v>80</v>
      </c>
      <c r="J10" s="20"/>
      <c r="K10" s="20">
        <v>77</v>
      </c>
      <c r="L10" s="21"/>
      <c r="M10" s="19">
        <v>76</v>
      </c>
      <c r="N10" s="20"/>
      <c r="O10" s="20">
        <v>75</v>
      </c>
      <c r="P10" s="20"/>
      <c r="Q10" s="20">
        <v>80</v>
      </c>
      <c r="R10" s="20"/>
      <c r="S10" s="20">
        <v>82</v>
      </c>
      <c r="T10" s="21"/>
      <c r="U10" s="19">
        <v>78</v>
      </c>
      <c r="V10" s="20"/>
      <c r="W10" s="20">
        <v>79</v>
      </c>
      <c r="X10" s="20"/>
      <c r="Y10" s="20">
        <v>80</v>
      </c>
      <c r="Z10" s="20"/>
      <c r="AA10" s="20">
        <v>87</v>
      </c>
      <c r="AB10" s="21"/>
      <c r="AC10" s="1">
        <v>79</v>
      </c>
      <c r="AD10" s="20"/>
      <c r="AE10" s="20">
        <v>77</v>
      </c>
      <c r="AF10" s="20"/>
      <c r="AG10" s="20">
        <v>85</v>
      </c>
      <c r="AH10" s="20"/>
      <c r="AI10" s="20">
        <v>75</v>
      </c>
      <c r="AJ10" s="3"/>
      <c r="AK10" s="44">
        <f t="shared" si="4"/>
        <v>78.5</v>
      </c>
      <c r="AL10" s="45">
        <f t="shared" si="5"/>
        <v>78.25</v>
      </c>
      <c r="AM10" s="46">
        <f t="shared" si="6"/>
        <v>81</v>
      </c>
      <c r="AN10" s="47">
        <f t="shared" si="7"/>
        <v>79</v>
      </c>
      <c r="AO10" s="48">
        <f t="shared" si="8"/>
        <v>79.1875</v>
      </c>
      <c r="AP10" s="37"/>
      <c r="AR10" s="54" t="str">
        <f t="shared" si="9"/>
        <v/>
      </c>
      <c r="AS10" s="35"/>
      <c r="AT10" s="56">
        <f t="shared" si="10"/>
        <v>0</v>
      </c>
      <c r="AU10" s="57" t="str">
        <f t="shared" si="11"/>
        <v/>
      </c>
      <c r="AV10" s="54" t="str">
        <f t="shared" si="12"/>
        <v/>
      </c>
      <c r="AW10" s="35"/>
      <c r="AX10" s="56">
        <f t="shared" si="13"/>
        <v>0</v>
      </c>
      <c r="AY10" s="60" t="str">
        <f t="shared" si="14"/>
        <v/>
      </c>
      <c r="AZ10" s="54" t="str">
        <f t="shared" si="15"/>
        <v/>
      </c>
      <c r="BA10" s="21"/>
      <c r="BB10" s="62">
        <f t="shared" si="16"/>
        <v>79.1875</v>
      </c>
      <c r="BC10" s="64" t="str">
        <f t="shared" si="17"/>
        <v/>
      </c>
      <c r="BE10" s="20">
        <f t="shared" si="18"/>
        <v>77.75</v>
      </c>
      <c r="BF10" s="20">
        <f t="shared" si="19"/>
        <v>77.5</v>
      </c>
      <c r="BG10" s="89">
        <f t="shared" si="20"/>
        <v>81.25</v>
      </c>
      <c r="BH10" s="20">
        <f t="shared" si="21"/>
        <v>80.25</v>
      </c>
      <c r="BI10" s="20">
        <f t="shared" si="22"/>
        <v>79.1875</v>
      </c>
    </row>
    <row r="11" spans="1:61" x14ac:dyDescent="0.2">
      <c r="A11" s="29">
        <v>9</v>
      </c>
      <c r="B11" s="88" t="s">
        <v>120</v>
      </c>
      <c r="C11" s="69" t="s">
        <v>47</v>
      </c>
      <c r="D11" s="69" t="s">
        <v>48</v>
      </c>
      <c r="E11" s="19">
        <v>90</v>
      </c>
      <c r="F11" s="20"/>
      <c r="G11" s="20">
        <v>88</v>
      </c>
      <c r="H11" s="20"/>
      <c r="I11" s="20">
        <v>90</v>
      </c>
      <c r="J11" s="20"/>
      <c r="K11" s="20">
        <v>92</v>
      </c>
      <c r="L11" s="21"/>
      <c r="M11" s="19">
        <v>90</v>
      </c>
      <c r="N11" s="20"/>
      <c r="O11" s="20">
        <v>87</v>
      </c>
      <c r="P11" s="20"/>
      <c r="Q11" s="20">
        <v>93</v>
      </c>
      <c r="R11" s="20"/>
      <c r="S11" s="20">
        <v>90</v>
      </c>
      <c r="T11" s="21"/>
      <c r="U11" s="19">
        <v>89</v>
      </c>
      <c r="V11" s="20"/>
      <c r="W11" s="20">
        <v>92</v>
      </c>
      <c r="X11" s="20"/>
      <c r="Y11" s="20">
        <v>88</v>
      </c>
      <c r="Z11" s="20"/>
      <c r="AA11" s="20">
        <v>90</v>
      </c>
      <c r="AB11" s="21"/>
      <c r="AC11" s="1">
        <v>91</v>
      </c>
      <c r="AD11" s="20"/>
      <c r="AE11" s="20">
        <v>89</v>
      </c>
      <c r="AF11" s="20"/>
      <c r="AG11" s="20">
        <v>90</v>
      </c>
      <c r="AH11" s="20"/>
      <c r="AI11" s="20">
        <v>87</v>
      </c>
      <c r="AJ11" s="3"/>
      <c r="AK11" s="44">
        <f t="shared" si="4"/>
        <v>90</v>
      </c>
      <c r="AL11" s="45">
        <f t="shared" si="5"/>
        <v>90</v>
      </c>
      <c r="AM11" s="46">
        <f t="shared" si="6"/>
        <v>89.75</v>
      </c>
      <c r="AN11" s="47">
        <f t="shared" si="7"/>
        <v>89.25</v>
      </c>
      <c r="AO11" s="48">
        <f t="shared" si="8"/>
        <v>89.75</v>
      </c>
      <c r="AP11" s="37"/>
      <c r="AR11" s="54" t="str">
        <f t="shared" si="9"/>
        <v/>
      </c>
      <c r="AS11" s="35"/>
      <c r="AT11" s="56">
        <f t="shared" si="10"/>
        <v>0</v>
      </c>
      <c r="AU11" s="57" t="str">
        <f t="shared" si="11"/>
        <v/>
      </c>
      <c r="AV11" s="54" t="str">
        <f t="shared" si="12"/>
        <v/>
      </c>
      <c r="AW11" s="35"/>
      <c r="AX11" s="56">
        <f t="shared" si="13"/>
        <v>0</v>
      </c>
      <c r="AY11" s="60" t="str">
        <f t="shared" si="14"/>
        <v/>
      </c>
      <c r="AZ11" s="54" t="str">
        <f t="shared" si="15"/>
        <v/>
      </c>
      <c r="BA11" s="21"/>
      <c r="BB11" s="62">
        <f t="shared" si="16"/>
        <v>89.75</v>
      </c>
      <c r="BC11" s="64" t="str">
        <f t="shared" si="17"/>
        <v/>
      </c>
      <c r="BE11" s="20">
        <f t="shared" si="18"/>
        <v>90</v>
      </c>
      <c r="BF11" s="20">
        <f t="shared" si="19"/>
        <v>89</v>
      </c>
      <c r="BG11" s="89">
        <f t="shared" si="20"/>
        <v>90.25</v>
      </c>
      <c r="BH11" s="20">
        <f t="shared" si="21"/>
        <v>89.75</v>
      </c>
      <c r="BI11" s="20">
        <f t="shared" si="22"/>
        <v>89.75</v>
      </c>
    </row>
    <row r="12" spans="1:61" x14ac:dyDescent="0.2">
      <c r="A12" s="29">
        <v>10</v>
      </c>
      <c r="B12" s="88" t="s">
        <v>121</v>
      </c>
      <c r="C12" s="70" t="s">
        <v>49</v>
      </c>
      <c r="D12" s="70" t="s">
        <v>50</v>
      </c>
      <c r="E12" s="19">
        <v>85</v>
      </c>
      <c r="F12" s="20"/>
      <c r="G12" s="20">
        <v>87</v>
      </c>
      <c r="H12" s="20"/>
      <c r="I12" s="20">
        <v>89</v>
      </c>
      <c r="J12" s="20"/>
      <c r="K12" s="20">
        <v>88</v>
      </c>
      <c r="L12" s="21"/>
      <c r="M12" s="19">
        <v>88</v>
      </c>
      <c r="N12" s="20"/>
      <c r="O12" s="20">
        <v>86</v>
      </c>
      <c r="P12" s="20"/>
      <c r="Q12" s="20">
        <v>87</v>
      </c>
      <c r="R12" s="20"/>
      <c r="S12" s="20">
        <v>87</v>
      </c>
      <c r="T12" s="21"/>
      <c r="U12" s="19">
        <v>87</v>
      </c>
      <c r="V12" s="20"/>
      <c r="W12" s="20">
        <v>86</v>
      </c>
      <c r="X12" s="20"/>
      <c r="Y12" s="20">
        <v>85</v>
      </c>
      <c r="Z12" s="20"/>
      <c r="AA12" s="20">
        <v>87</v>
      </c>
      <c r="AB12" s="21"/>
      <c r="AC12" s="1">
        <v>85</v>
      </c>
      <c r="AD12" s="20"/>
      <c r="AE12" s="20">
        <v>85</v>
      </c>
      <c r="AF12" s="20"/>
      <c r="AG12" s="20">
        <v>87</v>
      </c>
      <c r="AH12" s="20"/>
      <c r="AI12" s="20">
        <v>86</v>
      </c>
      <c r="AJ12" s="3"/>
      <c r="AK12" s="44">
        <f t="shared" si="4"/>
        <v>87.25</v>
      </c>
      <c r="AL12" s="45">
        <f t="shared" si="5"/>
        <v>87</v>
      </c>
      <c r="AM12" s="46">
        <f t="shared" si="6"/>
        <v>86.25</v>
      </c>
      <c r="AN12" s="47">
        <f t="shared" si="7"/>
        <v>85.75</v>
      </c>
      <c r="AO12" s="48">
        <f t="shared" si="8"/>
        <v>86.5625</v>
      </c>
      <c r="AP12" s="37"/>
      <c r="AR12" s="54" t="str">
        <f t="shared" si="9"/>
        <v/>
      </c>
      <c r="AS12" s="20"/>
      <c r="AT12" s="56">
        <f t="shared" si="10"/>
        <v>0</v>
      </c>
      <c r="AU12" s="57" t="str">
        <f t="shared" si="11"/>
        <v/>
      </c>
      <c r="AV12" s="54" t="str">
        <f t="shared" si="12"/>
        <v/>
      </c>
      <c r="AW12" s="20"/>
      <c r="AX12" s="56">
        <f t="shared" si="13"/>
        <v>0</v>
      </c>
      <c r="AY12" s="60" t="str">
        <f t="shared" si="14"/>
        <v/>
      </c>
      <c r="AZ12" s="54" t="str">
        <f t="shared" si="15"/>
        <v/>
      </c>
      <c r="BA12" s="21"/>
      <c r="BB12" s="62">
        <f t="shared" si="16"/>
        <v>86.5625</v>
      </c>
      <c r="BC12" s="64" t="str">
        <f t="shared" si="17"/>
        <v/>
      </c>
      <c r="BE12" s="20">
        <f t="shared" si="18"/>
        <v>86.25</v>
      </c>
      <c r="BF12" s="20">
        <f t="shared" si="19"/>
        <v>86</v>
      </c>
      <c r="BG12" s="89">
        <f t="shared" si="20"/>
        <v>87</v>
      </c>
      <c r="BH12" s="20">
        <f t="shared" si="21"/>
        <v>87</v>
      </c>
      <c r="BI12" s="20">
        <f t="shared" si="22"/>
        <v>86.5625</v>
      </c>
    </row>
    <row r="13" spans="1:61" x14ac:dyDescent="0.2">
      <c r="A13" s="29">
        <v>11</v>
      </c>
      <c r="B13" s="88" t="s">
        <v>122</v>
      </c>
      <c r="C13" s="69" t="s">
        <v>51</v>
      </c>
      <c r="D13" s="69" t="s">
        <v>52</v>
      </c>
      <c r="E13" s="19">
        <v>79</v>
      </c>
      <c r="F13" s="20"/>
      <c r="G13" s="20">
        <v>80</v>
      </c>
      <c r="H13" s="20"/>
      <c r="I13" s="20">
        <v>78</v>
      </c>
      <c r="J13" s="20"/>
      <c r="K13" s="20">
        <v>79</v>
      </c>
      <c r="L13" s="21"/>
      <c r="M13" s="19">
        <v>77</v>
      </c>
      <c r="N13" s="20"/>
      <c r="O13" s="20">
        <v>76</v>
      </c>
      <c r="P13" s="20"/>
      <c r="Q13" s="20">
        <v>77</v>
      </c>
      <c r="R13" s="20"/>
      <c r="S13" s="20">
        <v>75</v>
      </c>
      <c r="T13" s="21"/>
      <c r="U13" s="19">
        <v>73</v>
      </c>
      <c r="V13" s="20"/>
      <c r="W13" s="20">
        <v>74</v>
      </c>
      <c r="X13" s="20"/>
      <c r="Y13" s="20">
        <v>75</v>
      </c>
      <c r="Z13" s="20"/>
      <c r="AA13" s="20">
        <v>76</v>
      </c>
      <c r="AB13" s="21"/>
      <c r="AC13" s="1">
        <v>77</v>
      </c>
      <c r="AD13" s="20"/>
      <c r="AE13" s="20">
        <v>78</v>
      </c>
      <c r="AF13" s="20"/>
      <c r="AG13" s="20">
        <v>79</v>
      </c>
      <c r="AH13" s="20"/>
      <c r="AI13" s="20">
        <v>76</v>
      </c>
      <c r="AJ13" s="3"/>
      <c r="AK13" s="44">
        <f t="shared" si="4"/>
        <v>79</v>
      </c>
      <c r="AL13" s="45">
        <f t="shared" si="5"/>
        <v>76.25</v>
      </c>
      <c r="AM13" s="46">
        <f t="shared" si="6"/>
        <v>74.5</v>
      </c>
      <c r="AN13" s="47">
        <f t="shared" si="7"/>
        <v>77.5</v>
      </c>
      <c r="AO13" s="48">
        <f t="shared" si="8"/>
        <v>76.8125</v>
      </c>
      <c r="AP13" s="37"/>
      <c r="AR13" s="54" t="str">
        <f t="shared" si="9"/>
        <v/>
      </c>
      <c r="AS13" s="20"/>
      <c r="AT13" s="56">
        <f t="shared" si="10"/>
        <v>0</v>
      </c>
      <c r="AU13" s="57" t="str">
        <f t="shared" si="11"/>
        <v/>
      </c>
      <c r="AV13" s="54" t="str">
        <f t="shared" si="12"/>
        <v/>
      </c>
      <c r="AW13" s="20"/>
      <c r="AX13" s="56">
        <f t="shared" si="13"/>
        <v>0</v>
      </c>
      <c r="AY13" s="60" t="str">
        <f t="shared" si="14"/>
        <v/>
      </c>
      <c r="AZ13" s="54" t="str">
        <f t="shared" si="15"/>
        <v/>
      </c>
      <c r="BA13" s="21"/>
      <c r="BB13" s="62">
        <f t="shared" si="16"/>
        <v>76.8125</v>
      </c>
      <c r="BC13" s="64" t="str">
        <f t="shared" si="17"/>
        <v/>
      </c>
      <c r="BE13" s="20">
        <f t="shared" si="18"/>
        <v>76.5</v>
      </c>
      <c r="BF13" s="20">
        <f t="shared" si="19"/>
        <v>77</v>
      </c>
      <c r="BG13" s="89">
        <f t="shared" si="20"/>
        <v>77.25</v>
      </c>
      <c r="BH13" s="20">
        <f t="shared" si="21"/>
        <v>76.5</v>
      </c>
      <c r="BI13" s="20">
        <f t="shared" si="22"/>
        <v>76.8125</v>
      </c>
    </row>
    <row r="14" spans="1:61" x14ac:dyDescent="0.2">
      <c r="A14" s="29">
        <v>12</v>
      </c>
      <c r="B14" s="88" t="s">
        <v>123</v>
      </c>
      <c r="C14" s="70" t="s">
        <v>53</v>
      </c>
      <c r="D14" s="70" t="s">
        <v>54</v>
      </c>
      <c r="E14" s="19">
        <v>90</v>
      </c>
      <c r="F14" s="20"/>
      <c r="G14" s="20">
        <v>89</v>
      </c>
      <c r="H14" s="20"/>
      <c r="I14" s="20">
        <v>90</v>
      </c>
      <c r="J14" s="20"/>
      <c r="K14" s="20">
        <v>89</v>
      </c>
      <c r="L14" s="21"/>
      <c r="M14" s="19">
        <v>90</v>
      </c>
      <c r="N14" s="20"/>
      <c r="O14" s="20">
        <v>91</v>
      </c>
      <c r="P14" s="20"/>
      <c r="Q14" s="20">
        <v>92</v>
      </c>
      <c r="R14" s="20"/>
      <c r="S14" s="20">
        <v>90</v>
      </c>
      <c r="T14" s="21"/>
      <c r="U14" s="19">
        <v>89</v>
      </c>
      <c r="V14" s="20"/>
      <c r="W14" s="20">
        <v>88</v>
      </c>
      <c r="X14" s="20"/>
      <c r="Y14" s="20">
        <v>90</v>
      </c>
      <c r="Z14" s="20"/>
      <c r="AA14" s="20">
        <v>89</v>
      </c>
      <c r="AB14" s="21"/>
      <c r="AC14" s="1">
        <v>90</v>
      </c>
      <c r="AD14" s="20"/>
      <c r="AE14" s="20">
        <v>89</v>
      </c>
      <c r="AF14" s="20"/>
      <c r="AG14" s="20">
        <v>90</v>
      </c>
      <c r="AH14" s="20"/>
      <c r="AI14" s="20">
        <v>91</v>
      </c>
      <c r="AJ14" s="3"/>
      <c r="AK14" s="44">
        <f t="shared" si="4"/>
        <v>89.5</v>
      </c>
      <c r="AL14" s="45">
        <f t="shared" si="5"/>
        <v>90.75</v>
      </c>
      <c r="AM14" s="46">
        <f t="shared" si="6"/>
        <v>89</v>
      </c>
      <c r="AN14" s="47">
        <f t="shared" si="7"/>
        <v>90</v>
      </c>
      <c r="AO14" s="48">
        <f t="shared" si="8"/>
        <v>89.8125</v>
      </c>
      <c r="AP14" s="37"/>
      <c r="AR14" s="54" t="str">
        <f t="shared" si="9"/>
        <v/>
      </c>
      <c r="AS14" s="20"/>
      <c r="AT14" s="56">
        <f t="shared" si="10"/>
        <v>0</v>
      </c>
      <c r="AU14" s="57" t="str">
        <f t="shared" si="11"/>
        <v/>
      </c>
      <c r="AV14" s="54" t="str">
        <f t="shared" si="12"/>
        <v/>
      </c>
      <c r="AW14" s="20"/>
      <c r="AX14" s="56">
        <f t="shared" si="13"/>
        <v>0</v>
      </c>
      <c r="AY14" s="60" t="str">
        <f t="shared" si="14"/>
        <v/>
      </c>
      <c r="AZ14" s="54" t="str">
        <f t="shared" si="15"/>
        <v/>
      </c>
      <c r="BA14" s="21"/>
      <c r="BB14" s="62">
        <f t="shared" si="16"/>
        <v>89.8125</v>
      </c>
      <c r="BC14" s="64" t="str">
        <f t="shared" si="17"/>
        <v/>
      </c>
      <c r="BE14" s="20">
        <f t="shared" si="18"/>
        <v>89.75</v>
      </c>
      <c r="BF14" s="20">
        <f t="shared" si="19"/>
        <v>89.25</v>
      </c>
      <c r="BG14" s="89">
        <f t="shared" si="20"/>
        <v>90.5</v>
      </c>
      <c r="BH14" s="20">
        <f t="shared" si="21"/>
        <v>89.75</v>
      </c>
      <c r="BI14" s="20">
        <f t="shared" si="22"/>
        <v>89.8125</v>
      </c>
    </row>
    <row r="15" spans="1:61" x14ac:dyDescent="0.2">
      <c r="A15" s="29">
        <v>13</v>
      </c>
      <c r="B15" s="88" t="s">
        <v>124</v>
      </c>
      <c r="C15" s="69" t="s">
        <v>55</v>
      </c>
      <c r="D15" s="69" t="s">
        <v>56</v>
      </c>
      <c r="E15" s="19">
        <v>89</v>
      </c>
      <c r="F15" s="20"/>
      <c r="G15" s="20">
        <v>88</v>
      </c>
      <c r="H15" s="20"/>
      <c r="I15" s="20">
        <v>85</v>
      </c>
      <c r="J15" s="20"/>
      <c r="K15" s="20">
        <v>88</v>
      </c>
      <c r="L15" s="21"/>
      <c r="M15" s="19">
        <v>87</v>
      </c>
      <c r="N15" s="20"/>
      <c r="O15" s="20">
        <v>88</v>
      </c>
      <c r="P15" s="20"/>
      <c r="Q15" s="20">
        <v>89</v>
      </c>
      <c r="R15" s="20"/>
      <c r="S15" s="20">
        <v>88</v>
      </c>
      <c r="T15" s="21"/>
      <c r="U15" s="19"/>
      <c r="V15" s="20"/>
      <c r="W15" s="20"/>
      <c r="X15" s="20"/>
      <c r="Y15" s="20"/>
      <c r="Z15" s="20"/>
      <c r="AA15" s="20"/>
      <c r="AB15" s="21"/>
      <c r="AC15" s="1"/>
      <c r="AD15" s="20"/>
      <c r="AE15" s="20"/>
      <c r="AF15" s="20"/>
      <c r="AG15" s="20"/>
      <c r="AH15" s="20"/>
      <c r="AI15" s="20">
        <v>88</v>
      </c>
      <c r="AJ15" s="3"/>
      <c r="AK15" s="44">
        <f t="shared" si="4"/>
        <v>87.5</v>
      </c>
      <c r="AL15" s="45">
        <f t="shared" si="5"/>
        <v>88</v>
      </c>
      <c r="AM15" s="46">
        <f t="shared" si="6"/>
        <v>0</v>
      </c>
      <c r="AN15" s="47">
        <f t="shared" si="7"/>
        <v>22</v>
      </c>
      <c r="AO15" s="48">
        <f t="shared" si="8"/>
        <v>49.375</v>
      </c>
      <c r="AP15" s="37"/>
      <c r="AR15" s="54">
        <f t="shared" si="9"/>
        <v>24.6875</v>
      </c>
      <c r="AS15" s="20"/>
      <c r="AT15" s="56">
        <f t="shared" si="10"/>
        <v>0</v>
      </c>
      <c r="AU15" s="57" t="str">
        <f t="shared" si="11"/>
        <v/>
      </c>
      <c r="AV15" s="54" t="str">
        <f t="shared" si="12"/>
        <v/>
      </c>
      <c r="AW15" s="20"/>
      <c r="AX15" s="56">
        <f t="shared" si="13"/>
        <v>0</v>
      </c>
      <c r="AY15" s="60" t="str">
        <f t="shared" si="14"/>
        <v/>
      </c>
      <c r="AZ15" s="54" t="str">
        <f t="shared" si="15"/>
        <v/>
      </c>
      <c r="BA15" s="21"/>
      <c r="BB15" s="62" t="str">
        <f t="shared" si="16"/>
        <v/>
      </c>
      <c r="BC15" s="64">
        <f t="shared" si="17"/>
        <v>49.375</v>
      </c>
      <c r="BE15" s="20">
        <f t="shared" si="18"/>
        <v>44</v>
      </c>
      <c r="BF15" s="20">
        <f t="shared" si="19"/>
        <v>44</v>
      </c>
      <c r="BG15" s="89">
        <f t="shared" si="20"/>
        <v>43.5</v>
      </c>
      <c r="BH15" s="20">
        <f t="shared" si="21"/>
        <v>66</v>
      </c>
      <c r="BI15" s="20">
        <f t="shared" si="22"/>
        <v>49.375</v>
      </c>
    </row>
    <row r="16" spans="1:61" x14ac:dyDescent="0.2">
      <c r="A16" s="29">
        <v>14</v>
      </c>
      <c r="B16" s="88" t="s">
        <v>125</v>
      </c>
      <c r="C16" s="70" t="s">
        <v>57</v>
      </c>
      <c r="D16" s="70" t="s">
        <v>58</v>
      </c>
      <c r="E16" s="19">
        <v>85</v>
      </c>
      <c r="F16" s="20"/>
      <c r="G16" s="20">
        <v>87</v>
      </c>
      <c r="H16" s="20"/>
      <c r="I16" s="20">
        <v>89</v>
      </c>
      <c r="J16" s="20"/>
      <c r="K16" s="20">
        <v>88</v>
      </c>
      <c r="L16" s="21"/>
      <c r="M16" s="19">
        <v>88</v>
      </c>
      <c r="N16" s="20"/>
      <c r="O16" s="20">
        <v>86</v>
      </c>
      <c r="P16" s="20"/>
      <c r="Q16" s="20">
        <v>87</v>
      </c>
      <c r="R16" s="20"/>
      <c r="S16" s="20">
        <v>87</v>
      </c>
      <c r="T16" s="21"/>
      <c r="U16" s="19">
        <v>87</v>
      </c>
      <c r="V16" s="20"/>
      <c r="W16" s="20">
        <v>86</v>
      </c>
      <c r="X16" s="20"/>
      <c r="Y16" s="20">
        <v>85</v>
      </c>
      <c r="Z16" s="20"/>
      <c r="AA16" s="20">
        <v>87</v>
      </c>
      <c r="AB16" s="21"/>
      <c r="AC16" s="1">
        <v>85</v>
      </c>
      <c r="AD16" s="20"/>
      <c r="AE16" s="20">
        <v>85</v>
      </c>
      <c r="AF16" s="20"/>
      <c r="AG16" s="20">
        <v>87</v>
      </c>
      <c r="AH16" s="20"/>
      <c r="AI16" s="20">
        <v>86</v>
      </c>
      <c r="AJ16" s="3"/>
      <c r="AK16" s="44">
        <f t="shared" si="4"/>
        <v>87.25</v>
      </c>
      <c r="AL16" s="45">
        <f t="shared" si="5"/>
        <v>87</v>
      </c>
      <c r="AM16" s="46">
        <f t="shared" si="6"/>
        <v>86.25</v>
      </c>
      <c r="AN16" s="47">
        <f t="shared" si="7"/>
        <v>85.75</v>
      </c>
      <c r="AO16" s="48">
        <f t="shared" si="8"/>
        <v>86.5625</v>
      </c>
      <c r="AP16" s="37"/>
      <c r="AR16" s="54" t="str">
        <f t="shared" si="9"/>
        <v/>
      </c>
      <c r="AS16" s="20"/>
      <c r="AT16" s="56">
        <f t="shared" si="10"/>
        <v>0</v>
      </c>
      <c r="AU16" s="57" t="str">
        <f t="shared" si="11"/>
        <v/>
      </c>
      <c r="AV16" s="54" t="str">
        <f t="shared" si="12"/>
        <v/>
      </c>
      <c r="AW16" s="20"/>
      <c r="AX16" s="56">
        <f t="shared" si="13"/>
        <v>0</v>
      </c>
      <c r="AY16" s="60" t="str">
        <f t="shared" si="14"/>
        <v/>
      </c>
      <c r="AZ16" s="54" t="str">
        <f t="shared" si="15"/>
        <v/>
      </c>
      <c r="BA16" s="21"/>
      <c r="BB16" s="62">
        <f t="shared" si="16"/>
        <v>86.5625</v>
      </c>
      <c r="BC16" s="64" t="str">
        <f t="shared" si="17"/>
        <v/>
      </c>
      <c r="BE16" s="20">
        <f t="shared" si="18"/>
        <v>86.25</v>
      </c>
      <c r="BF16" s="20">
        <f t="shared" si="19"/>
        <v>86</v>
      </c>
      <c r="BG16" s="89">
        <f t="shared" si="20"/>
        <v>87</v>
      </c>
      <c r="BH16" s="20">
        <f t="shared" si="21"/>
        <v>87</v>
      </c>
      <c r="BI16" s="20">
        <f t="shared" si="22"/>
        <v>86.5625</v>
      </c>
    </row>
    <row r="17" spans="1:61" x14ac:dyDescent="0.2">
      <c r="A17" s="29">
        <v>15</v>
      </c>
      <c r="B17" s="88" t="s">
        <v>126</v>
      </c>
      <c r="C17" s="69" t="s">
        <v>59</v>
      </c>
      <c r="D17" s="69" t="s">
        <v>60</v>
      </c>
      <c r="E17" s="19">
        <v>78</v>
      </c>
      <c r="F17" s="20"/>
      <c r="G17" s="20">
        <v>79</v>
      </c>
      <c r="H17" s="20"/>
      <c r="I17" s="20">
        <v>80</v>
      </c>
      <c r="J17" s="20"/>
      <c r="K17" s="20">
        <v>86</v>
      </c>
      <c r="L17" s="21"/>
      <c r="M17" s="19">
        <v>88</v>
      </c>
      <c r="N17" s="20"/>
      <c r="O17" s="20">
        <v>79</v>
      </c>
      <c r="P17" s="20"/>
      <c r="Q17" s="20">
        <v>82</v>
      </c>
      <c r="R17" s="20"/>
      <c r="S17" s="20">
        <v>85</v>
      </c>
      <c r="T17" s="21"/>
      <c r="U17" s="19">
        <v>86</v>
      </c>
      <c r="V17" s="20"/>
      <c r="W17" s="20">
        <v>87</v>
      </c>
      <c r="X17" s="20"/>
      <c r="Y17" s="20">
        <v>85</v>
      </c>
      <c r="Z17" s="20"/>
      <c r="AA17" s="20">
        <v>87</v>
      </c>
      <c r="AB17" s="21"/>
      <c r="AC17" s="1">
        <v>86</v>
      </c>
      <c r="AD17" s="20"/>
      <c r="AE17" s="20">
        <v>80</v>
      </c>
      <c r="AF17" s="20"/>
      <c r="AG17" s="20">
        <v>88</v>
      </c>
      <c r="AH17" s="20"/>
      <c r="AI17" s="20">
        <v>79</v>
      </c>
      <c r="AJ17" s="3"/>
      <c r="AK17" s="44">
        <f t="shared" si="4"/>
        <v>80.75</v>
      </c>
      <c r="AL17" s="45">
        <f t="shared" si="5"/>
        <v>83.5</v>
      </c>
      <c r="AM17" s="46">
        <f t="shared" si="6"/>
        <v>86.25</v>
      </c>
      <c r="AN17" s="47">
        <f t="shared" si="7"/>
        <v>83.25</v>
      </c>
      <c r="AO17" s="48">
        <f t="shared" si="8"/>
        <v>83.4375</v>
      </c>
      <c r="AP17" s="37"/>
      <c r="AR17" s="54" t="str">
        <f t="shared" si="9"/>
        <v/>
      </c>
      <c r="AS17" s="20"/>
      <c r="AT17" s="56">
        <f t="shared" si="10"/>
        <v>0</v>
      </c>
      <c r="AU17" s="57" t="str">
        <f t="shared" si="11"/>
        <v/>
      </c>
      <c r="AV17" s="54" t="str">
        <f t="shared" si="12"/>
        <v/>
      </c>
      <c r="AW17" s="20"/>
      <c r="AX17" s="56">
        <f t="shared" si="13"/>
        <v>0</v>
      </c>
      <c r="AY17" s="60" t="str">
        <f t="shared" si="14"/>
        <v/>
      </c>
      <c r="AZ17" s="54" t="str">
        <f t="shared" si="15"/>
        <v/>
      </c>
      <c r="BA17" s="21"/>
      <c r="BB17" s="62">
        <f t="shared" si="16"/>
        <v>83.4375</v>
      </c>
      <c r="BC17" s="64" t="str">
        <f t="shared" si="17"/>
        <v/>
      </c>
      <c r="BE17" s="20">
        <f t="shared" si="18"/>
        <v>84.5</v>
      </c>
      <c r="BF17" s="20">
        <f t="shared" si="19"/>
        <v>81.25</v>
      </c>
      <c r="BG17" s="89">
        <f t="shared" si="20"/>
        <v>83.75</v>
      </c>
      <c r="BH17" s="20">
        <f t="shared" si="21"/>
        <v>84.25</v>
      </c>
      <c r="BI17" s="20">
        <f t="shared" si="22"/>
        <v>83.4375</v>
      </c>
    </row>
    <row r="18" spans="1:61" x14ac:dyDescent="0.2">
      <c r="A18" s="29">
        <v>16</v>
      </c>
      <c r="B18" s="88" t="s">
        <v>127</v>
      </c>
      <c r="C18" s="70" t="s">
        <v>61</v>
      </c>
      <c r="D18" s="70" t="s">
        <v>62</v>
      </c>
      <c r="E18" s="19">
        <v>90</v>
      </c>
      <c r="F18" s="20"/>
      <c r="G18" s="20">
        <v>88</v>
      </c>
      <c r="H18" s="20"/>
      <c r="I18" s="20">
        <v>89</v>
      </c>
      <c r="J18" s="20"/>
      <c r="K18" s="20">
        <v>94</v>
      </c>
      <c r="L18" s="21"/>
      <c r="M18" s="19">
        <v>90</v>
      </c>
      <c r="N18" s="20"/>
      <c r="O18" s="20">
        <v>89</v>
      </c>
      <c r="P18" s="20"/>
      <c r="Q18" s="20">
        <v>92</v>
      </c>
      <c r="R18" s="20"/>
      <c r="S18" s="20">
        <v>90</v>
      </c>
      <c r="T18" s="21"/>
      <c r="U18" s="19">
        <v>85</v>
      </c>
      <c r="V18" s="20"/>
      <c r="W18" s="20">
        <v>90</v>
      </c>
      <c r="X18" s="20"/>
      <c r="Y18" s="20">
        <v>88</v>
      </c>
      <c r="Z18" s="20"/>
      <c r="AA18" s="20">
        <v>89</v>
      </c>
      <c r="AB18" s="21"/>
      <c r="AC18" s="1">
        <v>88</v>
      </c>
      <c r="AD18" s="20"/>
      <c r="AE18" s="20">
        <v>90</v>
      </c>
      <c r="AF18" s="20"/>
      <c r="AG18" s="20">
        <v>89</v>
      </c>
      <c r="AH18" s="20"/>
      <c r="AI18" s="20">
        <v>89</v>
      </c>
      <c r="AJ18" s="3"/>
      <c r="AK18" s="44">
        <f t="shared" si="4"/>
        <v>90.25</v>
      </c>
      <c r="AL18" s="45">
        <f t="shared" si="5"/>
        <v>90.25</v>
      </c>
      <c r="AM18" s="46">
        <f t="shared" si="6"/>
        <v>88</v>
      </c>
      <c r="AN18" s="47">
        <f t="shared" si="7"/>
        <v>89</v>
      </c>
      <c r="AO18" s="48">
        <f t="shared" si="8"/>
        <v>89.375</v>
      </c>
      <c r="AP18" s="37"/>
      <c r="AR18" s="54" t="str">
        <f t="shared" si="9"/>
        <v/>
      </c>
      <c r="AS18" s="20"/>
      <c r="AT18" s="56">
        <f t="shared" si="10"/>
        <v>0</v>
      </c>
      <c r="AU18" s="57" t="str">
        <f t="shared" si="11"/>
        <v/>
      </c>
      <c r="AV18" s="54" t="str">
        <f t="shared" si="12"/>
        <v/>
      </c>
      <c r="AW18" s="20"/>
      <c r="AX18" s="56">
        <f t="shared" si="13"/>
        <v>0</v>
      </c>
      <c r="AY18" s="60" t="str">
        <f t="shared" si="14"/>
        <v/>
      </c>
      <c r="AZ18" s="54" t="str">
        <f t="shared" si="15"/>
        <v/>
      </c>
      <c r="BA18" s="21"/>
      <c r="BB18" s="62">
        <f t="shared" si="16"/>
        <v>89.375</v>
      </c>
      <c r="BC18" s="64" t="str">
        <f t="shared" si="17"/>
        <v/>
      </c>
      <c r="BE18" s="20">
        <f t="shared" si="18"/>
        <v>88.25</v>
      </c>
      <c r="BF18" s="20">
        <f t="shared" si="19"/>
        <v>89.25</v>
      </c>
      <c r="BG18" s="89">
        <f t="shared" si="20"/>
        <v>89.5</v>
      </c>
      <c r="BH18" s="20">
        <f t="shared" si="21"/>
        <v>90.5</v>
      </c>
      <c r="BI18" s="20">
        <f t="shared" si="22"/>
        <v>89.375</v>
      </c>
    </row>
    <row r="19" spans="1:61" x14ac:dyDescent="0.2">
      <c r="A19" s="29">
        <v>17</v>
      </c>
      <c r="B19" s="88" t="s">
        <v>128</v>
      </c>
      <c r="C19" s="69" t="s">
        <v>63</v>
      </c>
      <c r="D19" s="69" t="s">
        <v>64</v>
      </c>
      <c r="E19" s="19">
        <v>89</v>
      </c>
      <c r="F19" s="20"/>
      <c r="G19" s="20">
        <v>90</v>
      </c>
      <c r="H19" s="20"/>
      <c r="I19" s="20">
        <v>90</v>
      </c>
      <c r="J19" s="20"/>
      <c r="K19" s="20">
        <v>95</v>
      </c>
      <c r="L19" s="21"/>
      <c r="M19" s="19">
        <v>88</v>
      </c>
      <c r="N19" s="20"/>
      <c r="O19" s="20">
        <v>90</v>
      </c>
      <c r="P19" s="20"/>
      <c r="Q19" s="20">
        <v>90</v>
      </c>
      <c r="R19" s="20"/>
      <c r="S19" s="20">
        <v>91</v>
      </c>
      <c r="T19" s="21"/>
      <c r="U19" s="19">
        <v>88</v>
      </c>
      <c r="V19" s="20"/>
      <c r="W19" s="20">
        <v>90</v>
      </c>
      <c r="X19" s="20"/>
      <c r="Y19" s="20">
        <v>92</v>
      </c>
      <c r="Z19" s="20"/>
      <c r="AA19" s="20">
        <v>90</v>
      </c>
      <c r="AB19" s="21"/>
      <c r="AC19" s="1">
        <v>92</v>
      </c>
      <c r="AD19" s="20"/>
      <c r="AE19" s="20">
        <v>90</v>
      </c>
      <c r="AF19" s="20"/>
      <c r="AG19" s="20">
        <v>89</v>
      </c>
      <c r="AH19" s="20"/>
      <c r="AI19" s="20">
        <v>90</v>
      </c>
      <c r="AJ19" s="3"/>
      <c r="AK19" s="44">
        <f t="shared" si="4"/>
        <v>91</v>
      </c>
      <c r="AL19" s="45">
        <f t="shared" si="5"/>
        <v>89.75</v>
      </c>
      <c r="AM19" s="46">
        <f t="shared" si="6"/>
        <v>90</v>
      </c>
      <c r="AN19" s="47">
        <f t="shared" si="7"/>
        <v>90.25</v>
      </c>
      <c r="AO19" s="48">
        <f t="shared" si="8"/>
        <v>90.25</v>
      </c>
      <c r="AP19" s="37"/>
      <c r="AR19" s="54" t="str">
        <f t="shared" si="9"/>
        <v/>
      </c>
      <c r="AS19" s="20"/>
      <c r="AT19" s="56">
        <f t="shared" si="10"/>
        <v>0</v>
      </c>
      <c r="AU19" s="57" t="str">
        <f t="shared" si="11"/>
        <v/>
      </c>
      <c r="AV19" s="54" t="str">
        <f t="shared" si="12"/>
        <v/>
      </c>
      <c r="AW19" s="20"/>
      <c r="AX19" s="56">
        <f t="shared" si="13"/>
        <v>0</v>
      </c>
      <c r="AY19" s="60" t="str">
        <f t="shared" si="14"/>
        <v/>
      </c>
      <c r="AZ19" s="54" t="str">
        <f t="shared" si="15"/>
        <v/>
      </c>
      <c r="BA19" s="21"/>
      <c r="BB19" s="62">
        <f t="shared" si="16"/>
        <v>90.25</v>
      </c>
      <c r="BC19" s="64" t="str">
        <f t="shared" si="17"/>
        <v/>
      </c>
      <c r="BE19" s="20">
        <f t="shared" si="18"/>
        <v>89.25</v>
      </c>
      <c r="BF19" s="20">
        <f t="shared" si="19"/>
        <v>90</v>
      </c>
      <c r="BG19" s="89">
        <f t="shared" si="20"/>
        <v>90.25</v>
      </c>
      <c r="BH19" s="20">
        <f t="shared" si="21"/>
        <v>91.5</v>
      </c>
      <c r="BI19" s="20">
        <f t="shared" si="22"/>
        <v>90.25</v>
      </c>
    </row>
    <row r="20" spans="1:61" x14ac:dyDescent="0.2">
      <c r="A20" s="29">
        <v>18</v>
      </c>
      <c r="B20" s="88" t="s">
        <v>129</v>
      </c>
      <c r="C20" s="70" t="s">
        <v>65</v>
      </c>
      <c r="D20" s="70" t="s">
        <v>66</v>
      </c>
      <c r="E20" s="19">
        <v>85</v>
      </c>
      <c r="F20" s="20"/>
      <c r="G20" s="20">
        <v>87</v>
      </c>
      <c r="H20" s="20"/>
      <c r="I20" s="20">
        <v>89</v>
      </c>
      <c r="J20" s="20"/>
      <c r="K20" s="20">
        <v>88</v>
      </c>
      <c r="L20" s="21"/>
      <c r="M20" s="19">
        <v>88</v>
      </c>
      <c r="N20" s="20"/>
      <c r="O20" s="20">
        <v>86</v>
      </c>
      <c r="P20" s="20"/>
      <c r="Q20" s="20">
        <v>87</v>
      </c>
      <c r="R20" s="20"/>
      <c r="S20" s="20">
        <v>87</v>
      </c>
      <c r="T20" s="21"/>
      <c r="U20" s="19">
        <v>87</v>
      </c>
      <c r="V20" s="20"/>
      <c r="W20" s="20">
        <v>86</v>
      </c>
      <c r="X20" s="20"/>
      <c r="Y20" s="20">
        <v>85</v>
      </c>
      <c r="Z20" s="20"/>
      <c r="AA20" s="20">
        <v>87</v>
      </c>
      <c r="AB20" s="21"/>
      <c r="AC20" s="1">
        <v>85</v>
      </c>
      <c r="AD20" s="20"/>
      <c r="AE20" s="20">
        <v>85</v>
      </c>
      <c r="AF20" s="20"/>
      <c r="AG20" s="20">
        <v>87</v>
      </c>
      <c r="AH20" s="20"/>
      <c r="AI20" s="20">
        <v>86</v>
      </c>
      <c r="AJ20" s="3"/>
      <c r="AK20" s="44">
        <f t="shared" si="4"/>
        <v>87.25</v>
      </c>
      <c r="AL20" s="45">
        <f t="shared" si="5"/>
        <v>87</v>
      </c>
      <c r="AM20" s="46">
        <f t="shared" si="6"/>
        <v>86.25</v>
      </c>
      <c r="AN20" s="47">
        <f t="shared" si="7"/>
        <v>85.75</v>
      </c>
      <c r="AO20" s="48">
        <f t="shared" si="8"/>
        <v>86.5625</v>
      </c>
      <c r="AP20" s="37"/>
      <c r="AR20" s="54" t="str">
        <f t="shared" si="9"/>
        <v/>
      </c>
      <c r="AS20" s="20"/>
      <c r="AT20" s="56">
        <f t="shared" si="10"/>
        <v>0</v>
      </c>
      <c r="AU20" s="57" t="str">
        <f t="shared" si="11"/>
        <v/>
      </c>
      <c r="AV20" s="54" t="str">
        <f t="shared" si="12"/>
        <v/>
      </c>
      <c r="AW20" s="20"/>
      <c r="AX20" s="56">
        <f t="shared" si="13"/>
        <v>0</v>
      </c>
      <c r="AY20" s="60" t="str">
        <f t="shared" si="14"/>
        <v/>
      </c>
      <c r="AZ20" s="54" t="str">
        <f t="shared" si="15"/>
        <v/>
      </c>
      <c r="BA20" s="21"/>
      <c r="BB20" s="62">
        <f t="shared" si="16"/>
        <v>86.5625</v>
      </c>
      <c r="BC20" s="64" t="str">
        <f t="shared" si="17"/>
        <v/>
      </c>
      <c r="BE20" s="20">
        <f t="shared" si="18"/>
        <v>86.25</v>
      </c>
      <c r="BF20" s="20">
        <f t="shared" si="19"/>
        <v>86</v>
      </c>
      <c r="BG20" s="89">
        <f t="shared" si="20"/>
        <v>87</v>
      </c>
      <c r="BH20" s="20">
        <f t="shared" si="21"/>
        <v>87</v>
      </c>
      <c r="BI20" s="20">
        <f t="shared" si="22"/>
        <v>86.5625</v>
      </c>
    </row>
    <row r="21" spans="1:61" x14ac:dyDescent="0.2">
      <c r="A21" s="29">
        <v>19</v>
      </c>
      <c r="B21" s="88" t="s">
        <v>130</v>
      </c>
      <c r="C21" s="69" t="s">
        <v>67</v>
      </c>
      <c r="D21" s="69" t="s">
        <v>68</v>
      </c>
      <c r="E21" s="19">
        <v>90</v>
      </c>
      <c r="F21" s="20"/>
      <c r="G21" s="20">
        <v>89</v>
      </c>
      <c r="H21" s="20"/>
      <c r="I21" s="20">
        <v>90</v>
      </c>
      <c r="J21" s="20"/>
      <c r="K21" s="20">
        <v>89</v>
      </c>
      <c r="L21" s="21"/>
      <c r="M21" s="19">
        <v>89</v>
      </c>
      <c r="N21" s="20"/>
      <c r="O21" s="20">
        <v>92</v>
      </c>
      <c r="P21" s="20"/>
      <c r="Q21" s="20">
        <v>91</v>
      </c>
      <c r="R21" s="20"/>
      <c r="S21" s="20">
        <v>92</v>
      </c>
      <c r="T21" s="21"/>
      <c r="U21" s="19">
        <v>89</v>
      </c>
      <c r="V21" s="20"/>
      <c r="W21" s="20">
        <v>90</v>
      </c>
      <c r="X21" s="20"/>
      <c r="Y21" s="20">
        <v>90</v>
      </c>
      <c r="Z21" s="20"/>
      <c r="AA21" s="20">
        <v>92</v>
      </c>
      <c r="AB21" s="21"/>
      <c r="AC21" s="1">
        <v>90</v>
      </c>
      <c r="AD21" s="20"/>
      <c r="AE21" s="20">
        <v>89</v>
      </c>
      <c r="AF21" s="20"/>
      <c r="AG21" s="20">
        <v>90</v>
      </c>
      <c r="AH21" s="20"/>
      <c r="AI21" s="20">
        <v>92</v>
      </c>
      <c r="AJ21" s="3"/>
      <c r="AK21" s="44">
        <f t="shared" si="4"/>
        <v>89.5</v>
      </c>
      <c r="AL21" s="45">
        <f t="shared" si="5"/>
        <v>91</v>
      </c>
      <c r="AM21" s="46">
        <f t="shared" si="6"/>
        <v>90.25</v>
      </c>
      <c r="AN21" s="47">
        <f t="shared" si="7"/>
        <v>90.25</v>
      </c>
      <c r="AO21" s="48">
        <f t="shared" si="8"/>
        <v>90.25</v>
      </c>
      <c r="AP21" s="37"/>
      <c r="AR21" s="54" t="str">
        <f t="shared" si="9"/>
        <v/>
      </c>
      <c r="AS21" s="20"/>
      <c r="AT21" s="56">
        <f t="shared" si="10"/>
        <v>0</v>
      </c>
      <c r="AU21" s="57" t="str">
        <f t="shared" si="11"/>
        <v/>
      </c>
      <c r="AV21" s="54" t="str">
        <f t="shared" si="12"/>
        <v/>
      </c>
      <c r="AW21" s="20"/>
      <c r="AX21" s="56">
        <f t="shared" si="13"/>
        <v>0</v>
      </c>
      <c r="AY21" s="60" t="str">
        <f t="shared" si="14"/>
        <v/>
      </c>
      <c r="AZ21" s="54" t="str">
        <f t="shared" si="15"/>
        <v/>
      </c>
      <c r="BA21" s="21"/>
      <c r="BB21" s="62">
        <f t="shared" si="16"/>
        <v>90.25</v>
      </c>
      <c r="BC21" s="64" t="str">
        <f t="shared" si="17"/>
        <v/>
      </c>
      <c r="BE21" s="20">
        <f t="shared" si="18"/>
        <v>89.5</v>
      </c>
      <c r="BF21" s="20">
        <f t="shared" si="19"/>
        <v>90</v>
      </c>
      <c r="BG21" s="89">
        <f t="shared" si="20"/>
        <v>90.25</v>
      </c>
      <c r="BH21" s="20">
        <f t="shared" si="21"/>
        <v>91.25</v>
      </c>
      <c r="BI21" s="20">
        <f t="shared" si="22"/>
        <v>90.25</v>
      </c>
    </row>
    <row r="22" spans="1:61" x14ac:dyDescent="0.2">
      <c r="A22" s="29">
        <v>20</v>
      </c>
      <c r="B22" s="88" t="s">
        <v>131</v>
      </c>
      <c r="C22" s="70" t="s">
        <v>69</v>
      </c>
      <c r="D22" s="70" t="s">
        <v>70</v>
      </c>
      <c r="E22" s="19">
        <v>90</v>
      </c>
      <c r="F22" s="20"/>
      <c r="G22" s="20">
        <v>88</v>
      </c>
      <c r="H22" s="20"/>
      <c r="I22" s="20">
        <v>90</v>
      </c>
      <c r="J22" s="20"/>
      <c r="K22" s="20">
        <v>95</v>
      </c>
      <c r="L22" s="21"/>
      <c r="M22" s="19">
        <v>90</v>
      </c>
      <c r="N22" s="20"/>
      <c r="O22" s="20">
        <v>87</v>
      </c>
      <c r="P22" s="20"/>
      <c r="Q22" s="20">
        <v>89</v>
      </c>
      <c r="R22" s="20"/>
      <c r="S22" s="20">
        <v>90</v>
      </c>
      <c r="T22" s="21"/>
      <c r="U22" s="19">
        <v>90</v>
      </c>
      <c r="V22" s="20"/>
      <c r="W22" s="20">
        <v>88</v>
      </c>
      <c r="X22" s="20"/>
      <c r="Y22" s="20">
        <v>85</v>
      </c>
      <c r="Z22" s="20"/>
      <c r="AA22" s="20">
        <v>87</v>
      </c>
      <c r="AB22" s="21"/>
      <c r="AC22" s="1">
        <v>85</v>
      </c>
      <c r="AD22" s="20"/>
      <c r="AE22" s="20">
        <v>90</v>
      </c>
      <c r="AF22" s="20"/>
      <c r="AG22" s="20">
        <v>87</v>
      </c>
      <c r="AH22" s="20"/>
      <c r="AI22" s="20">
        <v>87</v>
      </c>
      <c r="AJ22" s="3"/>
      <c r="AK22" s="44">
        <f t="shared" si="4"/>
        <v>90.75</v>
      </c>
      <c r="AL22" s="45">
        <f t="shared" si="5"/>
        <v>89</v>
      </c>
      <c r="AM22" s="46">
        <f t="shared" si="6"/>
        <v>87.5</v>
      </c>
      <c r="AN22" s="47">
        <f t="shared" si="7"/>
        <v>87.25</v>
      </c>
      <c r="AO22" s="48">
        <f t="shared" si="8"/>
        <v>88.625</v>
      </c>
      <c r="AP22" s="37"/>
      <c r="AR22" s="54" t="str">
        <f t="shared" si="9"/>
        <v/>
      </c>
      <c r="AS22" s="20"/>
      <c r="AT22" s="56">
        <f t="shared" si="10"/>
        <v>0</v>
      </c>
      <c r="AU22" s="57" t="str">
        <f t="shared" si="11"/>
        <v/>
      </c>
      <c r="AV22" s="54" t="str">
        <f t="shared" si="12"/>
        <v/>
      </c>
      <c r="AW22" s="20"/>
      <c r="AX22" s="56">
        <f t="shared" si="13"/>
        <v>0</v>
      </c>
      <c r="AY22" s="60" t="str">
        <f t="shared" si="14"/>
        <v/>
      </c>
      <c r="AZ22" s="54" t="str">
        <f t="shared" si="15"/>
        <v/>
      </c>
      <c r="BA22" s="21"/>
      <c r="BB22" s="62">
        <f t="shared" si="16"/>
        <v>88.625</v>
      </c>
      <c r="BC22" s="64" t="str">
        <f t="shared" si="17"/>
        <v/>
      </c>
      <c r="BE22" s="20">
        <f t="shared" si="18"/>
        <v>88.75</v>
      </c>
      <c r="BF22" s="20">
        <f t="shared" si="19"/>
        <v>88.25</v>
      </c>
      <c r="BG22" s="89">
        <f t="shared" si="20"/>
        <v>87.75</v>
      </c>
      <c r="BH22" s="20">
        <f t="shared" si="21"/>
        <v>89.75</v>
      </c>
      <c r="BI22" s="20">
        <f t="shared" si="22"/>
        <v>88.625</v>
      </c>
    </row>
    <row r="23" spans="1:61" x14ac:dyDescent="0.2">
      <c r="A23" s="29">
        <v>21</v>
      </c>
      <c r="B23" s="88" t="s">
        <v>132</v>
      </c>
      <c r="C23" s="69" t="s">
        <v>71</v>
      </c>
      <c r="D23" s="69" t="s">
        <v>72</v>
      </c>
      <c r="E23" s="19">
        <v>85</v>
      </c>
      <c r="F23" s="20"/>
      <c r="G23" s="20">
        <v>87</v>
      </c>
      <c r="H23" s="20"/>
      <c r="I23" s="20">
        <v>89</v>
      </c>
      <c r="J23" s="20"/>
      <c r="K23" s="20">
        <v>88</v>
      </c>
      <c r="L23" s="21"/>
      <c r="M23" s="19">
        <v>88</v>
      </c>
      <c r="N23" s="20"/>
      <c r="O23" s="20">
        <v>86</v>
      </c>
      <c r="P23" s="20"/>
      <c r="Q23" s="20">
        <v>87</v>
      </c>
      <c r="R23" s="20"/>
      <c r="S23" s="20">
        <v>87</v>
      </c>
      <c r="T23" s="21"/>
      <c r="U23" s="19">
        <v>87</v>
      </c>
      <c r="V23" s="20"/>
      <c r="W23" s="20">
        <v>86</v>
      </c>
      <c r="X23" s="20"/>
      <c r="Y23" s="20">
        <v>85</v>
      </c>
      <c r="Z23" s="20"/>
      <c r="AA23" s="20">
        <v>87</v>
      </c>
      <c r="AB23" s="21"/>
      <c r="AC23" s="1">
        <v>85</v>
      </c>
      <c r="AD23" s="20"/>
      <c r="AE23" s="20">
        <v>85</v>
      </c>
      <c r="AF23" s="20"/>
      <c r="AG23" s="20">
        <v>87</v>
      </c>
      <c r="AH23" s="20"/>
      <c r="AI23" s="20">
        <v>86</v>
      </c>
      <c r="AJ23" s="3"/>
      <c r="AK23" s="44">
        <f t="shared" si="4"/>
        <v>87.25</v>
      </c>
      <c r="AL23" s="45">
        <f t="shared" si="5"/>
        <v>87</v>
      </c>
      <c r="AM23" s="46">
        <f t="shared" si="6"/>
        <v>86.25</v>
      </c>
      <c r="AN23" s="47">
        <f t="shared" si="7"/>
        <v>85.75</v>
      </c>
      <c r="AO23" s="48">
        <f t="shared" si="8"/>
        <v>86.5625</v>
      </c>
      <c r="AP23" s="37"/>
      <c r="AR23" s="54" t="str">
        <f t="shared" si="9"/>
        <v/>
      </c>
      <c r="AS23" s="20"/>
      <c r="AT23" s="56">
        <f t="shared" si="10"/>
        <v>0</v>
      </c>
      <c r="AU23" s="57" t="str">
        <f t="shared" si="11"/>
        <v/>
      </c>
      <c r="AV23" s="54" t="str">
        <f t="shared" si="12"/>
        <v/>
      </c>
      <c r="AW23" s="20"/>
      <c r="AX23" s="56">
        <f t="shared" si="13"/>
        <v>0</v>
      </c>
      <c r="AY23" s="60" t="str">
        <f t="shared" si="14"/>
        <v/>
      </c>
      <c r="AZ23" s="54" t="str">
        <f t="shared" si="15"/>
        <v/>
      </c>
      <c r="BA23" s="21"/>
      <c r="BB23" s="62">
        <f t="shared" si="16"/>
        <v>86.5625</v>
      </c>
      <c r="BC23" s="64" t="str">
        <f t="shared" si="17"/>
        <v/>
      </c>
      <c r="BE23" s="20">
        <f t="shared" si="18"/>
        <v>86.25</v>
      </c>
      <c r="BF23" s="20">
        <f t="shared" si="19"/>
        <v>86</v>
      </c>
      <c r="BG23" s="89">
        <f t="shared" si="20"/>
        <v>87</v>
      </c>
      <c r="BH23" s="20">
        <f t="shared" si="21"/>
        <v>87</v>
      </c>
      <c r="BI23" s="20">
        <f t="shared" si="22"/>
        <v>86.5625</v>
      </c>
    </row>
    <row r="24" spans="1:61" x14ac:dyDescent="0.2">
      <c r="A24" s="29">
        <v>22</v>
      </c>
      <c r="B24" s="88" t="s">
        <v>133</v>
      </c>
      <c r="C24" s="70" t="s">
        <v>73</v>
      </c>
      <c r="D24" s="70" t="s">
        <v>74</v>
      </c>
      <c r="E24" s="19">
        <v>85</v>
      </c>
      <c r="F24" s="20"/>
      <c r="G24" s="20">
        <v>87</v>
      </c>
      <c r="H24" s="20"/>
      <c r="I24" s="20">
        <v>89</v>
      </c>
      <c r="J24" s="20"/>
      <c r="K24" s="20">
        <v>88</v>
      </c>
      <c r="L24" s="21"/>
      <c r="M24" s="19">
        <v>88</v>
      </c>
      <c r="N24" s="20"/>
      <c r="O24" s="20">
        <v>86</v>
      </c>
      <c r="P24" s="20"/>
      <c r="Q24" s="20">
        <v>87</v>
      </c>
      <c r="R24" s="20"/>
      <c r="S24" s="20">
        <v>87</v>
      </c>
      <c r="T24" s="21"/>
      <c r="U24" s="19">
        <v>87</v>
      </c>
      <c r="V24" s="20"/>
      <c r="W24" s="20">
        <v>86</v>
      </c>
      <c r="X24" s="20"/>
      <c r="Y24" s="20">
        <v>85</v>
      </c>
      <c r="Z24" s="20"/>
      <c r="AA24" s="20">
        <v>87</v>
      </c>
      <c r="AB24" s="21"/>
      <c r="AC24" s="1">
        <v>85</v>
      </c>
      <c r="AD24" s="20"/>
      <c r="AE24" s="20">
        <v>85</v>
      </c>
      <c r="AF24" s="20"/>
      <c r="AG24" s="20">
        <v>87</v>
      </c>
      <c r="AH24" s="20"/>
      <c r="AI24" s="20">
        <v>86</v>
      </c>
      <c r="AJ24" s="3"/>
      <c r="AK24" s="44">
        <f t="shared" si="4"/>
        <v>87.25</v>
      </c>
      <c r="AL24" s="45">
        <f t="shared" si="5"/>
        <v>87</v>
      </c>
      <c r="AM24" s="46">
        <f t="shared" si="6"/>
        <v>86.25</v>
      </c>
      <c r="AN24" s="47">
        <f t="shared" si="7"/>
        <v>85.75</v>
      </c>
      <c r="AO24" s="48">
        <f t="shared" si="8"/>
        <v>86.5625</v>
      </c>
      <c r="AP24" s="37"/>
      <c r="AR24" s="54" t="str">
        <f t="shared" si="9"/>
        <v/>
      </c>
      <c r="AS24" s="20"/>
      <c r="AT24" s="56">
        <f t="shared" si="10"/>
        <v>0</v>
      </c>
      <c r="AU24" s="57" t="str">
        <f t="shared" si="11"/>
        <v/>
      </c>
      <c r="AV24" s="54" t="str">
        <f t="shared" si="12"/>
        <v/>
      </c>
      <c r="AW24" s="20"/>
      <c r="AX24" s="56">
        <f t="shared" si="13"/>
        <v>0</v>
      </c>
      <c r="AY24" s="60" t="str">
        <f t="shared" si="14"/>
        <v/>
      </c>
      <c r="AZ24" s="54" t="str">
        <f t="shared" si="15"/>
        <v/>
      </c>
      <c r="BA24" s="21"/>
      <c r="BB24" s="62">
        <f t="shared" si="16"/>
        <v>86.5625</v>
      </c>
      <c r="BC24" s="64" t="str">
        <f t="shared" si="17"/>
        <v/>
      </c>
      <c r="BE24" s="20">
        <f t="shared" si="18"/>
        <v>86.25</v>
      </c>
      <c r="BF24" s="20">
        <f t="shared" si="19"/>
        <v>86</v>
      </c>
      <c r="BG24" s="89">
        <f t="shared" si="20"/>
        <v>87</v>
      </c>
      <c r="BH24" s="20">
        <f t="shared" si="21"/>
        <v>87</v>
      </c>
      <c r="BI24" s="20">
        <f t="shared" si="22"/>
        <v>86.5625</v>
      </c>
    </row>
    <row r="25" spans="1:61" x14ac:dyDescent="0.2">
      <c r="A25" s="29">
        <v>23</v>
      </c>
      <c r="B25" s="88" t="s">
        <v>134</v>
      </c>
      <c r="C25" s="69" t="s">
        <v>75</v>
      </c>
      <c r="D25" s="69" t="s">
        <v>76</v>
      </c>
      <c r="E25" s="19">
        <v>85</v>
      </c>
      <c r="F25" s="20"/>
      <c r="G25" s="20">
        <v>87</v>
      </c>
      <c r="H25" s="20"/>
      <c r="I25" s="20">
        <v>89</v>
      </c>
      <c r="J25" s="20"/>
      <c r="K25" s="20">
        <v>88</v>
      </c>
      <c r="L25" s="21"/>
      <c r="M25" s="19">
        <v>88</v>
      </c>
      <c r="N25" s="20"/>
      <c r="O25" s="20">
        <v>86</v>
      </c>
      <c r="P25" s="20"/>
      <c r="Q25" s="20">
        <v>87</v>
      </c>
      <c r="R25" s="20"/>
      <c r="S25" s="20">
        <v>87</v>
      </c>
      <c r="T25" s="21"/>
      <c r="U25" s="19">
        <v>87</v>
      </c>
      <c r="V25" s="20"/>
      <c r="W25" s="20">
        <v>86</v>
      </c>
      <c r="X25" s="20"/>
      <c r="Y25" s="20">
        <v>85</v>
      </c>
      <c r="Z25" s="20"/>
      <c r="AA25" s="20">
        <v>87</v>
      </c>
      <c r="AB25" s="21"/>
      <c r="AC25" s="1">
        <v>85</v>
      </c>
      <c r="AD25" s="20"/>
      <c r="AE25" s="20">
        <v>85</v>
      </c>
      <c r="AF25" s="20"/>
      <c r="AG25" s="20">
        <v>87</v>
      </c>
      <c r="AH25" s="20"/>
      <c r="AI25" s="20">
        <v>86</v>
      </c>
      <c r="AJ25" s="3"/>
      <c r="AK25" s="44">
        <f t="shared" si="4"/>
        <v>87.25</v>
      </c>
      <c r="AL25" s="45">
        <f t="shared" si="5"/>
        <v>87</v>
      </c>
      <c r="AM25" s="46">
        <f t="shared" si="6"/>
        <v>86.25</v>
      </c>
      <c r="AN25" s="47">
        <f t="shared" si="7"/>
        <v>85.75</v>
      </c>
      <c r="AO25" s="48">
        <f t="shared" si="8"/>
        <v>86.5625</v>
      </c>
      <c r="AP25" s="37"/>
      <c r="AR25" s="54" t="str">
        <f t="shared" si="9"/>
        <v/>
      </c>
      <c r="AS25" s="20"/>
      <c r="AT25" s="56">
        <f t="shared" si="10"/>
        <v>0</v>
      </c>
      <c r="AU25" s="57" t="str">
        <f t="shared" si="11"/>
        <v/>
      </c>
      <c r="AV25" s="54" t="str">
        <f t="shared" si="12"/>
        <v/>
      </c>
      <c r="AW25" s="20"/>
      <c r="AX25" s="56">
        <f t="shared" si="13"/>
        <v>0</v>
      </c>
      <c r="AY25" s="60" t="str">
        <f t="shared" si="14"/>
        <v/>
      </c>
      <c r="AZ25" s="54" t="str">
        <f t="shared" si="15"/>
        <v/>
      </c>
      <c r="BA25" s="21"/>
      <c r="BB25" s="62">
        <f t="shared" si="16"/>
        <v>86.5625</v>
      </c>
      <c r="BC25" s="64" t="str">
        <f t="shared" si="17"/>
        <v/>
      </c>
      <c r="BE25" s="20">
        <f t="shared" si="18"/>
        <v>86.25</v>
      </c>
      <c r="BF25" s="20">
        <f t="shared" si="19"/>
        <v>86</v>
      </c>
      <c r="BG25" s="89">
        <f t="shared" si="20"/>
        <v>87</v>
      </c>
      <c r="BH25" s="20">
        <f t="shared" si="21"/>
        <v>87</v>
      </c>
      <c r="BI25" s="20">
        <f t="shared" si="22"/>
        <v>86.5625</v>
      </c>
    </row>
    <row r="26" spans="1:61" x14ac:dyDescent="0.2">
      <c r="A26" s="29">
        <v>24</v>
      </c>
      <c r="B26" s="88" t="s">
        <v>135</v>
      </c>
      <c r="C26" s="70" t="s">
        <v>77</v>
      </c>
      <c r="D26" s="70" t="s">
        <v>78</v>
      </c>
      <c r="E26" s="19">
        <v>70</v>
      </c>
      <c r="F26" s="20"/>
      <c r="G26" s="20">
        <v>75</v>
      </c>
      <c r="H26" s="20"/>
      <c r="I26" s="20">
        <v>78</v>
      </c>
      <c r="J26" s="20"/>
      <c r="K26" s="20">
        <v>79</v>
      </c>
      <c r="L26" s="21"/>
      <c r="M26" s="19">
        <v>75</v>
      </c>
      <c r="N26" s="20"/>
      <c r="O26" s="20">
        <v>76</v>
      </c>
      <c r="P26" s="20"/>
      <c r="Q26" s="20">
        <v>78</v>
      </c>
      <c r="R26" s="20"/>
      <c r="S26" s="20">
        <v>79</v>
      </c>
      <c r="T26" s="21"/>
      <c r="U26" s="19">
        <v>79</v>
      </c>
      <c r="V26" s="20"/>
      <c r="W26" s="20">
        <v>80</v>
      </c>
      <c r="X26" s="20"/>
      <c r="Y26" s="20">
        <v>82</v>
      </c>
      <c r="Z26" s="20"/>
      <c r="AA26" s="20">
        <v>79</v>
      </c>
      <c r="AB26" s="21"/>
      <c r="AC26" s="1">
        <v>78</v>
      </c>
      <c r="AD26" s="20"/>
      <c r="AE26" s="20">
        <v>79</v>
      </c>
      <c r="AF26" s="20"/>
      <c r="AG26" s="20">
        <v>79</v>
      </c>
      <c r="AH26" s="20"/>
      <c r="AI26" s="20">
        <v>76</v>
      </c>
      <c r="AJ26" s="3"/>
      <c r="AK26" s="44">
        <f t="shared" si="4"/>
        <v>75.5</v>
      </c>
      <c r="AL26" s="45">
        <f t="shared" si="5"/>
        <v>77</v>
      </c>
      <c r="AM26" s="46">
        <f t="shared" si="6"/>
        <v>80</v>
      </c>
      <c r="AN26" s="47">
        <f t="shared" si="7"/>
        <v>78</v>
      </c>
      <c r="AO26" s="48">
        <f t="shared" si="8"/>
        <v>77.625</v>
      </c>
      <c r="AP26" s="37"/>
      <c r="AR26" s="54" t="str">
        <f t="shared" si="9"/>
        <v/>
      </c>
      <c r="AS26" s="20"/>
      <c r="AT26" s="56">
        <f t="shared" si="10"/>
        <v>0</v>
      </c>
      <c r="AU26" s="57" t="str">
        <f t="shared" si="11"/>
        <v/>
      </c>
      <c r="AV26" s="54" t="str">
        <f t="shared" si="12"/>
        <v/>
      </c>
      <c r="AW26" s="20"/>
      <c r="AX26" s="56">
        <f t="shared" si="13"/>
        <v>0</v>
      </c>
      <c r="AY26" s="60" t="str">
        <f t="shared" si="14"/>
        <v/>
      </c>
      <c r="AZ26" s="54" t="str">
        <f t="shared" si="15"/>
        <v/>
      </c>
      <c r="BA26" s="21"/>
      <c r="BB26" s="62">
        <f t="shared" si="16"/>
        <v>77.625</v>
      </c>
      <c r="BC26" s="64" t="str">
        <f t="shared" si="17"/>
        <v/>
      </c>
      <c r="BE26" s="20">
        <f t="shared" si="18"/>
        <v>75.5</v>
      </c>
      <c r="BF26" s="20">
        <f t="shared" si="19"/>
        <v>77.5</v>
      </c>
      <c r="BG26" s="89">
        <f t="shared" si="20"/>
        <v>79.25</v>
      </c>
      <c r="BH26" s="20">
        <f t="shared" si="21"/>
        <v>78.25</v>
      </c>
      <c r="BI26" s="20">
        <f t="shared" si="22"/>
        <v>77.625</v>
      </c>
    </row>
    <row r="27" spans="1:61" x14ac:dyDescent="0.2">
      <c r="A27" s="29">
        <v>25</v>
      </c>
      <c r="B27" s="88" t="s">
        <v>136</v>
      </c>
      <c r="C27" s="69" t="s">
        <v>79</v>
      </c>
      <c r="D27" s="69" t="s">
        <v>80</v>
      </c>
      <c r="E27" s="19">
        <v>88</v>
      </c>
      <c r="F27" s="20"/>
      <c r="G27" s="20">
        <v>86</v>
      </c>
      <c r="H27" s="20"/>
      <c r="I27" s="20">
        <v>87</v>
      </c>
      <c r="J27" s="20"/>
      <c r="K27" s="20">
        <v>80</v>
      </c>
      <c r="L27" s="21"/>
      <c r="M27" s="19">
        <v>85</v>
      </c>
      <c r="N27" s="20"/>
      <c r="O27" s="20">
        <v>87</v>
      </c>
      <c r="P27" s="20"/>
      <c r="Q27" s="20">
        <v>84</v>
      </c>
      <c r="R27" s="20"/>
      <c r="S27" s="20">
        <v>85</v>
      </c>
      <c r="T27" s="21"/>
      <c r="U27" s="19">
        <v>80</v>
      </c>
      <c r="V27" s="20"/>
      <c r="W27" s="20">
        <v>86</v>
      </c>
      <c r="X27" s="20"/>
      <c r="Y27" s="20">
        <v>87</v>
      </c>
      <c r="Z27" s="20"/>
      <c r="AA27" s="20">
        <v>86</v>
      </c>
      <c r="AB27" s="21"/>
      <c r="AC27" s="1">
        <v>85</v>
      </c>
      <c r="AD27" s="20"/>
      <c r="AE27" s="20">
        <v>87</v>
      </c>
      <c r="AF27" s="20"/>
      <c r="AG27" s="20">
        <v>86</v>
      </c>
      <c r="AH27" s="20"/>
      <c r="AI27" s="20">
        <v>87</v>
      </c>
      <c r="AJ27" s="3"/>
      <c r="AK27" s="44">
        <f t="shared" si="4"/>
        <v>85.25</v>
      </c>
      <c r="AL27" s="45">
        <f t="shared" si="5"/>
        <v>85.25</v>
      </c>
      <c r="AM27" s="46">
        <f t="shared" si="6"/>
        <v>84.75</v>
      </c>
      <c r="AN27" s="47">
        <f t="shared" si="7"/>
        <v>86.25</v>
      </c>
      <c r="AO27" s="48">
        <f t="shared" si="8"/>
        <v>85.375</v>
      </c>
      <c r="AP27" s="37"/>
      <c r="AR27" s="54" t="str">
        <f t="shared" si="9"/>
        <v/>
      </c>
      <c r="AS27" s="20"/>
      <c r="AT27" s="56">
        <f t="shared" si="10"/>
        <v>0</v>
      </c>
      <c r="AU27" s="57" t="str">
        <f t="shared" si="11"/>
        <v/>
      </c>
      <c r="AV27" s="54" t="str">
        <f t="shared" si="12"/>
        <v/>
      </c>
      <c r="AW27" s="20"/>
      <c r="AX27" s="56">
        <f t="shared" si="13"/>
        <v>0</v>
      </c>
      <c r="AY27" s="60" t="str">
        <f t="shared" si="14"/>
        <v/>
      </c>
      <c r="AZ27" s="54" t="str">
        <f t="shared" si="15"/>
        <v/>
      </c>
      <c r="BA27" s="21"/>
      <c r="BB27" s="62">
        <f t="shared" si="16"/>
        <v>85.375</v>
      </c>
      <c r="BC27" s="64" t="str">
        <f t="shared" si="17"/>
        <v/>
      </c>
      <c r="BE27" s="20">
        <f t="shared" si="18"/>
        <v>84.5</v>
      </c>
      <c r="BF27" s="20">
        <f t="shared" si="19"/>
        <v>86.5</v>
      </c>
      <c r="BG27" s="89">
        <f t="shared" si="20"/>
        <v>86</v>
      </c>
      <c r="BH27" s="20">
        <f t="shared" si="21"/>
        <v>84.5</v>
      </c>
      <c r="BI27" s="20">
        <f t="shared" si="22"/>
        <v>85.375</v>
      </c>
    </row>
    <row r="28" spans="1:61" x14ac:dyDescent="0.2">
      <c r="A28" s="29">
        <v>26</v>
      </c>
      <c r="B28" s="88" t="s">
        <v>137</v>
      </c>
      <c r="C28" s="70" t="s">
        <v>81</v>
      </c>
      <c r="D28" s="70" t="s">
        <v>82</v>
      </c>
      <c r="E28" s="19">
        <v>88</v>
      </c>
      <c r="F28" s="20"/>
      <c r="G28" s="20">
        <v>90</v>
      </c>
      <c r="H28" s="20"/>
      <c r="I28" s="20">
        <v>90</v>
      </c>
      <c r="J28" s="20"/>
      <c r="K28" s="20">
        <v>95</v>
      </c>
      <c r="L28" s="21"/>
      <c r="M28" s="19">
        <v>88</v>
      </c>
      <c r="N28" s="20"/>
      <c r="O28" s="20">
        <v>90</v>
      </c>
      <c r="P28" s="20"/>
      <c r="Q28" s="20">
        <v>89</v>
      </c>
      <c r="R28" s="20"/>
      <c r="S28" s="20">
        <v>88</v>
      </c>
      <c r="T28" s="21"/>
      <c r="U28" s="19">
        <v>90</v>
      </c>
      <c r="V28" s="20"/>
      <c r="W28" s="20">
        <v>87</v>
      </c>
      <c r="X28" s="20"/>
      <c r="Y28" s="20">
        <v>91</v>
      </c>
      <c r="Z28" s="20"/>
      <c r="AA28" s="20">
        <v>90</v>
      </c>
      <c r="AB28" s="21"/>
      <c r="AC28" s="1">
        <v>90</v>
      </c>
      <c r="AD28" s="20"/>
      <c r="AE28" s="20">
        <v>92</v>
      </c>
      <c r="AF28" s="20"/>
      <c r="AG28" s="20">
        <v>90</v>
      </c>
      <c r="AH28" s="20"/>
      <c r="AI28" s="20">
        <v>90</v>
      </c>
      <c r="AJ28" s="3"/>
      <c r="AK28" s="44">
        <f t="shared" si="4"/>
        <v>90.75</v>
      </c>
      <c r="AL28" s="45">
        <f t="shared" si="5"/>
        <v>88.75</v>
      </c>
      <c r="AM28" s="46">
        <f t="shared" si="6"/>
        <v>89.5</v>
      </c>
      <c r="AN28" s="47">
        <f t="shared" si="7"/>
        <v>90.5</v>
      </c>
      <c r="AO28" s="48">
        <f t="shared" si="8"/>
        <v>89.875</v>
      </c>
      <c r="AP28" s="37"/>
      <c r="AR28" s="54" t="str">
        <f t="shared" si="9"/>
        <v/>
      </c>
      <c r="AS28" s="20"/>
      <c r="AT28" s="56">
        <f t="shared" si="10"/>
        <v>0</v>
      </c>
      <c r="AU28" s="57" t="str">
        <f t="shared" si="11"/>
        <v/>
      </c>
      <c r="AV28" s="54" t="str">
        <f t="shared" si="12"/>
        <v/>
      </c>
      <c r="AW28" s="20"/>
      <c r="AX28" s="56">
        <f t="shared" si="13"/>
        <v>0</v>
      </c>
      <c r="AY28" s="60" t="str">
        <f t="shared" si="14"/>
        <v/>
      </c>
      <c r="AZ28" s="54" t="str">
        <f t="shared" si="15"/>
        <v/>
      </c>
      <c r="BA28" s="21"/>
      <c r="BB28" s="62">
        <f t="shared" si="16"/>
        <v>89.875</v>
      </c>
      <c r="BC28" s="64" t="str">
        <f t="shared" si="17"/>
        <v/>
      </c>
      <c r="BE28" s="20">
        <f t="shared" si="18"/>
        <v>89</v>
      </c>
      <c r="BF28" s="20">
        <f t="shared" si="19"/>
        <v>89.75</v>
      </c>
      <c r="BG28" s="89">
        <f t="shared" si="20"/>
        <v>90</v>
      </c>
      <c r="BH28" s="20">
        <f t="shared" si="21"/>
        <v>90.75</v>
      </c>
      <c r="BI28" s="20">
        <f t="shared" si="22"/>
        <v>89.875</v>
      </c>
    </row>
    <row r="29" spans="1:61" x14ac:dyDescent="0.2">
      <c r="A29" s="29">
        <v>27</v>
      </c>
      <c r="B29" s="88" t="s">
        <v>138</v>
      </c>
      <c r="C29" s="69" t="s">
        <v>83</v>
      </c>
      <c r="D29" s="69" t="s">
        <v>84</v>
      </c>
      <c r="E29" s="19">
        <v>90</v>
      </c>
      <c r="F29" s="20"/>
      <c r="G29" s="20">
        <v>89</v>
      </c>
      <c r="H29" s="20"/>
      <c r="I29" s="20">
        <v>90</v>
      </c>
      <c r="J29" s="20"/>
      <c r="K29" s="20">
        <v>90</v>
      </c>
      <c r="L29" s="21"/>
      <c r="M29" s="19">
        <v>90</v>
      </c>
      <c r="N29" s="20"/>
      <c r="O29" s="20">
        <v>89</v>
      </c>
      <c r="P29" s="20"/>
      <c r="Q29" s="20">
        <v>90</v>
      </c>
      <c r="R29" s="20"/>
      <c r="S29" s="20">
        <v>92</v>
      </c>
      <c r="T29" s="21"/>
      <c r="U29" s="19">
        <v>90</v>
      </c>
      <c r="V29" s="20"/>
      <c r="W29" s="20">
        <v>88</v>
      </c>
      <c r="X29" s="20"/>
      <c r="Y29" s="20">
        <v>90</v>
      </c>
      <c r="Z29" s="20"/>
      <c r="AA29" s="20">
        <v>90</v>
      </c>
      <c r="AB29" s="21"/>
      <c r="AC29" s="1">
        <v>90</v>
      </c>
      <c r="AD29" s="20"/>
      <c r="AE29" s="20">
        <v>91</v>
      </c>
      <c r="AF29" s="20"/>
      <c r="AG29" s="20">
        <v>90</v>
      </c>
      <c r="AH29" s="20"/>
      <c r="AI29" s="20">
        <v>89</v>
      </c>
      <c r="AJ29" s="3"/>
      <c r="AK29" s="44">
        <f t="shared" si="4"/>
        <v>89.75</v>
      </c>
      <c r="AL29" s="45">
        <f t="shared" si="5"/>
        <v>90.25</v>
      </c>
      <c r="AM29" s="46">
        <f t="shared" si="6"/>
        <v>89.5</v>
      </c>
      <c r="AN29" s="47">
        <f t="shared" si="7"/>
        <v>90</v>
      </c>
      <c r="AO29" s="48">
        <f t="shared" si="8"/>
        <v>89.875</v>
      </c>
      <c r="AP29" s="37"/>
      <c r="AR29" s="54" t="str">
        <f t="shared" si="9"/>
        <v/>
      </c>
      <c r="AS29" s="20"/>
      <c r="AT29" s="56">
        <f t="shared" si="10"/>
        <v>0</v>
      </c>
      <c r="AU29" s="57" t="str">
        <f t="shared" si="11"/>
        <v/>
      </c>
      <c r="AV29" s="54" t="str">
        <f t="shared" si="12"/>
        <v/>
      </c>
      <c r="AW29" s="20"/>
      <c r="AX29" s="56">
        <f t="shared" si="13"/>
        <v>0</v>
      </c>
      <c r="AY29" s="60" t="str">
        <f t="shared" si="14"/>
        <v/>
      </c>
      <c r="AZ29" s="54" t="str">
        <f t="shared" si="15"/>
        <v/>
      </c>
      <c r="BA29" s="21"/>
      <c r="BB29" s="62">
        <f t="shared" si="16"/>
        <v>89.875</v>
      </c>
      <c r="BC29" s="64" t="str">
        <f t="shared" si="17"/>
        <v/>
      </c>
      <c r="BE29" s="20">
        <f t="shared" si="18"/>
        <v>90</v>
      </c>
      <c r="BF29" s="20">
        <f t="shared" si="19"/>
        <v>89.25</v>
      </c>
      <c r="BG29" s="89">
        <f t="shared" si="20"/>
        <v>90</v>
      </c>
      <c r="BH29" s="20">
        <f t="shared" si="21"/>
        <v>90.25</v>
      </c>
      <c r="BI29" s="20">
        <f t="shared" si="22"/>
        <v>89.875</v>
      </c>
    </row>
    <row r="30" spans="1:61" x14ac:dyDescent="0.2">
      <c r="A30" s="29">
        <v>28</v>
      </c>
      <c r="B30" s="88" t="s">
        <v>139</v>
      </c>
      <c r="C30" s="70" t="s">
        <v>85</v>
      </c>
      <c r="D30" s="70" t="s">
        <v>86</v>
      </c>
      <c r="E30" s="19">
        <v>89</v>
      </c>
      <c r="F30" s="20"/>
      <c r="G30" s="20">
        <v>90</v>
      </c>
      <c r="H30" s="20"/>
      <c r="I30" s="20">
        <v>91</v>
      </c>
      <c r="J30" s="20"/>
      <c r="K30" s="20">
        <v>90</v>
      </c>
      <c r="L30" s="21"/>
      <c r="M30" s="19">
        <v>90</v>
      </c>
      <c r="N30" s="20"/>
      <c r="O30" s="20">
        <v>90</v>
      </c>
      <c r="P30" s="20"/>
      <c r="Q30" s="20">
        <v>89</v>
      </c>
      <c r="R30" s="20"/>
      <c r="S30" s="20">
        <v>88</v>
      </c>
      <c r="T30" s="21"/>
      <c r="U30" s="19">
        <v>90</v>
      </c>
      <c r="V30" s="20"/>
      <c r="W30" s="20">
        <v>90</v>
      </c>
      <c r="X30" s="20"/>
      <c r="Y30" s="20">
        <v>90</v>
      </c>
      <c r="Z30" s="20"/>
      <c r="AA30" s="20">
        <v>90</v>
      </c>
      <c r="AB30" s="21"/>
      <c r="AC30" s="1">
        <v>90</v>
      </c>
      <c r="AD30" s="20"/>
      <c r="AE30" s="20">
        <v>91</v>
      </c>
      <c r="AF30" s="20"/>
      <c r="AG30" s="20">
        <v>90</v>
      </c>
      <c r="AH30" s="20"/>
      <c r="AI30" s="20">
        <v>90</v>
      </c>
      <c r="AJ30" s="3"/>
      <c r="AK30" s="44">
        <f t="shared" si="4"/>
        <v>90</v>
      </c>
      <c r="AL30" s="45">
        <f t="shared" si="5"/>
        <v>89.25</v>
      </c>
      <c r="AM30" s="46">
        <f t="shared" si="6"/>
        <v>90</v>
      </c>
      <c r="AN30" s="47">
        <f t="shared" si="7"/>
        <v>90.25</v>
      </c>
      <c r="AO30" s="48">
        <f t="shared" si="8"/>
        <v>89.875</v>
      </c>
      <c r="AP30" s="37"/>
      <c r="AR30" s="54" t="str">
        <f t="shared" si="9"/>
        <v/>
      </c>
      <c r="AS30" s="20"/>
      <c r="AT30" s="56">
        <f t="shared" si="10"/>
        <v>0</v>
      </c>
      <c r="AU30" s="57" t="str">
        <f t="shared" si="11"/>
        <v/>
      </c>
      <c r="AV30" s="54" t="str">
        <f t="shared" si="12"/>
        <v/>
      </c>
      <c r="AW30" s="20"/>
      <c r="AX30" s="56">
        <f t="shared" si="13"/>
        <v>0</v>
      </c>
      <c r="AY30" s="60" t="str">
        <f t="shared" si="14"/>
        <v/>
      </c>
      <c r="AZ30" s="54" t="str">
        <f t="shared" si="15"/>
        <v/>
      </c>
      <c r="BA30" s="21"/>
      <c r="BB30" s="62">
        <f t="shared" si="16"/>
        <v>89.875</v>
      </c>
      <c r="BC30" s="64" t="str">
        <f t="shared" si="17"/>
        <v/>
      </c>
      <c r="BE30" s="20">
        <f t="shared" si="18"/>
        <v>89.75</v>
      </c>
      <c r="BF30" s="20">
        <f t="shared" si="19"/>
        <v>90.25</v>
      </c>
      <c r="BG30" s="89">
        <f t="shared" si="20"/>
        <v>90</v>
      </c>
      <c r="BH30" s="20">
        <f t="shared" si="21"/>
        <v>89.5</v>
      </c>
      <c r="BI30" s="20">
        <f t="shared" si="22"/>
        <v>89.875</v>
      </c>
    </row>
    <row r="31" spans="1:61" x14ac:dyDescent="0.2">
      <c r="A31" s="29">
        <v>29</v>
      </c>
      <c r="B31" s="88" t="s">
        <v>140</v>
      </c>
      <c r="C31" s="69" t="s">
        <v>87</v>
      </c>
      <c r="D31" s="69" t="s">
        <v>88</v>
      </c>
      <c r="E31" s="19">
        <v>85</v>
      </c>
      <c r="F31" s="20"/>
      <c r="G31" s="20">
        <v>87</v>
      </c>
      <c r="H31" s="20"/>
      <c r="I31" s="20">
        <v>89</v>
      </c>
      <c r="J31" s="20"/>
      <c r="K31" s="20">
        <v>88</v>
      </c>
      <c r="L31" s="21"/>
      <c r="M31" s="19">
        <v>88</v>
      </c>
      <c r="N31" s="20"/>
      <c r="O31" s="20">
        <v>86</v>
      </c>
      <c r="P31" s="20"/>
      <c r="Q31" s="20">
        <v>87</v>
      </c>
      <c r="R31" s="20"/>
      <c r="S31" s="20">
        <v>87</v>
      </c>
      <c r="T31" s="21"/>
      <c r="U31" s="19">
        <v>87</v>
      </c>
      <c r="V31" s="20"/>
      <c r="W31" s="20">
        <v>86</v>
      </c>
      <c r="X31" s="20"/>
      <c r="Y31" s="20">
        <v>85</v>
      </c>
      <c r="Z31" s="20"/>
      <c r="AA31" s="20">
        <v>87</v>
      </c>
      <c r="AB31" s="21"/>
      <c r="AC31" s="1">
        <v>85</v>
      </c>
      <c r="AD31" s="20"/>
      <c r="AE31" s="20">
        <v>85</v>
      </c>
      <c r="AF31" s="20"/>
      <c r="AG31" s="20">
        <v>87</v>
      </c>
      <c r="AH31" s="20"/>
      <c r="AI31" s="20">
        <v>86</v>
      </c>
      <c r="AJ31" s="3"/>
      <c r="AK31" s="44">
        <f t="shared" si="4"/>
        <v>87.25</v>
      </c>
      <c r="AL31" s="45">
        <f t="shared" si="5"/>
        <v>87</v>
      </c>
      <c r="AM31" s="46">
        <f t="shared" si="6"/>
        <v>86.25</v>
      </c>
      <c r="AN31" s="47">
        <f t="shared" si="7"/>
        <v>85.75</v>
      </c>
      <c r="AO31" s="48">
        <f t="shared" si="8"/>
        <v>86.5625</v>
      </c>
      <c r="AP31" s="37"/>
      <c r="AR31" s="54" t="str">
        <f t="shared" si="9"/>
        <v/>
      </c>
      <c r="AS31" s="20"/>
      <c r="AT31" s="56">
        <f t="shared" si="10"/>
        <v>0</v>
      </c>
      <c r="AU31" s="57" t="str">
        <f t="shared" si="11"/>
        <v/>
      </c>
      <c r="AV31" s="54" t="str">
        <f t="shared" si="12"/>
        <v/>
      </c>
      <c r="AW31" s="20"/>
      <c r="AX31" s="56">
        <f t="shared" si="13"/>
        <v>0</v>
      </c>
      <c r="AY31" s="60" t="str">
        <f t="shared" si="14"/>
        <v/>
      </c>
      <c r="AZ31" s="54" t="str">
        <f t="shared" si="15"/>
        <v/>
      </c>
      <c r="BA31" s="21"/>
      <c r="BB31" s="62">
        <f t="shared" si="16"/>
        <v>86.5625</v>
      </c>
      <c r="BC31" s="64" t="str">
        <f t="shared" si="17"/>
        <v/>
      </c>
      <c r="BE31" s="20">
        <f t="shared" si="18"/>
        <v>86.25</v>
      </c>
      <c r="BF31" s="20">
        <f t="shared" si="19"/>
        <v>86</v>
      </c>
      <c r="BG31" s="89">
        <f t="shared" si="20"/>
        <v>87</v>
      </c>
      <c r="BH31" s="20">
        <f t="shared" si="21"/>
        <v>87</v>
      </c>
      <c r="BI31" s="20">
        <f t="shared" si="22"/>
        <v>86.5625</v>
      </c>
    </row>
    <row r="32" spans="1:61" x14ac:dyDescent="0.2">
      <c r="A32" s="29">
        <v>30</v>
      </c>
      <c r="B32" s="88" t="s">
        <v>141</v>
      </c>
      <c r="C32" s="70" t="s">
        <v>89</v>
      </c>
      <c r="D32" s="70" t="s">
        <v>90</v>
      </c>
      <c r="E32" s="19">
        <v>88</v>
      </c>
      <c r="F32" s="20"/>
      <c r="G32" s="20">
        <v>87</v>
      </c>
      <c r="H32" s="20"/>
      <c r="I32" s="20">
        <v>86</v>
      </c>
      <c r="J32" s="20"/>
      <c r="K32" s="20">
        <v>88</v>
      </c>
      <c r="L32" s="21"/>
      <c r="M32" s="19">
        <v>88</v>
      </c>
      <c r="N32" s="20"/>
      <c r="O32" s="20">
        <v>88</v>
      </c>
      <c r="P32" s="20"/>
      <c r="Q32" s="20">
        <v>89</v>
      </c>
      <c r="R32" s="20"/>
      <c r="S32" s="20">
        <v>88</v>
      </c>
      <c r="T32" s="21"/>
      <c r="U32" s="19">
        <v>87</v>
      </c>
      <c r="V32" s="20"/>
      <c r="W32" s="20">
        <v>86</v>
      </c>
      <c r="X32" s="20"/>
      <c r="Y32" s="20">
        <v>85</v>
      </c>
      <c r="Z32" s="20"/>
      <c r="AA32" s="20">
        <v>86</v>
      </c>
      <c r="AB32" s="21"/>
      <c r="AC32" s="1">
        <v>87</v>
      </c>
      <c r="AD32" s="20"/>
      <c r="AE32" s="20">
        <v>87</v>
      </c>
      <c r="AF32" s="20"/>
      <c r="AG32" s="20">
        <v>85</v>
      </c>
      <c r="AH32" s="20"/>
      <c r="AI32" s="20">
        <v>88</v>
      </c>
      <c r="AJ32" s="3"/>
      <c r="AK32" s="44">
        <f t="shared" si="4"/>
        <v>87.25</v>
      </c>
      <c r="AL32" s="45">
        <f t="shared" si="5"/>
        <v>88.25</v>
      </c>
      <c r="AM32" s="46">
        <f t="shared" si="6"/>
        <v>86</v>
      </c>
      <c r="AN32" s="47">
        <f t="shared" si="7"/>
        <v>86.75</v>
      </c>
      <c r="AO32" s="48">
        <f t="shared" si="8"/>
        <v>87.0625</v>
      </c>
      <c r="AP32" s="37"/>
      <c r="AR32" s="54" t="str">
        <f t="shared" si="9"/>
        <v/>
      </c>
      <c r="AS32" s="20"/>
      <c r="AT32" s="56">
        <f t="shared" si="10"/>
        <v>0</v>
      </c>
      <c r="AU32" s="57" t="str">
        <f t="shared" si="11"/>
        <v/>
      </c>
      <c r="AV32" s="54" t="str">
        <f t="shared" si="12"/>
        <v/>
      </c>
      <c r="AW32" s="20"/>
      <c r="AX32" s="56">
        <f t="shared" si="13"/>
        <v>0</v>
      </c>
      <c r="AY32" s="60" t="str">
        <f t="shared" si="14"/>
        <v/>
      </c>
      <c r="AZ32" s="54" t="str">
        <f t="shared" si="15"/>
        <v/>
      </c>
      <c r="BA32" s="21"/>
      <c r="BB32" s="62">
        <f t="shared" si="16"/>
        <v>87.0625</v>
      </c>
      <c r="BC32" s="64" t="str">
        <f t="shared" si="17"/>
        <v/>
      </c>
      <c r="BE32" s="20">
        <f t="shared" si="18"/>
        <v>87.5</v>
      </c>
      <c r="BF32" s="20">
        <f t="shared" si="19"/>
        <v>87</v>
      </c>
      <c r="BG32" s="89">
        <f t="shared" si="20"/>
        <v>86.25</v>
      </c>
      <c r="BH32" s="20">
        <f t="shared" si="21"/>
        <v>87.5</v>
      </c>
      <c r="BI32" s="20">
        <f t="shared" si="22"/>
        <v>87.0625</v>
      </c>
    </row>
    <row r="33" spans="1:61" x14ac:dyDescent="0.2">
      <c r="A33" s="29">
        <v>31</v>
      </c>
      <c r="B33" s="88" t="s">
        <v>142</v>
      </c>
      <c r="C33" s="69" t="s">
        <v>91</v>
      </c>
      <c r="D33" s="69" t="s">
        <v>92</v>
      </c>
      <c r="E33" s="19">
        <v>90</v>
      </c>
      <c r="F33" s="20"/>
      <c r="G33" s="20">
        <v>90</v>
      </c>
      <c r="H33" s="20"/>
      <c r="I33" s="20">
        <v>91</v>
      </c>
      <c r="J33" s="20"/>
      <c r="K33" s="20">
        <v>89</v>
      </c>
      <c r="L33" s="21"/>
      <c r="M33" s="19">
        <v>92</v>
      </c>
      <c r="N33" s="20"/>
      <c r="O33" s="20">
        <v>90</v>
      </c>
      <c r="P33" s="20"/>
      <c r="Q33" s="20">
        <v>89</v>
      </c>
      <c r="R33" s="20"/>
      <c r="S33" s="20">
        <v>89</v>
      </c>
      <c r="T33" s="21"/>
      <c r="U33" s="19">
        <v>90</v>
      </c>
      <c r="V33" s="20"/>
      <c r="W33" s="20">
        <v>90</v>
      </c>
      <c r="X33" s="20"/>
      <c r="Y33" s="20">
        <v>92</v>
      </c>
      <c r="Z33" s="20"/>
      <c r="AA33" s="20">
        <v>90</v>
      </c>
      <c r="AB33" s="21"/>
      <c r="AC33" s="1">
        <v>92</v>
      </c>
      <c r="AD33" s="20"/>
      <c r="AE33" s="20">
        <v>90</v>
      </c>
      <c r="AF33" s="20"/>
      <c r="AG33" s="20">
        <v>89</v>
      </c>
      <c r="AH33" s="20"/>
      <c r="AI33" s="20">
        <v>90</v>
      </c>
      <c r="AJ33" s="3"/>
      <c r="AK33" s="44">
        <f t="shared" si="4"/>
        <v>90</v>
      </c>
      <c r="AL33" s="45">
        <f t="shared" si="5"/>
        <v>90</v>
      </c>
      <c r="AM33" s="46">
        <f t="shared" si="6"/>
        <v>90.5</v>
      </c>
      <c r="AN33" s="47">
        <f t="shared" si="7"/>
        <v>90.25</v>
      </c>
      <c r="AO33" s="48">
        <f t="shared" si="8"/>
        <v>90.1875</v>
      </c>
      <c r="AP33" s="37"/>
      <c r="AR33" s="54" t="str">
        <f t="shared" si="9"/>
        <v/>
      </c>
      <c r="AS33" s="20"/>
      <c r="AT33" s="56">
        <f t="shared" si="10"/>
        <v>0</v>
      </c>
      <c r="AU33" s="57" t="str">
        <f t="shared" si="11"/>
        <v/>
      </c>
      <c r="AV33" s="54" t="str">
        <f t="shared" si="12"/>
        <v/>
      </c>
      <c r="AW33" s="20"/>
      <c r="AX33" s="56">
        <f t="shared" si="13"/>
        <v>0</v>
      </c>
      <c r="AY33" s="60" t="str">
        <f t="shared" si="14"/>
        <v/>
      </c>
      <c r="AZ33" s="54" t="str">
        <f t="shared" si="15"/>
        <v/>
      </c>
      <c r="BA33" s="21"/>
      <c r="BB33" s="62">
        <f t="shared" si="16"/>
        <v>90.1875</v>
      </c>
      <c r="BC33" s="64" t="str">
        <f t="shared" si="17"/>
        <v/>
      </c>
      <c r="BE33" s="20">
        <f t="shared" si="18"/>
        <v>91</v>
      </c>
      <c r="BF33" s="20">
        <f t="shared" si="19"/>
        <v>90</v>
      </c>
      <c r="BG33" s="89">
        <f t="shared" si="20"/>
        <v>90.25</v>
      </c>
      <c r="BH33" s="20">
        <f t="shared" si="21"/>
        <v>89.5</v>
      </c>
      <c r="BI33" s="20">
        <f t="shared" si="22"/>
        <v>90.1875</v>
      </c>
    </row>
    <row r="34" spans="1:61" x14ac:dyDescent="0.2">
      <c r="A34" s="29">
        <v>32</v>
      </c>
      <c r="B34" s="88" t="s">
        <v>143</v>
      </c>
      <c r="C34" s="70" t="s">
        <v>93</v>
      </c>
      <c r="D34" s="70" t="s">
        <v>94</v>
      </c>
      <c r="E34" s="19">
        <v>85</v>
      </c>
      <c r="F34" s="20"/>
      <c r="G34" s="20">
        <v>87</v>
      </c>
      <c r="H34" s="20"/>
      <c r="I34" s="20">
        <v>89</v>
      </c>
      <c r="J34" s="20"/>
      <c r="K34" s="20">
        <v>88</v>
      </c>
      <c r="L34" s="21"/>
      <c r="M34" s="19">
        <v>88</v>
      </c>
      <c r="N34" s="20"/>
      <c r="O34" s="20">
        <v>86</v>
      </c>
      <c r="P34" s="20"/>
      <c r="Q34" s="20">
        <v>87</v>
      </c>
      <c r="R34" s="20"/>
      <c r="S34" s="20">
        <v>87</v>
      </c>
      <c r="T34" s="21"/>
      <c r="U34" s="19">
        <v>87</v>
      </c>
      <c r="V34" s="20"/>
      <c r="W34" s="20">
        <v>86</v>
      </c>
      <c r="X34" s="20"/>
      <c r="Y34" s="20">
        <v>85</v>
      </c>
      <c r="Z34" s="20"/>
      <c r="AA34" s="20">
        <v>87</v>
      </c>
      <c r="AB34" s="21"/>
      <c r="AC34" s="1">
        <v>85</v>
      </c>
      <c r="AD34" s="20"/>
      <c r="AE34" s="20">
        <v>85</v>
      </c>
      <c r="AF34" s="20"/>
      <c r="AG34" s="20">
        <v>87</v>
      </c>
      <c r="AH34" s="20"/>
      <c r="AI34" s="20">
        <v>86</v>
      </c>
      <c r="AJ34" s="3"/>
      <c r="AK34" s="44">
        <f t="shared" si="4"/>
        <v>87.25</v>
      </c>
      <c r="AL34" s="45">
        <f t="shared" si="5"/>
        <v>87</v>
      </c>
      <c r="AM34" s="46">
        <f t="shared" si="6"/>
        <v>86.25</v>
      </c>
      <c r="AN34" s="47">
        <f t="shared" si="7"/>
        <v>85.75</v>
      </c>
      <c r="AO34" s="48">
        <f t="shared" si="8"/>
        <v>86.5625</v>
      </c>
      <c r="AP34" s="37"/>
      <c r="AR34" s="54" t="str">
        <f t="shared" si="9"/>
        <v/>
      </c>
      <c r="AS34" s="20"/>
      <c r="AT34" s="56">
        <f t="shared" si="10"/>
        <v>0</v>
      </c>
      <c r="AU34" s="57" t="str">
        <f t="shared" si="11"/>
        <v/>
      </c>
      <c r="AV34" s="54" t="str">
        <f t="shared" si="12"/>
        <v/>
      </c>
      <c r="AW34" s="20"/>
      <c r="AX34" s="56">
        <f t="shared" si="13"/>
        <v>0</v>
      </c>
      <c r="AY34" s="60" t="str">
        <f t="shared" si="14"/>
        <v/>
      </c>
      <c r="AZ34" s="54" t="str">
        <f t="shared" si="15"/>
        <v/>
      </c>
      <c r="BA34" s="21"/>
      <c r="BB34" s="62">
        <f t="shared" si="16"/>
        <v>86.5625</v>
      </c>
      <c r="BC34" s="64" t="str">
        <f t="shared" si="17"/>
        <v/>
      </c>
      <c r="BE34" s="20">
        <f t="shared" si="18"/>
        <v>86.25</v>
      </c>
      <c r="BF34" s="20">
        <f t="shared" si="19"/>
        <v>86</v>
      </c>
      <c r="BG34" s="89">
        <f t="shared" si="20"/>
        <v>87</v>
      </c>
      <c r="BH34" s="20">
        <f t="shared" si="21"/>
        <v>87</v>
      </c>
      <c r="BI34" s="20">
        <f t="shared" si="22"/>
        <v>86.5625</v>
      </c>
    </row>
    <row r="35" spans="1:61" x14ac:dyDescent="0.2">
      <c r="A35" s="29">
        <v>33</v>
      </c>
      <c r="B35" s="88" t="s">
        <v>144</v>
      </c>
      <c r="C35" s="71" t="s">
        <v>95</v>
      </c>
      <c r="D35" s="71" t="s">
        <v>96</v>
      </c>
      <c r="E35" s="19">
        <v>89</v>
      </c>
      <c r="F35" s="20"/>
      <c r="G35" s="20">
        <v>82</v>
      </c>
      <c r="H35" s="20"/>
      <c r="I35" s="20">
        <v>86</v>
      </c>
      <c r="J35" s="20"/>
      <c r="K35" s="20">
        <v>85</v>
      </c>
      <c r="L35" s="21"/>
      <c r="M35" s="19">
        <v>85</v>
      </c>
      <c r="N35" s="20"/>
      <c r="O35" s="20">
        <v>85</v>
      </c>
      <c r="P35" s="20"/>
      <c r="Q35" s="20">
        <v>86</v>
      </c>
      <c r="R35" s="20"/>
      <c r="S35" s="20">
        <v>87</v>
      </c>
      <c r="T35" s="21"/>
      <c r="U35" s="19">
        <v>87</v>
      </c>
      <c r="V35" s="20"/>
      <c r="W35" s="20">
        <v>86</v>
      </c>
      <c r="X35" s="20"/>
      <c r="Y35" s="20">
        <v>87</v>
      </c>
      <c r="Z35" s="20"/>
      <c r="AA35" s="20">
        <v>86</v>
      </c>
      <c r="AB35" s="21"/>
      <c r="AC35" s="1">
        <v>87</v>
      </c>
      <c r="AD35" s="20"/>
      <c r="AE35" s="20">
        <v>83</v>
      </c>
      <c r="AF35" s="20"/>
      <c r="AG35" s="20">
        <v>81</v>
      </c>
      <c r="AH35" s="20"/>
      <c r="AI35" s="20">
        <v>85</v>
      </c>
      <c r="AJ35" s="3"/>
      <c r="AK35" s="44">
        <f t="shared" si="4"/>
        <v>85.5</v>
      </c>
      <c r="AL35" s="45">
        <f t="shared" si="5"/>
        <v>85.75</v>
      </c>
      <c r="AM35" s="46">
        <f t="shared" si="6"/>
        <v>86.5</v>
      </c>
      <c r="AN35" s="47">
        <f t="shared" si="7"/>
        <v>84</v>
      </c>
      <c r="AO35" s="48">
        <f t="shared" si="8"/>
        <v>85.4375</v>
      </c>
      <c r="AP35" s="37"/>
      <c r="AR35" s="54" t="str">
        <f t="shared" si="9"/>
        <v/>
      </c>
      <c r="AS35" s="20"/>
      <c r="AT35" s="56">
        <f t="shared" si="10"/>
        <v>0</v>
      </c>
      <c r="AU35" s="57" t="str">
        <f t="shared" si="11"/>
        <v/>
      </c>
      <c r="AV35" s="54" t="str">
        <f t="shared" si="12"/>
        <v/>
      </c>
      <c r="AW35" s="20"/>
      <c r="AX35" s="56">
        <f t="shared" si="13"/>
        <v>0</v>
      </c>
      <c r="AY35" s="60" t="str">
        <f t="shared" si="14"/>
        <v/>
      </c>
      <c r="AZ35" s="54" t="str">
        <f t="shared" si="15"/>
        <v/>
      </c>
      <c r="BA35" s="21"/>
      <c r="BB35" s="62">
        <f t="shared" si="16"/>
        <v>85.4375</v>
      </c>
      <c r="BC35" s="64" t="str">
        <f t="shared" si="17"/>
        <v/>
      </c>
      <c r="BE35" s="20">
        <f t="shared" si="18"/>
        <v>87</v>
      </c>
      <c r="BF35" s="20">
        <f t="shared" si="19"/>
        <v>84</v>
      </c>
      <c r="BG35" s="89">
        <f t="shared" si="20"/>
        <v>85</v>
      </c>
      <c r="BH35" s="20">
        <f t="shared" si="21"/>
        <v>85.75</v>
      </c>
      <c r="BI35" s="20">
        <f t="shared" si="22"/>
        <v>85.4375</v>
      </c>
    </row>
    <row r="36" spans="1:61" x14ac:dyDescent="0.2">
      <c r="A36" s="29">
        <v>34</v>
      </c>
      <c r="B36" s="88" t="s">
        <v>145</v>
      </c>
      <c r="C36" s="70" t="s">
        <v>97</v>
      </c>
      <c r="D36" s="70" t="s">
        <v>98</v>
      </c>
      <c r="E36" s="19">
        <v>90</v>
      </c>
      <c r="F36" s="20"/>
      <c r="G36" s="20">
        <v>89</v>
      </c>
      <c r="H36" s="20"/>
      <c r="I36" s="20">
        <v>90</v>
      </c>
      <c r="J36" s="20"/>
      <c r="K36" s="20">
        <v>90</v>
      </c>
      <c r="L36" s="21"/>
      <c r="M36" s="19">
        <v>89</v>
      </c>
      <c r="N36" s="20"/>
      <c r="O36" s="20">
        <v>88</v>
      </c>
      <c r="P36" s="20"/>
      <c r="Q36" s="20">
        <v>90</v>
      </c>
      <c r="R36" s="20"/>
      <c r="S36" s="20">
        <v>90</v>
      </c>
      <c r="T36" s="21"/>
      <c r="U36" s="19"/>
      <c r="V36" s="20"/>
      <c r="W36" s="20"/>
      <c r="X36" s="20"/>
      <c r="Y36" s="20"/>
      <c r="Z36" s="20"/>
      <c r="AA36" s="20"/>
      <c r="AB36" s="21"/>
      <c r="AC36" s="1"/>
      <c r="AD36" s="20"/>
      <c r="AE36" s="20"/>
      <c r="AF36" s="20"/>
      <c r="AG36" s="20"/>
      <c r="AH36" s="20"/>
      <c r="AI36" s="20">
        <v>88</v>
      </c>
      <c r="AJ36" s="3"/>
      <c r="AK36" s="44">
        <f t="shared" si="4"/>
        <v>89.75</v>
      </c>
      <c r="AL36" s="45">
        <f t="shared" si="5"/>
        <v>89.25</v>
      </c>
      <c r="AM36" s="46">
        <f t="shared" si="6"/>
        <v>0</v>
      </c>
      <c r="AN36" s="47">
        <f t="shared" si="7"/>
        <v>22</v>
      </c>
      <c r="AO36" s="48">
        <f t="shared" si="8"/>
        <v>50.25</v>
      </c>
      <c r="AP36" s="37"/>
      <c r="AR36" s="54">
        <f t="shared" si="9"/>
        <v>25.125</v>
      </c>
      <c r="AS36" s="20"/>
      <c r="AT36" s="56">
        <f t="shared" si="10"/>
        <v>0</v>
      </c>
      <c r="AU36" s="57" t="str">
        <f t="shared" si="11"/>
        <v/>
      </c>
      <c r="AV36" s="54" t="str">
        <f t="shared" si="12"/>
        <v/>
      </c>
      <c r="AW36" s="20"/>
      <c r="AX36" s="56">
        <f t="shared" si="13"/>
        <v>0</v>
      </c>
      <c r="AY36" s="60" t="str">
        <f t="shared" si="14"/>
        <v/>
      </c>
      <c r="AZ36" s="54" t="str">
        <f t="shared" si="15"/>
        <v/>
      </c>
      <c r="BA36" s="21"/>
      <c r="BB36" s="62" t="str">
        <f t="shared" si="16"/>
        <v/>
      </c>
      <c r="BC36" s="64">
        <f t="shared" si="17"/>
        <v>50.25</v>
      </c>
      <c r="BE36" s="20">
        <f t="shared" si="18"/>
        <v>44.75</v>
      </c>
      <c r="BF36" s="20">
        <f t="shared" si="19"/>
        <v>44.25</v>
      </c>
      <c r="BG36" s="89">
        <f t="shared" si="20"/>
        <v>45</v>
      </c>
      <c r="BH36" s="20">
        <f t="shared" si="21"/>
        <v>67</v>
      </c>
      <c r="BI36" s="20">
        <f t="shared" si="22"/>
        <v>50.25</v>
      </c>
    </row>
    <row r="37" spans="1:61" x14ac:dyDescent="0.2">
      <c r="A37" s="29">
        <v>35</v>
      </c>
      <c r="B37" s="88" t="s">
        <v>146</v>
      </c>
      <c r="C37" s="69" t="s">
        <v>99</v>
      </c>
      <c r="D37" s="69" t="s">
        <v>100</v>
      </c>
      <c r="E37" s="19">
        <v>90</v>
      </c>
      <c r="F37" s="20"/>
      <c r="G37" s="20">
        <v>89</v>
      </c>
      <c r="H37" s="20"/>
      <c r="I37" s="20">
        <v>90</v>
      </c>
      <c r="J37" s="20"/>
      <c r="K37" s="20">
        <v>88</v>
      </c>
      <c r="L37" s="21"/>
      <c r="M37" s="19">
        <v>90</v>
      </c>
      <c r="N37" s="20"/>
      <c r="O37" s="20">
        <v>90</v>
      </c>
      <c r="P37" s="20"/>
      <c r="Q37" s="20">
        <v>89</v>
      </c>
      <c r="R37" s="20"/>
      <c r="S37" s="20">
        <v>88</v>
      </c>
      <c r="T37" s="3"/>
      <c r="U37" s="19">
        <v>89</v>
      </c>
      <c r="V37" s="20"/>
      <c r="W37" s="20">
        <v>88</v>
      </c>
      <c r="X37" s="20"/>
      <c r="Y37" s="20">
        <v>90</v>
      </c>
      <c r="Z37" s="20"/>
      <c r="AA37" s="20">
        <v>90</v>
      </c>
      <c r="AB37" s="21"/>
      <c r="AC37" s="1"/>
      <c r="AD37" s="20"/>
      <c r="AE37" s="20">
        <v>92</v>
      </c>
      <c r="AF37" s="20"/>
      <c r="AG37" s="20">
        <v>90</v>
      </c>
      <c r="AH37" s="20"/>
      <c r="AI37" s="20">
        <v>90</v>
      </c>
      <c r="AJ37" s="3"/>
      <c r="AK37" s="44">
        <f t="shared" si="4"/>
        <v>89.25</v>
      </c>
      <c r="AL37" s="45">
        <f t="shared" si="5"/>
        <v>89.25</v>
      </c>
      <c r="AM37" s="46">
        <f t="shared" si="6"/>
        <v>89.25</v>
      </c>
      <c r="AN37" s="47">
        <f t="shared" si="7"/>
        <v>68</v>
      </c>
      <c r="AO37" s="48">
        <f t="shared" si="8"/>
        <v>83.9375</v>
      </c>
      <c r="AP37" s="37"/>
      <c r="AR37" s="54" t="str">
        <f t="shared" si="9"/>
        <v/>
      </c>
      <c r="AS37" s="20"/>
      <c r="AT37" s="56">
        <f t="shared" si="10"/>
        <v>0</v>
      </c>
      <c r="AU37" s="57" t="str">
        <f t="shared" si="11"/>
        <v/>
      </c>
      <c r="AV37" s="54" t="str">
        <f t="shared" si="12"/>
        <v/>
      </c>
      <c r="AW37" s="20"/>
      <c r="AX37" s="56">
        <f t="shared" si="13"/>
        <v>0</v>
      </c>
      <c r="AY37" s="60" t="str">
        <f t="shared" si="14"/>
        <v/>
      </c>
      <c r="AZ37" s="54" t="str">
        <f t="shared" si="15"/>
        <v/>
      </c>
      <c r="BA37" s="21"/>
      <c r="BB37" s="62">
        <f t="shared" si="16"/>
        <v>83.9375</v>
      </c>
      <c r="BC37" s="64" t="str">
        <f t="shared" si="17"/>
        <v/>
      </c>
      <c r="BE37" s="20">
        <f t="shared" si="18"/>
        <v>67.25</v>
      </c>
      <c r="BF37" s="20">
        <f t="shared" si="19"/>
        <v>89.75</v>
      </c>
      <c r="BG37" s="89">
        <f t="shared" si="20"/>
        <v>89.75</v>
      </c>
      <c r="BH37" s="20">
        <f t="shared" si="21"/>
        <v>89</v>
      </c>
      <c r="BI37" s="20">
        <f t="shared" si="22"/>
        <v>83.9375</v>
      </c>
    </row>
    <row r="38" spans="1:61" x14ac:dyDescent="0.2">
      <c r="A38" s="29">
        <v>36</v>
      </c>
      <c r="B38" s="88" t="s">
        <v>147</v>
      </c>
      <c r="C38" s="70" t="s">
        <v>101</v>
      </c>
      <c r="D38" s="70" t="s">
        <v>102</v>
      </c>
      <c r="E38" s="19">
        <v>85</v>
      </c>
      <c r="F38" s="20"/>
      <c r="G38" s="20">
        <v>87</v>
      </c>
      <c r="H38" s="20"/>
      <c r="I38" s="20">
        <v>89</v>
      </c>
      <c r="J38" s="20"/>
      <c r="K38" s="20">
        <v>88</v>
      </c>
      <c r="L38" s="21"/>
      <c r="M38" s="19">
        <v>88</v>
      </c>
      <c r="N38" s="20"/>
      <c r="O38" s="20">
        <v>86</v>
      </c>
      <c r="P38" s="20"/>
      <c r="Q38" s="20">
        <v>87</v>
      </c>
      <c r="R38" s="20"/>
      <c r="S38" s="20">
        <v>87</v>
      </c>
      <c r="T38" s="21"/>
      <c r="U38" s="19">
        <v>87</v>
      </c>
      <c r="V38" s="20"/>
      <c r="W38" s="20">
        <v>86</v>
      </c>
      <c r="X38" s="20"/>
      <c r="Y38" s="20">
        <v>85</v>
      </c>
      <c r="Z38" s="20"/>
      <c r="AA38" s="20">
        <v>87</v>
      </c>
      <c r="AB38" s="21"/>
      <c r="AC38" s="1">
        <v>85</v>
      </c>
      <c r="AD38" s="20"/>
      <c r="AE38" s="20">
        <v>85</v>
      </c>
      <c r="AF38" s="20"/>
      <c r="AG38" s="20">
        <v>87</v>
      </c>
      <c r="AH38" s="20"/>
      <c r="AI38" s="20">
        <v>86</v>
      </c>
      <c r="AJ38" s="3"/>
      <c r="AK38" s="44">
        <f t="shared" si="4"/>
        <v>87.25</v>
      </c>
      <c r="AL38" s="45">
        <f t="shared" si="5"/>
        <v>87</v>
      </c>
      <c r="AM38" s="46">
        <f t="shared" si="6"/>
        <v>86.25</v>
      </c>
      <c r="AN38" s="47">
        <f t="shared" si="7"/>
        <v>85.75</v>
      </c>
      <c r="AO38" s="48">
        <f t="shared" si="8"/>
        <v>86.5625</v>
      </c>
      <c r="AP38" s="37"/>
      <c r="AR38" s="54" t="str">
        <f t="shared" si="9"/>
        <v/>
      </c>
      <c r="AS38" s="20"/>
      <c r="AT38" s="56">
        <f t="shared" si="10"/>
        <v>0</v>
      </c>
      <c r="AU38" s="57" t="str">
        <f t="shared" si="11"/>
        <v/>
      </c>
      <c r="AV38" s="54" t="str">
        <f t="shared" si="12"/>
        <v/>
      </c>
      <c r="AW38" s="20"/>
      <c r="AX38" s="56">
        <f t="shared" si="13"/>
        <v>0</v>
      </c>
      <c r="AY38" s="60" t="str">
        <f t="shared" si="14"/>
        <v/>
      </c>
      <c r="AZ38" s="54" t="str">
        <f t="shared" si="15"/>
        <v/>
      </c>
      <c r="BA38" s="21"/>
      <c r="BB38" s="62">
        <f t="shared" si="16"/>
        <v>86.5625</v>
      </c>
      <c r="BC38" s="64" t="str">
        <f t="shared" si="17"/>
        <v/>
      </c>
      <c r="BE38" s="20">
        <f t="shared" si="18"/>
        <v>86.25</v>
      </c>
      <c r="BF38" s="20">
        <f t="shared" si="19"/>
        <v>86</v>
      </c>
      <c r="BG38" s="89">
        <f t="shared" si="20"/>
        <v>87</v>
      </c>
      <c r="BH38" s="20">
        <f t="shared" si="21"/>
        <v>87</v>
      </c>
      <c r="BI38" s="20">
        <f t="shared" si="22"/>
        <v>86.5625</v>
      </c>
    </row>
    <row r="39" spans="1:61" x14ac:dyDescent="0.2">
      <c r="A39" s="29">
        <v>37</v>
      </c>
      <c r="B39" s="88" t="s">
        <v>148</v>
      </c>
      <c r="C39" s="69" t="s">
        <v>103</v>
      </c>
      <c r="D39" s="69" t="s">
        <v>104</v>
      </c>
      <c r="E39" s="19">
        <v>85</v>
      </c>
      <c r="F39" s="20"/>
      <c r="G39" s="20">
        <v>87</v>
      </c>
      <c r="H39" s="20"/>
      <c r="I39" s="20">
        <v>89</v>
      </c>
      <c r="J39" s="20"/>
      <c r="K39" s="20">
        <v>88</v>
      </c>
      <c r="L39" s="21"/>
      <c r="M39" s="19">
        <v>88</v>
      </c>
      <c r="N39" s="20"/>
      <c r="O39" s="20">
        <v>86</v>
      </c>
      <c r="P39" s="20"/>
      <c r="Q39" s="20">
        <v>87</v>
      </c>
      <c r="R39" s="20"/>
      <c r="S39" s="20">
        <v>87</v>
      </c>
      <c r="T39" s="21"/>
      <c r="U39" s="19">
        <v>87</v>
      </c>
      <c r="V39" s="20"/>
      <c r="W39" s="20">
        <v>86</v>
      </c>
      <c r="X39" s="20"/>
      <c r="Y39" s="20">
        <v>85</v>
      </c>
      <c r="Z39" s="20"/>
      <c r="AA39" s="20">
        <v>87</v>
      </c>
      <c r="AB39" s="21"/>
      <c r="AC39" s="1">
        <v>85</v>
      </c>
      <c r="AD39" s="20"/>
      <c r="AE39" s="20">
        <v>85</v>
      </c>
      <c r="AF39" s="20"/>
      <c r="AG39" s="20">
        <v>87</v>
      </c>
      <c r="AH39" s="20"/>
      <c r="AI39" s="20">
        <v>86</v>
      </c>
      <c r="AJ39" s="3"/>
      <c r="AK39" s="44">
        <f t="shared" si="4"/>
        <v>87.25</v>
      </c>
      <c r="AL39" s="45">
        <f t="shared" si="5"/>
        <v>87</v>
      </c>
      <c r="AM39" s="46">
        <f t="shared" si="6"/>
        <v>86.25</v>
      </c>
      <c r="AN39" s="47">
        <f t="shared" si="7"/>
        <v>85.75</v>
      </c>
      <c r="AO39" s="48">
        <f t="shared" si="8"/>
        <v>86.5625</v>
      </c>
      <c r="AP39" s="37"/>
      <c r="AR39" s="54" t="str">
        <f t="shared" si="9"/>
        <v/>
      </c>
      <c r="AS39" s="20"/>
      <c r="AT39" s="56">
        <f t="shared" si="10"/>
        <v>0</v>
      </c>
      <c r="AU39" s="57" t="str">
        <f t="shared" si="11"/>
        <v/>
      </c>
      <c r="AV39" s="54" t="str">
        <f t="shared" si="12"/>
        <v/>
      </c>
      <c r="AW39" s="20"/>
      <c r="AX39" s="56">
        <f t="shared" si="13"/>
        <v>0</v>
      </c>
      <c r="AY39" s="60" t="str">
        <f t="shared" si="14"/>
        <v/>
      </c>
      <c r="AZ39" s="54" t="str">
        <f t="shared" si="15"/>
        <v/>
      </c>
      <c r="BA39" s="21"/>
      <c r="BB39" s="62">
        <f t="shared" si="16"/>
        <v>86.5625</v>
      </c>
      <c r="BC39" s="64" t="str">
        <f t="shared" si="17"/>
        <v/>
      </c>
      <c r="BE39" s="20">
        <f t="shared" si="18"/>
        <v>86.25</v>
      </c>
      <c r="BF39" s="20">
        <f t="shared" si="19"/>
        <v>86</v>
      </c>
      <c r="BG39" s="89">
        <f t="shared" si="20"/>
        <v>87</v>
      </c>
      <c r="BH39" s="20">
        <f t="shared" si="21"/>
        <v>87</v>
      </c>
      <c r="BI39" s="20">
        <f t="shared" si="22"/>
        <v>86.5625</v>
      </c>
    </row>
    <row r="40" spans="1:61" x14ac:dyDescent="0.2">
      <c r="A40" s="29">
        <v>38</v>
      </c>
      <c r="B40" s="88" t="s">
        <v>149</v>
      </c>
      <c r="C40" s="70" t="s">
        <v>105</v>
      </c>
      <c r="D40" s="70" t="s">
        <v>106</v>
      </c>
      <c r="E40" s="19">
        <v>70</v>
      </c>
      <c r="F40" s="20"/>
      <c r="G40" s="20">
        <v>75</v>
      </c>
      <c r="H40" s="20"/>
      <c r="I40" s="20">
        <v>78</v>
      </c>
      <c r="J40" s="20"/>
      <c r="K40" s="20">
        <v>79</v>
      </c>
      <c r="L40" s="21"/>
      <c r="M40" s="19">
        <v>75</v>
      </c>
      <c r="N40" s="20"/>
      <c r="O40" s="20">
        <v>76</v>
      </c>
      <c r="P40" s="20"/>
      <c r="Q40" s="20">
        <v>78</v>
      </c>
      <c r="R40" s="20"/>
      <c r="S40" s="20">
        <v>79</v>
      </c>
      <c r="T40" s="21"/>
      <c r="U40" s="19">
        <v>79</v>
      </c>
      <c r="V40" s="20"/>
      <c r="W40" s="20">
        <v>80</v>
      </c>
      <c r="X40" s="20"/>
      <c r="Y40" s="20">
        <v>82</v>
      </c>
      <c r="Z40" s="20"/>
      <c r="AA40" s="20">
        <v>79</v>
      </c>
      <c r="AB40" s="21"/>
      <c r="AC40" s="1">
        <v>78</v>
      </c>
      <c r="AD40" s="20"/>
      <c r="AE40" s="20">
        <v>79</v>
      </c>
      <c r="AF40" s="20"/>
      <c r="AG40" s="20">
        <v>79</v>
      </c>
      <c r="AH40" s="20"/>
      <c r="AI40" s="20">
        <v>76</v>
      </c>
      <c r="AJ40" s="3"/>
      <c r="AK40" s="44">
        <f t="shared" si="4"/>
        <v>75.5</v>
      </c>
      <c r="AL40" s="45">
        <f t="shared" si="5"/>
        <v>77</v>
      </c>
      <c r="AM40" s="46">
        <f t="shared" si="6"/>
        <v>80</v>
      </c>
      <c r="AN40" s="47">
        <f t="shared" si="7"/>
        <v>78</v>
      </c>
      <c r="AO40" s="48">
        <f t="shared" si="8"/>
        <v>77.625</v>
      </c>
      <c r="AP40" s="37"/>
      <c r="AR40" s="54" t="str">
        <f t="shared" si="9"/>
        <v/>
      </c>
      <c r="AS40" s="20"/>
      <c r="AT40" s="56">
        <f t="shared" si="10"/>
        <v>0</v>
      </c>
      <c r="AU40" s="57" t="str">
        <f t="shared" si="11"/>
        <v/>
      </c>
      <c r="AV40" s="54" t="str">
        <f t="shared" si="12"/>
        <v/>
      </c>
      <c r="AW40" s="20"/>
      <c r="AX40" s="56">
        <f t="shared" si="13"/>
        <v>0</v>
      </c>
      <c r="AY40" s="60" t="str">
        <f t="shared" si="14"/>
        <v/>
      </c>
      <c r="AZ40" s="54" t="str">
        <f t="shared" si="15"/>
        <v/>
      </c>
      <c r="BA40" s="21"/>
      <c r="BB40" s="62">
        <f t="shared" si="16"/>
        <v>77.625</v>
      </c>
      <c r="BC40" s="64" t="str">
        <f t="shared" si="17"/>
        <v/>
      </c>
      <c r="BE40" s="20">
        <f t="shared" si="18"/>
        <v>75.5</v>
      </c>
      <c r="BF40" s="20">
        <f t="shared" si="19"/>
        <v>77.5</v>
      </c>
      <c r="BG40" s="89">
        <f t="shared" si="20"/>
        <v>79.25</v>
      </c>
      <c r="BH40" s="20">
        <f t="shared" si="21"/>
        <v>78.25</v>
      </c>
      <c r="BI40" s="20">
        <f t="shared" si="22"/>
        <v>77.625</v>
      </c>
    </row>
    <row r="41" spans="1:61" x14ac:dyDescent="0.2">
      <c r="A41" s="29">
        <v>39</v>
      </c>
      <c r="B41" s="88" t="s">
        <v>150</v>
      </c>
      <c r="C41" s="69" t="s">
        <v>107</v>
      </c>
      <c r="D41" s="69" t="s">
        <v>108</v>
      </c>
      <c r="E41" s="19">
        <v>88</v>
      </c>
      <c r="F41" s="20"/>
      <c r="G41" s="20">
        <v>86</v>
      </c>
      <c r="H41" s="20"/>
      <c r="I41" s="20">
        <v>87</v>
      </c>
      <c r="J41" s="20"/>
      <c r="K41" s="20">
        <v>80</v>
      </c>
      <c r="L41" s="21"/>
      <c r="M41" s="19">
        <v>85</v>
      </c>
      <c r="N41" s="20"/>
      <c r="O41" s="20">
        <v>87</v>
      </c>
      <c r="P41" s="20"/>
      <c r="Q41" s="20">
        <v>84</v>
      </c>
      <c r="R41" s="20"/>
      <c r="S41" s="20">
        <v>85</v>
      </c>
      <c r="T41" s="21"/>
      <c r="U41" s="19">
        <v>80</v>
      </c>
      <c r="V41" s="20"/>
      <c r="W41" s="20">
        <v>86</v>
      </c>
      <c r="X41" s="20"/>
      <c r="Y41" s="20">
        <v>87</v>
      </c>
      <c r="Z41" s="20"/>
      <c r="AA41" s="20">
        <v>86</v>
      </c>
      <c r="AB41" s="21"/>
      <c r="AC41" s="1">
        <v>85</v>
      </c>
      <c r="AD41" s="20"/>
      <c r="AE41" s="20">
        <v>87</v>
      </c>
      <c r="AF41" s="20"/>
      <c r="AG41" s="20">
        <v>86</v>
      </c>
      <c r="AH41" s="20"/>
      <c r="AI41" s="20">
        <v>87</v>
      </c>
      <c r="AJ41" s="3"/>
      <c r="AK41" s="44">
        <f t="shared" si="4"/>
        <v>85.25</v>
      </c>
      <c r="AL41" s="45">
        <f t="shared" si="5"/>
        <v>85.25</v>
      </c>
      <c r="AM41" s="46">
        <f t="shared" si="6"/>
        <v>84.75</v>
      </c>
      <c r="AN41" s="47">
        <f t="shared" si="7"/>
        <v>86.25</v>
      </c>
      <c r="AO41" s="48">
        <f t="shared" si="8"/>
        <v>85.375</v>
      </c>
      <c r="AP41" s="37"/>
      <c r="AR41" s="54" t="str">
        <f t="shared" si="9"/>
        <v/>
      </c>
      <c r="AS41" s="20"/>
      <c r="AT41" s="56">
        <f t="shared" si="10"/>
        <v>0</v>
      </c>
      <c r="AU41" s="57" t="str">
        <f t="shared" si="11"/>
        <v/>
      </c>
      <c r="AV41" s="54" t="str">
        <f t="shared" si="12"/>
        <v/>
      </c>
      <c r="AW41" s="20"/>
      <c r="AX41" s="56">
        <f t="shared" si="13"/>
        <v>0</v>
      </c>
      <c r="AY41" s="60" t="str">
        <f t="shared" si="14"/>
        <v/>
      </c>
      <c r="AZ41" s="54" t="str">
        <f t="shared" si="15"/>
        <v/>
      </c>
      <c r="BA41" s="21"/>
      <c r="BB41" s="62">
        <f t="shared" si="16"/>
        <v>85.375</v>
      </c>
      <c r="BC41" s="64" t="str">
        <f t="shared" si="17"/>
        <v/>
      </c>
      <c r="BE41" s="20">
        <f t="shared" si="18"/>
        <v>84.5</v>
      </c>
      <c r="BF41" s="20">
        <f t="shared" si="19"/>
        <v>86.5</v>
      </c>
      <c r="BG41" s="89">
        <f t="shared" si="20"/>
        <v>86</v>
      </c>
      <c r="BH41" s="20">
        <f t="shared" si="21"/>
        <v>84.5</v>
      </c>
      <c r="BI41" s="20">
        <f t="shared" si="22"/>
        <v>85.375</v>
      </c>
    </row>
    <row r="42" spans="1:61" x14ac:dyDescent="0.2">
      <c r="A42" s="29">
        <v>40</v>
      </c>
      <c r="B42" s="88" t="s">
        <v>151</v>
      </c>
      <c r="C42" s="70" t="s">
        <v>109</v>
      </c>
      <c r="D42" s="70" t="s">
        <v>110</v>
      </c>
      <c r="E42" s="19">
        <v>88</v>
      </c>
      <c r="F42" s="20"/>
      <c r="G42" s="20">
        <v>90</v>
      </c>
      <c r="H42" s="20"/>
      <c r="I42" s="20">
        <v>90</v>
      </c>
      <c r="J42" s="20"/>
      <c r="K42" s="20">
        <v>95</v>
      </c>
      <c r="L42" s="21"/>
      <c r="M42" s="19">
        <v>88</v>
      </c>
      <c r="N42" s="20"/>
      <c r="O42" s="20">
        <v>90</v>
      </c>
      <c r="P42" s="20"/>
      <c r="Q42" s="20">
        <v>89</v>
      </c>
      <c r="R42" s="20"/>
      <c r="S42" s="20">
        <v>88</v>
      </c>
      <c r="T42" s="21"/>
      <c r="U42" s="19">
        <v>90</v>
      </c>
      <c r="V42" s="20"/>
      <c r="W42" s="20">
        <v>87</v>
      </c>
      <c r="X42" s="20"/>
      <c r="Y42" s="20">
        <v>91</v>
      </c>
      <c r="Z42" s="20"/>
      <c r="AA42" s="20">
        <v>90</v>
      </c>
      <c r="AB42" s="21"/>
      <c r="AC42" s="1">
        <v>90</v>
      </c>
      <c r="AD42" s="20"/>
      <c r="AE42" s="20">
        <v>92</v>
      </c>
      <c r="AF42" s="20"/>
      <c r="AG42" s="20">
        <v>90</v>
      </c>
      <c r="AH42" s="20"/>
      <c r="AI42" s="20">
        <v>90</v>
      </c>
      <c r="AJ42" s="3"/>
      <c r="AK42" s="44">
        <f t="shared" si="4"/>
        <v>90.75</v>
      </c>
      <c r="AL42" s="45">
        <f t="shared" si="5"/>
        <v>88.75</v>
      </c>
      <c r="AM42" s="46">
        <f t="shared" si="6"/>
        <v>89.5</v>
      </c>
      <c r="AN42" s="47">
        <f t="shared" si="7"/>
        <v>90.5</v>
      </c>
      <c r="AO42" s="48">
        <f t="shared" si="8"/>
        <v>89.875</v>
      </c>
      <c r="AP42" s="37"/>
      <c r="AR42" s="54" t="str">
        <f t="shared" si="9"/>
        <v/>
      </c>
      <c r="AS42" s="20"/>
      <c r="AT42" s="56">
        <f t="shared" si="10"/>
        <v>0</v>
      </c>
      <c r="AU42" s="57" t="str">
        <f t="shared" si="11"/>
        <v/>
      </c>
      <c r="AV42" s="54" t="str">
        <f t="shared" si="12"/>
        <v/>
      </c>
      <c r="AW42" s="20"/>
      <c r="AX42" s="56">
        <f t="shared" si="13"/>
        <v>0</v>
      </c>
      <c r="AY42" s="60" t="str">
        <f t="shared" si="14"/>
        <v/>
      </c>
      <c r="AZ42" s="54" t="str">
        <f t="shared" si="15"/>
        <v/>
      </c>
      <c r="BA42" s="21"/>
      <c r="BB42" s="62">
        <f t="shared" si="16"/>
        <v>89.875</v>
      </c>
      <c r="BC42" s="64" t="str">
        <f t="shared" si="17"/>
        <v/>
      </c>
      <c r="BE42" s="20">
        <f t="shared" si="18"/>
        <v>89</v>
      </c>
      <c r="BF42" s="20">
        <f t="shared" si="19"/>
        <v>89.75</v>
      </c>
      <c r="BG42" s="89">
        <f t="shared" si="20"/>
        <v>90</v>
      </c>
      <c r="BH42" s="20">
        <f t="shared" si="21"/>
        <v>90.75</v>
      </c>
      <c r="BI42" s="20">
        <f t="shared" si="22"/>
        <v>89.875</v>
      </c>
    </row>
    <row r="43" spans="1:61" x14ac:dyDescent="0.2">
      <c r="A43" s="29">
        <v>41</v>
      </c>
      <c r="B43" s="88" t="s">
        <v>152</v>
      </c>
      <c r="C43" s="67"/>
      <c r="D43" s="67"/>
      <c r="E43" s="19">
        <v>90</v>
      </c>
      <c r="F43" s="20"/>
      <c r="G43" s="20">
        <v>89</v>
      </c>
      <c r="H43" s="20"/>
      <c r="I43" s="20">
        <v>90</v>
      </c>
      <c r="J43" s="20"/>
      <c r="K43" s="20">
        <v>90</v>
      </c>
      <c r="L43" s="21"/>
      <c r="M43" s="19">
        <v>90</v>
      </c>
      <c r="N43" s="20"/>
      <c r="O43" s="20">
        <v>89</v>
      </c>
      <c r="P43" s="20"/>
      <c r="Q43" s="20">
        <v>90</v>
      </c>
      <c r="R43" s="20"/>
      <c r="S43" s="20">
        <v>92</v>
      </c>
      <c r="T43" s="21"/>
      <c r="U43" s="19">
        <v>90</v>
      </c>
      <c r="V43" s="20"/>
      <c r="W43" s="20">
        <v>88</v>
      </c>
      <c r="X43" s="20"/>
      <c r="Y43" s="20">
        <v>90</v>
      </c>
      <c r="Z43" s="20"/>
      <c r="AA43" s="20">
        <v>90</v>
      </c>
      <c r="AB43" s="21"/>
      <c r="AC43" s="1">
        <v>90</v>
      </c>
      <c r="AD43" s="20"/>
      <c r="AE43" s="20">
        <v>91</v>
      </c>
      <c r="AF43" s="20"/>
      <c r="AG43" s="20">
        <v>90</v>
      </c>
      <c r="AH43" s="20"/>
      <c r="AI43" s="20">
        <v>89</v>
      </c>
      <c r="AJ43" s="3"/>
      <c r="AK43" s="44">
        <f t="shared" si="4"/>
        <v>89.75</v>
      </c>
      <c r="AL43" s="45">
        <f t="shared" si="5"/>
        <v>90.25</v>
      </c>
      <c r="AM43" s="46">
        <f t="shared" si="6"/>
        <v>89.5</v>
      </c>
      <c r="AN43" s="47">
        <f t="shared" si="7"/>
        <v>90</v>
      </c>
      <c r="AO43" s="48">
        <f t="shared" si="8"/>
        <v>89.875</v>
      </c>
      <c r="AP43" s="37"/>
      <c r="AR43" s="54" t="str">
        <f t="shared" si="9"/>
        <v/>
      </c>
      <c r="AS43" s="20"/>
      <c r="AT43" s="56">
        <f t="shared" si="10"/>
        <v>0</v>
      </c>
      <c r="AU43" s="57" t="str">
        <f t="shared" si="11"/>
        <v/>
      </c>
      <c r="AV43" s="54" t="str">
        <f t="shared" si="12"/>
        <v/>
      </c>
      <c r="AW43" s="20"/>
      <c r="AX43" s="56">
        <f t="shared" si="13"/>
        <v>0</v>
      </c>
      <c r="AY43" s="60" t="str">
        <f t="shared" si="14"/>
        <v/>
      </c>
      <c r="AZ43" s="54" t="str">
        <f t="shared" si="15"/>
        <v/>
      </c>
      <c r="BA43" s="21"/>
      <c r="BB43" s="62">
        <f t="shared" si="16"/>
        <v>89.875</v>
      </c>
      <c r="BC43" s="64" t="str">
        <f t="shared" si="17"/>
        <v/>
      </c>
      <c r="BE43" s="20">
        <f t="shared" si="18"/>
        <v>90</v>
      </c>
      <c r="BF43" s="20">
        <f t="shared" si="19"/>
        <v>89.25</v>
      </c>
      <c r="BG43" s="89">
        <f t="shared" si="20"/>
        <v>90</v>
      </c>
      <c r="BH43" s="20">
        <f t="shared" si="21"/>
        <v>90.25</v>
      </c>
      <c r="BI43" s="20">
        <f t="shared" si="22"/>
        <v>89.875</v>
      </c>
    </row>
    <row r="44" spans="1:61" x14ac:dyDescent="0.2">
      <c r="A44" s="29">
        <v>42</v>
      </c>
      <c r="B44" s="88" t="s">
        <v>153</v>
      </c>
      <c r="C44" s="68"/>
      <c r="D44" s="68"/>
      <c r="E44" s="19"/>
      <c r="F44" s="20"/>
      <c r="G44" s="20"/>
      <c r="H44" s="20"/>
      <c r="I44" s="20"/>
      <c r="J44" s="20"/>
      <c r="K44" s="20"/>
      <c r="L44" s="21"/>
      <c r="M44" s="19"/>
      <c r="N44" s="20"/>
      <c r="O44" s="20"/>
      <c r="P44" s="20"/>
      <c r="Q44" s="20"/>
      <c r="R44" s="20"/>
      <c r="S44" s="20"/>
      <c r="T44" s="21"/>
      <c r="U44" s="19"/>
      <c r="V44" s="20"/>
      <c r="W44" s="20"/>
      <c r="X44" s="20"/>
      <c r="Y44" s="20"/>
      <c r="Z44" s="20"/>
      <c r="AA44" s="20"/>
      <c r="AB44" s="21"/>
      <c r="AC44" s="1"/>
      <c r="AD44" s="20"/>
      <c r="AE44" s="20"/>
      <c r="AF44" s="20"/>
      <c r="AG44" s="20"/>
      <c r="AH44" s="20"/>
      <c r="AI44" s="20"/>
      <c r="AJ44" s="3"/>
      <c r="AK44" s="44">
        <f t="shared" si="4"/>
        <v>0</v>
      </c>
      <c r="AL44" s="45">
        <f t="shared" si="5"/>
        <v>0</v>
      </c>
      <c r="AM44" s="46">
        <f t="shared" si="6"/>
        <v>0</v>
      </c>
      <c r="AN44" s="47">
        <f t="shared" si="7"/>
        <v>0</v>
      </c>
      <c r="AO44" s="48">
        <f t="shared" si="8"/>
        <v>0</v>
      </c>
      <c r="AP44" s="37"/>
      <c r="AR44" s="54">
        <f t="shared" si="9"/>
        <v>0</v>
      </c>
      <c r="AS44" s="20"/>
      <c r="AT44" s="56">
        <f t="shared" si="10"/>
        <v>0</v>
      </c>
      <c r="AU44" s="57" t="str">
        <f t="shared" si="11"/>
        <v/>
      </c>
      <c r="AV44" s="54" t="str">
        <f t="shared" si="12"/>
        <v/>
      </c>
      <c r="AW44" s="20"/>
      <c r="AX44" s="56">
        <f t="shared" si="13"/>
        <v>0</v>
      </c>
      <c r="AY44" s="60" t="str">
        <f t="shared" si="14"/>
        <v/>
      </c>
      <c r="AZ44" s="54" t="str">
        <f t="shared" si="15"/>
        <v/>
      </c>
      <c r="BA44" s="21"/>
      <c r="BB44" s="62" t="str">
        <f t="shared" si="16"/>
        <v/>
      </c>
      <c r="BC44" s="64">
        <f t="shared" si="17"/>
        <v>0</v>
      </c>
      <c r="BE44" s="20">
        <f t="shared" si="18"/>
        <v>0</v>
      </c>
      <c r="BF44" s="20">
        <f t="shared" si="19"/>
        <v>0</v>
      </c>
      <c r="BG44" s="89">
        <f t="shared" si="20"/>
        <v>0</v>
      </c>
      <c r="BH44" s="20">
        <f t="shared" si="21"/>
        <v>0</v>
      </c>
      <c r="BI44" s="20">
        <f t="shared" si="22"/>
        <v>0</v>
      </c>
    </row>
    <row r="45" spans="1:61" x14ac:dyDescent="0.2">
      <c r="A45" s="29">
        <v>43</v>
      </c>
      <c r="B45" s="88" t="s">
        <v>154</v>
      </c>
      <c r="C45" s="22"/>
      <c r="D45" s="24"/>
      <c r="E45" s="19"/>
      <c r="F45" s="20"/>
      <c r="G45" s="20"/>
      <c r="H45" s="20"/>
      <c r="I45" s="20"/>
      <c r="J45" s="20"/>
      <c r="K45" s="20"/>
      <c r="L45" s="21"/>
      <c r="M45" s="19"/>
      <c r="N45" s="20"/>
      <c r="O45" s="20"/>
      <c r="P45" s="20"/>
      <c r="Q45" s="20"/>
      <c r="R45" s="20"/>
      <c r="S45" s="20"/>
      <c r="T45" s="3"/>
      <c r="U45" s="19"/>
      <c r="V45" s="20"/>
      <c r="W45" s="20"/>
      <c r="X45" s="20"/>
      <c r="Y45" s="20"/>
      <c r="Z45" s="20"/>
      <c r="AA45" s="20"/>
      <c r="AB45" s="21"/>
      <c r="AC45" s="1"/>
      <c r="AD45" s="20"/>
      <c r="AE45" s="20"/>
      <c r="AF45" s="20"/>
      <c r="AG45" s="20"/>
      <c r="AH45" s="20"/>
      <c r="AI45" s="20"/>
      <c r="AJ45" s="3"/>
      <c r="AK45" s="44">
        <f t="shared" si="4"/>
        <v>0</v>
      </c>
      <c r="AL45" s="45">
        <f t="shared" si="5"/>
        <v>0</v>
      </c>
      <c r="AM45" s="46">
        <f t="shared" si="6"/>
        <v>0</v>
      </c>
      <c r="AN45" s="47">
        <f t="shared" si="7"/>
        <v>0</v>
      </c>
      <c r="AO45" s="48">
        <f t="shared" si="8"/>
        <v>0</v>
      </c>
      <c r="AP45" s="37"/>
      <c r="AR45" s="54">
        <f t="shared" si="9"/>
        <v>0</v>
      </c>
      <c r="AS45" s="20"/>
      <c r="AT45" s="56">
        <f t="shared" si="10"/>
        <v>0</v>
      </c>
      <c r="AU45" s="57" t="str">
        <f t="shared" si="11"/>
        <v/>
      </c>
      <c r="AV45" s="54" t="str">
        <f t="shared" si="12"/>
        <v/>
      </c>
      <c r="AW45" s="20"/>
      <c r="AX45" s="56">
        <f t="shared" si="13"/>
        <v>0</v>
      </c>
      <c r="AY45" s="60" t="str">
        <f t="shared" si="14"/>
        <v/>
      </c>
      <c r="AZ45" s="54" t="str">
        <f t="shared" si="15"/>
        <v/>
      </c>
      <c r="BA45" s="21"/>
      <c r="BB45" s="62" t="str">
        <f t="shared" si="16"/>
        <v/>
      </c>
      <c r="BC45" s="64">
        <f t="shared" si="17"/>
        <v>0</v>
      </c>
      <c r="BE45" s="20">
        <f t="shared" si="18"/>
        <v>0</v>
      </c>
      <c r="BF45" s="20">
        <f t="shared" si="19"/>
        <v>0</v>
      </c>
      <c r="BG45" s="89">
        <f t="shared" si="20"/>
        <v>0</v>
      </c>
      <c r="BH45" s="20">
        <f t="shared" si="21"/>
        <v>0</v>
      </c>
      <c r="BI45" s="20">
        <f t="shared" si="22"/>
        <v>0</v>
      </c>
    </row>
    <row r="46" spans="1:61" x14ac:dyDescent="0.2">
      <c r="A46" s="29">
        <v>44</v>
      </c>
      <c r="B46" s="88" t="s">
        <v>155</v>
      </c>
      <c r="C46" s="22"/>
      <c r="D46" s="24"/>
      <c r="E46" s="19"/>
      <c r="F46" s="20"/>
      <c r="G46" s="20"/>
      <c r="H46" s="20"/>
      <c r="I46" s="20"/>
      <c r="J46" s="20"/>
      <c r="K46" s="20"/>
      <c r="L46" s="21"/>
      <c r="M46" s="19"/>
      <c r="N46" s="20"/>
      <c r="O46" s="20"/>
      <c r="P46" s="20"/>
      <c r="Q46" s="20"/>
      <c r="R46" s="20"/>
      <c r="S46" s="20"/>
      <c r="T46" s="3"/>
      <c r="U46" s="19"/>
      <c r="V46" s="20"/>
      <c r="W46" s="20"/>
      <c r="X46" s="20"/>
      <c r="Y46" s="20"/>
      <c r="Z46" s="20"/>
      <c r="AA46" s="20"/>
      <c r="AB46" s="21"/>
      <c r="AC46" s="1"/>
      <c r="AD46" s="20"/>
      <c r="AE46" s="20"/>
      <c r="AF46" s="20"/>
      <c r="AG46" s="20"/>
      <c r="AH46" s="20"/>
      <c r="AI46" s="20"/>
      <c r="AJ46" s="3"/>
      <c r="AK46" s="44">
        <f t="shared" si="4"/>
        <v>0</v>
      </c>
      <c r="AL46" s="45">
        <f t="shared" si="5"/>
        <v>0</v>
      </c>
      <c r="AM46" s="46">
        <f t="shared" si="6"/>
        <v>0</v>
      </c>
      <c r="AN46" s="47">
        <f t="shared" si="7"/>
        <v>0</v>
      </c>
      <c r="AO46" s="48">
        <f t="shared" si="8"/>
        <v>0</v>
      </c>
      <c r="AP46" s="37"/>
      <c r="AR46" s="54">
        <f t="shared" si="9"/>
        <v>0</v>
      </c>
      <c r="AS46" s="20"/>
      <c r="AT46" s="56">
        <f t="shared" si="10"/>
        <v>0</v>
      </c>
      <c r="AU46" s="57" t="str">
        <f t="shared" si="11"/>
        <v/>
      </c>
      <c r="AV46" s="54" t="str">
        <f t="shared" si="12"/>
        <v/>
      </c>
      <c r="AW46" s="20"/>
      <c r="AX46" s="56">
        <f t="shared" si="13"/>
        <v>0</v>
      </c>
      <c r="AY46" s="60" t="str">
        <f t="shared" si="14"/>
        <v/>
      </c>
      <c r="AZ46" s="54" t="str">
        <f t="shared" si="15"/>
        <v/>
      </c>
      <c r="BA46" s="21"/>
      <c r="BB46" s="62" t="str">
        <f t="shared" si="16"/>
        <v/>
      </c>
      <c r="BC46" s="64">
        <f t="shared" si="17"/>
        <v>0</v>
      </c>
      <c r="BE46" s="20">
        <f t="shared" si="18"/>
        <v>0</v>
      </c>
      <c r="BF46" s="20">
        <f t="shared" si="19"/>
        <v>0</v>
      </c>
      <c r="BG46" s="89">
        <f t="shared" si="20"/>
        <v>0</v>
      </c>
      <c r="BH46" s="20">
        <f t="shared" si="21"/>
        <v>0</v>
      </c>
      <c r="BI46" s="20">
        <f t="shared" si="22"/>
        <v>0</v>
      </c>
    </row>
    <row r="47" spans="1:61" ht="16" thickBot="1" x14ac:dyDescent="0.25">
      <c r="A47" s="30">
        <v>45</v>
      </c>
      <c r="B47" s="88" t="s">
        <v>156</v>
      </c>
      <c r="C47" s="23"/>
      <c r="D47" s="25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4"/>
      <c r="U47" s="31"/>
      <c r="V47" s="32"/>
      <c r="W47" s="32"/>
      <c r="X47" s="32"/>
      <c r="Y47" s="32"/>
      <c r="Z47" s="32"/>
      <c r="AA47" s="32"/>
      <c r="AB47" s="33"/>
      <c r="AC47" s="5"/>
      <c r="AD47" s="32"/>
      <c r="AE47" s="32"/>
      <c r="AF47" s="32"/>
      <c r="AG47" s="32"/>
      <c r="AH47" s="32"/>
      <c r="AI47" s="32"/>
      <c r="AJ47" s="4"/>
      <c r="AK47" s="49">
        <f t="shared" si="4"/>
        <v>0</v>
      </c>
      <c r="AL47" s="50">
        <f t="shared" si="5"/>
        <v>0</v>
      </c>
      <c r="AM47" s="51">
        <f t="shared" si="6"/>
        <v>0</v>
      </c>
      <c r="AN47" s="52">
        <f t="shared" si="7"/>
        <v>0</v>
      </c>
      <c r="AO47" s="53">
        <f t="shared" si="8"/>
        <v>0</v>
      </c>
      <c r="AP47" s="38"/>
      <c r="AR47" s="55">
        <f t="shared" si="9"/>
        <v>0</v>
      </c>
      <c r="AS47" s="32"/>
      <c r="AT47" s="58">
        <f t="shared" si="10"/>
        <v>0</v>
      </c>
      <c r="AU47" s="59" t="str">
        <f t="shared" si="11"/>
        <v/>
      </c>
      <c r="AV47" s="55" t="str">
        <f t="shared" si="12"/>
        <v/>
      </c>
      <c r="AW47" s="32"/>
      <c r="AX47" s="58">
        <f t="shared" si="13"/>
        <v>0</v>
      </c>
      <c r="AY47" s="61" t="str">
        <f t="shared" si="14"/>
        <v/>
      </c>
      <c r="AZ47" s="55" t="str">
        <f t="shared" si="15"/>
        <v/>
      </c>
      <c r="BA47" s="33"/>
      <c r="BB47" s="65" t="str">
        <f t="shared" si="16"/>
        <v/>
      </c>
      <c r="BC47" s="66">
        <f t="shared" si="17"/>
        <v>0</v>
      </c>
      <c r="BE47" s="20">
        <f t="shared" si="18"/>
        <v>0</v>
      </c>
      <c r="BF47" s="20">
        <f t="shared" si="19"/>
        <v>0</v>
      </c>
      <c r="BG47" s="89">
        <f t="shared" si="20"/>
        <v>0</v>
      </c>
      <c r="BH47" s="20">
        <f t="shared" si="21"/>
        <v>0</v>
      </c>
      <c r="BI47" s="20">
        <f t="shared" si="22"/>
        <v>0</v>
      </c>
    </row>
  </sheetData>
  <mergeCells count="26">
    <mergeCell ref="AN1:AN2"/>
    <mergeCell ref="AR1:AR2"/>
    <mergeCell ref="AS1:AS2"/>
    <mergeCell ref="U1:AB1"/>
    <mergeCell ref="AC1:AJ1"/>
    <mergeCell ref="AK1:AK2"/>
    <mergeCell ref="AL1:AL2"/>
    <mergeCell ref="AM1:AM2"/>
    <mergeCell ref="AO1:AO2"/>
    <mergeCell ref="AP1:AP2"/>
    <mergeCell ref="A1:A2"/>
    <mergeCell ref="C1:C2"/>
    <mergeCell ref="D1:D2"/>
    <mergeCell ref="E1:L1"/>
    <mergeCell ref="M1:T1"/>
    <mergeCell ref="B1:B2"/>
    <mergeCell ref="AZ1:AZ2"/>
    <mergeCell ref="BA1:BA2"/>
    <mergeCell ref="BB1:BB2"/>
    <mergeCell ref="BC1:BC2"/>
    <mergeCell ref="AT1:AT2"/>
    <mergeCell ref="AU1:AU2"/>
    <mergeCell ref="AV1:AV2"/>
    <mergeCell ref="AW1:AW2"/>
    <mergeCell ref="AX1:AX2"/>
    <mergeCell ref="AY1:AY2"/>
  </mergeCells>
  <conditionalFormatting sqref="AJ3">
    <cfRule type="cellIs" dxfId="377" priority="14" operator="lessThan">
      <formula>70</formula>
    </cfRule>
  </conditionalFormatting>
  <conditionalFormatting sqref="G3:L33">
    <cfRule type="cellIs" dxfId="376" priority="17" operator="lessThan">
      <formula>70</formula>
    </cfRule>
  </conditionalFormatting>
  <conditionalFormatting sqref="G38:L38 G40:L44">
    <cfRule type="cellIs" dxfId="375" priority="12" operator="lessThan">
      <formula>70</formula>
    </cfRule>
  </conditionalFormatting>
  <conditionalFormatting sqref="O3:AB33">
    <cfRule type="cellIs" dxfId="0" priority="16" operator="lessThan">
      <formula>70</formula>
    </cfRule>
  </conditionalFormatting>
  <conditionalFormatting sqref="O38:AB38 O40:AB44">
    <cfRule type="cellIs" dxfId="374" priority="11" operator="lessThan">
      <formula>70</formula>
    </cfRule>
  </conditionalFormatting>
  <conditionalFormatting sqref="U33:AG33 AK3:AP47 AH44:AJ44 E45:AJ47 AH38 AJ34:AJ43 E35:AI37 AH40:AH43 E38:F44 M38:N44 AC38:AD44 E3:F34 M3:N34 AC3:AD34">
    <cfRule type="cellIs" dxfId="373" priority="20" operator="lessThan">
      <formula>70</formula>
    </cfRule>
  </conditionalFormatting>
  <conditionalFormatting sqref="AE38:AG38 AE40:AG44">
    <cfRule type="cellIs" dxfId="372" priority="10" operator="lessThan">
      <formula>70</formula>
    </cfRule>
  </conditionalFormatting>
  <conditionalFormatting sqref="AJ4:AJ33 AE3:AH33">
    <cfRule type="cellIs" dxfId="371" priority="15" operator="lessThan">
      <formula>70</formula>
    </cfRule>
  </conditionalFormatting>
  <conditionalFormatting sqref="AR3:AR47">
    <cfRule type="cellIs" dxfId="370" priority="18" operator="lessThan">
      <formula>70</formula>
    </cfRule>
  </conditionalFormatting>
  <conditionalFormatting sqref="AR3:AY47">
    <cfRule type="cellIs" dxfId="369" priority="19" operator="lessThan">
      <formula>70</formula>
    </cfRule>
  </conditionalFormatting>
  <conditionalFormatting sqref="AZ3:AZ47">
    <cfRule type="cellIs" dxfId="368" priority="13" operator="lessThan">
      <formula>70</formula>
    </cfRule>
  </conditionalFormatting>
  <conditionalFormatting sqref="AI3:AI34">
    <cfRule type="cellIs" dxfId="367" priority="9" operator="lessThan">
      <formula>70</formula>
    </cfRule>
  </conditionalFormatting>
  <conditionalFormatting sqref="AI38 AI40:AI43">
    <cfRule type="cellIs" dxfId="366" priority="8" operator="lessThan">
      <formula>70</formula>
    </cfRule>
  </conditionalFormatting>
  <conditionalFormatting sqref="G39:L39">
    <cfRule type="cellIs" dxfId="7" priority="7" operator="lessThan">
      <formula>70</formula>
    </cfRule>
  </conditionalFormatting>
  <conditionalFormatting sqref="O39:AB39">
    <cfRule type="cellIs" dxfId="6" priority="6" operator="lessThan">
      <formula>70</formula>
    </cfRule>
  </conditionalFormatting>
  <conditionalFormatting sqref="AE39:AH39">
    <cfRule type="cellIs" dxfId="5" priority="5" operator="lessThan">
      <formula>70</formula>
    </cfRule>
  </conditionalFormatting>
  <conditionalFormatting sqref="AI39">
    <cfRule type="cellIs" dxfId="4" priority="4" operator="lessThan">
      <formula>70</formula>
    </cfRule>
  </conditionalFormatting>
  <conditionalFormatting sqref="G34:L34">
    <cfRule type="cellIs" dxfId="3" priority="3" operator="lessThan">
      <formula>70</formula>
    </cfRule>
  </conditionalFormatting>
  <conditionalFormatting sqref="O34:AB34">
    <cfRule type="cellIs" dxfId="2" priority="2" operator="lessThan">
      <formula>70</formula>
    </cfRule>
  </conditionalFormatting>
  <conditionalFormatting sqref="AE34:AH34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2026-06-13T12:11:45Z</cp:lastPrinted>
  <dcterms:created xsi:type="dcterms:W3CDTF">2023-03-02T01:29:27Z</dcterms:created>
  <dcterms:modified xsi:type="dcterms:W3CDTF">2026-09-18T00:32:56Z</dcterms:modified>
</cp:coreProperties>
</file>