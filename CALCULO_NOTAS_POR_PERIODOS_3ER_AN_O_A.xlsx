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ro/Desktop/carpeta sin título/"/>
    </mc:Choice>
  </mc:AlternateContent>
  <xr:revisionPtr revIDLastSave="0" documentId="13_ncr:1_{F1358801-09D9-2A4B-9873-D68810279B8E}" xr6:coauthVersionLast="47" xr6:coauthVersionMax="47" xr10:uidLastSave="{00000000-0000-0000-0000-000000000000}"/>
  <bookViews>
    <workbookView xWindow="1160" yWindow="1760" windowWidth="34700" windowHeight="19160" activeTab="7" xr2:uid="{BF37B4F6-1786-4C58-92C4-B0786BCD6E45}"/>
  </bookViews>
  <sheets>
    <sheet name="ESPANOL" sheetId="19" r:id="rId1"/>
    <sheet name="INGLES" sheetId="26" r:id="rId2"/>
    <sheet name="MATEMATICA" sheetId="27" r:id="rId3"/>
    <sheet name="SOCIALES" sheetId="28" r:id="rId4"/>
    <sheet name="NATURALES" sheetId="29" r:id="rId5"/>
    <sheet name="EDU.ARTISTICA" sheetId="30" r:id="rId6"/>
    <sheet name="EDU.FISICA" sheetId="31" r:id="rId7"/>
    <sheet name="RELIGION" sheetId="3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47" i="32" l="1"/>
  <c r="BG47" i="32"/>
  <c r="BF47" i="32"/>
  <c r="BE47" i="32"/>
  <c r="BI47" i="32" s="1"/>
  <c r="BH46" i="32"/>
  <c r="BG46" i="32"/>
  <c r="BF46" i="32"/>
  <c r="BE46" i="32"/>
  <c r="BI46" i="32" s="1"/>
  <c r="BH45" i="32"/>
  <c r="BG45" i="32"/>
  <c r="BF45" i="32"/>
  <c r="BE45" i="32"/>
  <c r="BI45" i="32" s="1"/>
  <c r="BH44" i="32"/>
  <c r="BG44" i="32"/>
  <c r="BF44" i="32"/>
  <c r="BE44" i="32"/>
  <c r="BI44" i="32" s="1"/>
  <c r="BH43" i="32"/>
  <c r="BG43" i="32"/>
  <c r="BF43" i="32"/>
  <c r="BE43" i="32"/>
  <c r="BI43" i="32" s="1"/>
  <c r="BH42" i="32"/>
  <c r="BG42" i="32"/>
  <c r="BF42" i="32"/>
  <c r="BE42" i="32"/>
  <c r="BI42" i="32" s="1"/>
  <c r="BH41" i="32"/>
  <c r="BG41" i="32"/>
  <c r="BF41" i="32"/>
  <c r="BE41" i="32"/>
  <c r="BI41" i="32" s="1"/>
  <c r="BH40" i="32"/>
  <c r="BG40" i="32"/>
  <c r="BF40" i="32"/>
  <c r="BE40" i="32"/>
  <c r="BI40" i="32" s="1"/>
  <c r="BH39" i="32"/>
  <c r="BG39" i="32"/>
  <c r="BF39" i="32"/>
  <c r="BE39" i="32"/>
  <c r="BI39" i="32" s="1"/>
  <c r="BH38" i="32"/>
  <c r="BG38" i="32"/>
  <c r="BF38" i="32"/>
  <c r="BE38" i="32"/>
  <c r="BI38" i="32" s="1"/>
  <c r="BH37" i="32"/>
  <c r="BG37" i="32"/>
  <c r="BF37" i="32"/>
  <c r="BE37" i="32"/>
  <c r="BI37" i="32" s="1"/>
  <c r="BH36" i="32"/>
  <c r="BG36" i="32"/>
  <c r="BF36" i="32"/>
  <c r="BE36" i="32"/>
  <c r="BI36" i="32" s="1"/>
  <c r="BH35" i="32"/>
  <c r="BG35" i="32"/>
  <c r="BF35" i="32"/>
  <c r="BE35" i="32"/>
  <c r="BI35" i="32" s="1"/>
  <c r="BH34" i="32"/>
  <c r="BG34" i="32"/>
  <c r="BF34" i="32"/>
  <c r="BE34" i="32"/>
  <c r="BI34" i="32" s="1"/>
  <c r="BH33" i="32"/>
  <c r="BG33" i="32"/>
  <c r="BF33" i="32"/>
  <c r="BE33" i="32"/>
  <c r="BI33" i="32" s="1"/>
  <c r="BH32" i="32"/>
  <c r="BG32" i="32"/>
  <c r="BF32" i="32"/>
  <c r="BE32" i="32"/>
  <c r="BI32" i="32" s="1"/>
  <c r="BH31" i="32"/>
  <c r="BG31" i="32"/>
  <c r="BF31" i="32"/>
  <c r="BE31" i="32"/>
  <c r="BI31" i="32" s="1"/>
  <c r="BH30" i="32"/>
  <c r="BG30" i="32"/>
  <c r="BF30" i="32"/>
  <c r="BE30" i="32"/>
  <c r="BI30" i="32" s="1"/>
  <c r="BH29" i="32"/>
  <c r="BG29" i="32"/>
  <c r="BF29" i="32"/>
  <c r="BE29" i="32"/>
  <c r="BI29" i="32" s="1"/>
  <c r="BH28" i="32"/>
  <c r="BG28" i="32"/>
  <c r="BF28" i="32"/>
  <c r="BE28" i="32"/>
  <c r="BI28" i="32" s="1"/>
  <c r="BH27" i="32"/>
  <c r="BG27" i="32"/>
  <c r="BF27" i="32"/>
  <c r="BE27" i="32"/>
  <c r="BI27" i="32" s="1"/>
  <c r="BH26" i="32"/>
  <c r="BG26" i="32"/>
  <c r="BF26" i="32"/>
  <c r="BE26" i="32"/>
  <c r="BI26" i="32" s="1"/>
  <c r="BH25" i="32"/>
  <c r="BG25" i="32"/>
  <c r="BF25" i="32"/>
  <c r="BE25" i="32"/>
  <c r="BI25" i="32" s="1"/>
  <c r="BH24" i="32"/>
  <c r="BG24" i="32"/>
  <c r="BF24" i="32"/>
  <c r="BE24" i="32"/>
  <c r="BI24" i="32" s="1"/>
  <c r="BH23" i="32"/>
  <c r="BG23" i="32"/>
  <c r="BF23" i="32"/>
  <c r="BE23" i="32"/>
  <c r="BI23" i="32" s="1"/>
  <c r="BH22" i="32"/>
  <c r="BG22" i="32"/>
  <c r="BF22" i="32"/>
  <c r="BE22" i="32"/>
  <c r="BI22" i="32" s="1"/>
  <c r="BH21" i="32"/>
  <c r="BG21" i="32"/>
  <c r="BF21" i="32"/>
  <c r="BE21" i="32"/>
  <c r="BI21" i="32" s="1"/>
  <c r="BH20" i="32"/>
  <c r="BG20" i="32"/>
  <c r="BF20" i="32"/>
  <c r="BE20" i="32"/>
  <c r="BI20" i="32" s="1"/>
  <c r="BH19" i="32"/>
  <c r="BG19" i="32"/>
  <c r="BF19" i="32"/>
  <c r="BE19" i="32"/>
  <c r="BI19" i="32" s="1"/>
  <c r="BH18" i="32"/>
  <c r="BG18" i="32"/>
  <c r="BF18" i="32"/>
  <c r="BE18" i="32"/>
  <c r="BI18" i="32" s="1"/>
  <c r="BH17" i="32"/>
  <c r="BG17" i="32"/>
  <c r="BF17" i="32"/>
  <c r="BE17" i="32"/>
  <c r="BI17" i="32" s="1"/>
  <c r="BH16" i="32"/>
  <c r="BG16" i="32"/>
  <c r="BF16" i="32"/>
  <c r="BE16" i="32"/>
  <c r="BI16" i="32" s="1"/>
  <c r="BH15" i="32"/>
  <c r="BG15" i="32"/>
  <c r="BF15" i="32"/>
  <c r="BE15" i="32"/>
  <c r="BH14" i="32"/>
  <c r="BG14" i="32"/>
  <c r="BF14" i="32"/>
  <c r="BE14" i="32"/>
  <c r="BH13" i="32"/>
  <c r="BG13" i="32"/>
  <c r="BF13" i="32"/>
  <c r="BE13" i="32"/>
  <c r="BI13" i="32" s="1"/>
  <c r="BH12" i="32"/>
  <c r="BG12" i="32"/>
  <c r="BF12" i="32"/>
  <c r="BE12" i="32"/>
  <c r="BI12" i="32" s="1"/>
  <c r="BH11" i="32"/>
  <c r="BG11" i="32"/>
  <c r="BF11" i="32"/>
  <c r="BE11" i="32"/>
  <c r="BI11" i="32" s="1"/>
  <c r="BH10" i="32"/>
  <c r="BG10" i="32"/>
  <c r="BF10" i="32"/>
  <c r="BE10" i="32"/>
  <c r="BI10" i="32" s="1"/>
  <c r="BH9" i="32"/>
  <c r="BG9" i="32"/>
  <c r="BF9" i="32"/>
  <c r="BE9" i="32"/>
  <c r="BI9" i="32" s="1"/>
  <c r="BH8" i="32"/>
  <c r="BG8" i="32"/>
  <c r="BF8" i="32"/>
  <c r="BE8" i="32"/>
  <c r="BI8" i="32" s="1"/>
  <c r="BH7" i="32"/>
  <c r="BG7" i="32"/>
  <c r="BF7" i="32"/>
  <c r="BE7" i="32"/>
  <c r="BI7" i="32" s="1"/>
  <c r="BH6" i="32"/>
  <c r="BG6" i="32"/>
  <c r="BF6" i="32"/>
  <c r="BE6" i="32"/>
  <c r="BI6" i="32" s="1"/>
  <c r="BH5" i="32"/>
  <c r="BG5" i="32"/>
  <c r="BF5" i="32"/>
  <c r="BE5" i="32"/>
  <c r="BI5" i="32" s="1"/>
  <c r="BH4" i="32"/>
  <c r="BG4" i="32"/>
  <c r="BF4" i="32"/>
  <c r="BE4" i="32"/>
  <c r="BI4" i="32" s="1"/>
  <c r="BH3" i="32"/>
  <c r="BG3" i="32"/>
  <c r="BF3" i="32"/>
  <c r="BE3" i="32"/>
  <c r="BI3" i="32" s="1"/>
  <c r="BH47" i="31"/>
  <c r="BG47" i="31"/>
  <c r="BF47" i="31"/>
  <c r="BE47" i="31"/>
  <c r="BH46" i="31"/>
  <c r="BG46" i="31"/>
  <c r="BF46" i="31"/>
  <c r="BE46" i="31"/>
  <c r="BI46" i="31" s="1"/>
  <c r="BH45" i="31"/>
  <c r="BG45" i="31"/>
  <c r="BF45" i="31"/>
  <c r="BE45" i="31"/>
  <c r="BI45" i="31" s="1"/>
  <c r="BH44" i="31"/>
  <c r="BG44" i="31"/>
  <c r="BF44" i="31"/>
  <c r="BE44" i="31"/>
  <c r="BI44" i="31" s="1"/>
  <c r="BH43" i="31"/>
  <c r="BG43" i="31"/>
  <c r="BF43" i="31"/>
  <c r="BE43" i="31"/>
  <c r="BI43" i="31" s="1"/>
  <c r="BH42" i="31"/>
  <c r="BG42" i="31"/>
  <c r="BF42" i="31"/>
  <c r="BE42" i="31"/>
  <c r="BH41" i="31"/>
  <c r="BG41" i="31"/>
  <c r="BF41" i="31"/>
  <c r="BE41" i="31"/>
  <c r="BH40" i="31"/>
  <c r="BG40" i="31"/>
  <c r="BF40" i="31"/>
  <c r="BE40" i="31"/>
  <c r="BI40" i="31" s="1"/>
  <c r="BH39" i="31"/>
  <c r="BG39" i="31"/>
  <c r="BF39" i="31"/>
  <c r="BE39" i="31"/>
  <c r="BI39" i="31" s="1"/>
  <c r="BH38" i="31"/>
  <c r="BG38" i="31"/>
  <c r="BF38" i="31"/>
  <c r="BE38" i="31"/>
  <c r="BI38" i="31" s="1"/>
  <c r="BH37" i="31"/>
  <c r="BG37" i="31"/>
  <c r="BF37" i="31"/>
  <c r="BE37" i="31"/>
  <c r="BI37" i="31" s="1"/>
  <c r="BH36" i="31"/>
  <c r="BG36" i="31"/>
  <c r="BF36" i="31"/>
  <c r="BE36" i="31"/>
  <c r="BI36" i="31" s="1"/>
  <c r="BH35" i="31"/>
  <c r="BG35" i="31"/>
  <c r="BF35" i="31"/>
  <c r="BE35" i="31"/>
  <c r="BH34" i="31"/>
  <c r="BG34" i="31"/>
  <c r="BF34" i="31"/>
  <c r="BE34" i="31"/>
  <c r="BH33" i="31"/>
  <c r="BG33" i="31"/>
  <c r="BF33" i="31"/>
  <c r="BE33" i="31"/>
  <c r="BI33" i="31" s="1"/>
  <c r="BH32" i="31"/>
  <c r="BG32" i="31"/>
  <c r="BF32" i="31"/>
  <c r="BE32" i="31"/>
  <c r="BH31" i="31"/>
  <c r="BG31" i="31"/>
  <c r="BF31" i="31"/>
  <c r="BE31" i="31"/>
  <c r="BH30" i="31"/>
  <c r="BG30" i="31"/>
  <c r="BF30" i="31"/>
  <c r="BE30" i="31"/>
  <c r="BH29" i="31"/>
  <c r="BG29" i="31"/>
  <c r="BF29" i="31"/>
  <c r="BE29" i="31"/>
  <c r="BH28" i="31"/>
  <c r="BG28" i="31"/>
  <c r="BF28" i="31"/>
  <c r="BE28" i="31"/>
  <c r="BH27" i="31"/>
  <c r="BG27" i="31"/>
  <c r="BF27" i="31"/>
  <c r="BE27" i="31"/>
  <c r="BH26" i="31"/>
  <c r="BG26" i="31"/>
  <c r="BF26" i="31"/>
  <c r="BE26" i="31"/>
  <c r="BH25" i="31"/>
  <c r="BG25" i="31"/>
  <c r="BF25" i="31"/>
  <c r="BE25" i="31"/>
  <c r="BH24" i="31"/>
  <c r="BG24" i="31"/>
  <c r="BF24" i="31"/>
  <c r="BE24" i="31"/>
  <c r="BI24" i="31" s="1"/>
  <c r="BH23" i="31"/>
  <c r="BG23" i="31"/>
  <c r="BF23" i="31"/>
  <c r="BE23" i="31"/>
  <c r="BH22" i="31"/>
  <c r="BG22" i="31"/>
  <c r="BF22" i="31"/>
  <c r="BE22" i="31"/>
  <c r="BI22" i="31" s="1"/>
  <c r="BH21" i="31"/>
  <c r="BG21" i="31"/>
  <c r="BF21" i="31"/>
  <c r="BE21" i="31"/>
  <c r="BI21" i="31" s="1"/>
  <c r="BH20" i="31"/>
  <c r="BG20" i="31"/>
  <c r="BF20" i="31"/>
  <c r="BE20" i="31"/>
  <c r="BI20" i="31" s="1"/>
  <c r="BH19" i="31"/>
  <c r="BG19" i="31"/>
  <c r="BF19" i="31"/>
  <c r="BE19" i="31"/>
  <c r="BI19" i="31" s="1"/>
  <c r="BH18" i="31"/>
  <c r="BG18" i="31"/>
  <c r="BF18" i="31"/>
  <c r="BE18" i="31"/>
  <c r="BH17" i="31"/>
  <c r="BG17" i="31"/>
  <c r="BF17" i="31"/>
  <c r="BE17" i="31"/>
  <c r="BI17" i="31" s="1"/>
  <c r="BH16" i="31"/>
  <c r="BG16" i="31"/>
  <c r="BF16" i="31"/>
  <c r="BE16" i="31"/>
  <c r="BI16" i="31" s="1"/>
  <c r="BH15" i="31"/>
  <c r="BG15" i="31"/>
  <c r="BF15" i="31"/>
  <c r="BE15" i="31"/>
  <c r="BI15" i="31" s="1"/>
  <c r="BH14" i="31"/>
  <c r="BG14" i="31"/>
  <c r="BF14" i="31"/>
  <c r="BE14" i="31"/>
  <c r="BH13" i="31"/>
  <c r="BG13" i="31"/>
  <c r="BF13" i="31"/>
  <c r="BE13" i="31"/>
  <c r="BI13" i="31" s="1"/>
  <c r="BH12" i="31"/>
  <c r="BG12" i="31"/>
  <c r="BF12" i="31"/>
  <c r="BE12" i="31"/>
  <c r="BI12" i="31" s="1"/>
  <c r="BH11" i="31"/>
  <c r="BG11" i="31"/>
  <c r="BF11" i="31"/>
  <c r="BE11" i="31"/>
  <c r="BI11" i="31" s="1"/>
  <c r="BH10" i="31"/>
  <c r="BG10" i="31"/>
  <c r="BF10" i="31"/>
  <c r="BE10" i="31"/>
  <c r="BH9" i="31"/>
  <c r="BG9" i="31"/>
  <c r="BF9" i="31"/>
  <c r="BE9" i="31"/>
  <c r="BI9" i="31" s="1"/>
  <c r="BH8" i="31"/>
  <c r="BG8" i="31"/>
  <c r="BF8" i="31"/>
  <c r="BE8" i="31"/>
  <c r="BI8" i="31" s="1"/>
  <c r="BH7" i="31"/>
  <c r="BG7" i="31"/>
  <c r="BF7" i="31"/>
  <c r="BE7" i="31"/>
  <c r="BI7" i="31" s="1"/>
  <c r="BH6" i="31"/>
  <c r="BG6" i="31"/>
  <c r="BF6" i="31"/>
  <c r="BE6" i="31"/>
  <c r="BI6" i="31" s="1"/>
  <c r="BH5" i="31"/>
  <c r="BG5" i="31"/>
  <c r="BF5" i="31"/>
  <c r="BE5" i="31"/>
  <c r="BI5" i="31" s="1"/>
  <c r="BH4" i="31"/>
  <c r="BG4" i="31"/>
  <c r="BF4" i="31"/>
  <c r="BE4" i="31"/>
  <c r="BI4" i="31" s="1"/>
  <c r="BH3" i="31"/>
  <c r="BG3" i="31"/>
  <c r="BF3" i="31"/>
  <c r="BE3" i="31"/>
  <c r="BI3" i="31" s="1"/>
  <c r="BH47" i="30"/>
  <c r="BG47" i="30"/>
  <c r="BF47" i="30"/>
  <c r="BE47" i="30"/>
  <c r="BH46" i="30"/>
  <c r="BG46" i="30"/>
  <c r="BF46" i="30"/>
  <c r="BE46" i="30"/>
  <c r="BI46" i="30" s="1"/>
  <c r="BH45" i="30"/>
  <c r="BG45" i="30"/>
  <c r="BF45" i="30"/>
  <c r="BE45" i="30"/>
  <c r="BH44" i="30"/>
  <c r="BG44" i="30"/>
  <c r="BF44" i="30"/>
  <c r="BE44" i="30"/>
  <c r="BI44" i="30" s="1"/>
  <c r="BH43" i="30"/>
  <c r="BG43" i="30"/>
  <c r="BF43" i="30"/>
  <c r="BE43" i="30"/>
  <c r="BI43" i="30" s="1"/>
  <c r="BH42" i="30"/>
  <c r="BG42" i="30"/>
  <c r="BF42" i="30"/>
  <c r="BE42" i="30"/>
  <c r="BH41" i="30"/>
  <c r="BG41" i="30"/>
  <c r="BF41" i="30"/>
  <c r="BE41" i="30"/>
  <c r="BI41" i="30" s="1"/>
  <c r="BH40" i="30"/>
  <c r="BG40" i="30"/>
  <c r="BF40" i="30"/>
  <c r="BE40" i="30"/>
  <c r="BI40" i="30" s="1"/>
  <c r="BH39" i="30"/>
  <c r="BG39" i="30"/>
  <c r="BF39" i="30"/>
  <c r="BE39" i="30"/>
  <c r="BH38" i="30"/>
  <c r="BG38" i="30"/>
  <c r="BF38" i="30"/>
  <c r="BE38" i="30"/>
  <c r="BH37" i="30"/>
  <c r="BG37" i="30"/>
  <c r="BF37" i="30"/>
  <c r="BE37" i="30"/>
  <c r="BH36" i="30"/>
  <c r="BG36" i="30"/>
  <c r="BF36" i="30"/>
  <c r="BE36" i="30"/>
  <c r="BH35" i="30"/>
  <c r="BG35" i="30"/>
  <c r="BF35" i="30"/>
  <c r="BE35" i="30"/>
  <c r="BH34" i="30"/>
  <c r="BG34" i="30"/>
  <c r="BF34" i="30"/>
  <c r="BE34" i="30"/>
  <c r="BI34" i="30" s="1"/>
  <c r="BH33" i="30"/>
  <c r="BG33" i="30"/>
  <c r="BF33" i="30"/>
  <c r="BE33" i="30"/>
  <c r="BI33" i="30" s="1"/>
  <c r="BH32" i="30"/>
  <c r="BG32" i="30"/>
  <c r="BF32" i="30"/>
  <c r="BE32" i="30"/>
  <c r="BI32" i="30" s="1"/>
  <c r="BH31" i="30"/>
  <c r="BG31" i="30"/>
  <c r="BF31" i="30"/>
  <c r="BE31" i="30"/>
  <c r="BI31" i="30" s="1"/>
  <c r="BH30" i="30"/>
  <c r="BG30" i="30"/>
  <c r="BF30" i="30"/>
  <c r="BE30" i="30"/>
  <c r="BH29" i="30"/>
  <c r="BG29" i="30"/>
  <c r="BF29" i="30"/>
  <c r="BE29" i="30"/>
  <c r="BI29" i="30" s="1"/>
  <c r="BH28" i="30"/>
  <c r="BG28" i="30"/>
  <c r="BF28" i="30"/>
  <c r="BE28" i="30"/>
  <c r="BI28" i="30" s="1"/>
  <c r="BH27" i="30"/>
  <c r="BG27" i="30"/>
  <c r="BF27" i="30"/>
  <c r="BE27" i="30"/>
  <c r="BI27" i="30" s="1"/>
  <c r="BH26" i="30"/>
  <c r="BG26" i="30"/>
  <c r="BF26" i="30"/>
  <c r="BE26" i="30"/>
  <c r="BH25" i="30"/>
  <c r="BG25" i="30"/>
  <c r="BF25" i="30"/>
  <c r="BE25" i="30"/>
  <c r="BH24" i="30"/>
  <c r="BG24" i="30"/>
  <c r="BF24" i="30"/>
  <c r="BE24" i="30"/>
  <c r="BH23" i="30"/>
  <c r="BG23" i="30"/>
  <c r="BF23" i="30"/>
  <c r="BE23" i="30"/>
  <c r="BH22" i="30"/>
  <c r="BG22" i="30"/>
  <c r="BF22" i="30"/>
  <c r="BE22" i="30"/>
  <c r="BI22" i="30" s="1"/>
  <c r="BH21" i="30"/>
  <c r="BG21" i="30"/>
  <c r="BF21" i="30"/>
  <c r="BE21" i="30"/>
  <c r="BI21" i="30" s="1"/>
  <c r="BH20" i="30"/>
  <c r="BG20" i="30"/>
  <c r="BF20" i="30"/>
  <c r="BE20" i="30"/>
  <c r="BI20" i="30" s="1"/>
  <c r="BH19" i="30"/>
  <c r="BG19" i="30"/>
  <c r="BF19" i="30"/>
  <c r="BE19" i="30"/>
  <c r="BI19" i="30" s="1"/>
  <c r="BH18" i="30"/>
  <c r="BG18" i="30"/>
  <c r="BF18" i="30"/>
  <c r="BE18" i="30"/>
  <c r="BH17" i="30"/>
  <c r="BG17" i="30"/>
  <c r="BF17" i="30"/>
  <c r="BE17" i="30"/>
  <c r="BI17" i="30" s="1"/>
  <c r="BH16" i="30"/>
  <c r="BG16" i="30"/>
  <c r="BF16" i="30"/>
  <c r="BE16" i="30"/>
  <c r="BI16" i="30" s="1"/>
  <c r="BH15" i="30"/>
  <c r="BG15" i="30"/>
  <c r="BF15" i="30"/>
  <c r="BE15" i="30"/>
  <c r="BI15" i="30" s="1"/>
  <c r="BH14" i="30"/>
  <c r="BG14" i="30"/>
  <c r="BF14" i="30"/>
  <c r="BE14" i="30"/>
  <c r="BI14" i="30" s="1"/>
  <c r="BH13" i="30"/>
  <c r="BG13" i="30"/>
  <c r="BF13" i="30"/>
  <c r="BE13" i="30"/>
  <c r="BH12" i="30"/>
  <c r="BG12" i="30"/>
  <c r="BF12" i="30"/>
  <c r="BE12" i="30"/>
  <c r="BI12" i="30" s="1"/>
  <c r="BH11" i="30"/>
  <c r="BG11" i="30"/>
  <c r="BF11" i="30"/>
  <c r="BE11" i="30"/>
  <c r="BI11" i="30" s="1"/>
  <c r="BH10" i="30"/>
  <c r="BG10" i="30"/>
  <c r="BF10" i="30"/>
  <c r="BE10" i="30"/>
  <c r="BH9" i="30"/>
  <c r="BG9" i="30"/>
  <c r="BF9" i="30"/>
  <c r="BE9" i="30"/>
  <c r="BI9" i="30" s="1"/>
  <c r="BH8" i="30"/>
  <c r="BG8" i="30"/>
  <c r="BF8" i="30"/>
  <c r="BE8" i="30"/>
  <c r="BI8" i="30" s="1"/>
  <c r="BH7" i="30"/>
  <c r="BG7" i="30"/>
  <c r="BF7" i="30"/>
  <c r="BE7" i="30"/>
  <c r="BH6" i="30"/>
  <c r="BG6" i="30"/>
  <c r="BF6" i="30"/>
  <c r="BE6" i="30"/>
  <c r="BI6" i="30" s="1"/>
  <c r="BH5" i="30"/>
  <c r="BG5" i="30"/>
  <c r="BF5" i="30"/>
  <c r="BE5" i="30"/>
  <c r="BI5" i="30" s="1"/>
  <c r="BH4" i="30"/>
  <c r="BG4" i="30"/>
  <c r="BF4" i="30"/>
  <c r="BE4" i="30"/>
  <c r="BH3" i="30"/>
  <c r="BG3" i="30"/>
  <c r="BF3" i="30"/>
  <c r="BE3" i="30"/>
  <c r="BH47" i="29"/>
  <c r="BG47" i="29"/>
  <c r="BF47" i="29"/>
  <c r="BE47" i="29"/>
  <c r="BI47" i="29" s="1"/>
  <c r="BH46" i="29"/>
  <c r="BG46" i="29"/>
  <c r="BF46" i="29"/>
  <c r="BE46" i="29"/>
  <c r="BH45" i="29"/>
  <c r="BG45" i="29"/>
  <c r="BF45" i="29"/>
  <c r="BE45" i="29"/>
  <c r="BH44" i="29"/>
  <c r="BG44" i="29"/>
  <c r="BF44" i="29"/>
  <c r="BE44" i="29"/>
  <c r="BI44" i="29" s="1"/>
  <c r="BH43" i="29"/>
  <c r="BG43" i="29"/>
  <c r="BF43" i="29"/>
  <c r="BE43" i="29"/>
  <c r="BI43" i="29" s="1"/>
  <c r="BH42" i="29"/>
  <c r="BG42" i="29"/>
  <c r="BF42" i="29"/>
  <c r="BE42" i="29"/>
  <c r="BI42" i="29" s="1"/>
  <c r="BH41" i="29"/>
  <c r="BG41" i="29"/>
  <c r="BF41" i="29"/>
  <c r="BE41" i="29"/>
  <c r="BI41" i="29" s="1"/>
  <c r="BH40" i="29"/>
  <c r="BG40" i="29"/>
  <c r="BF40" i="29"/>
  <c r="BE40" i="29"/>
  <c r="BI40" i="29" s="1"/>
  <c r="BH39" i="29"/>
  <c r="BG39" i="29"/>
  <c r="BF39" i="29"/>
  <c r="BE39" i="29"/>
  <c r="BI39" i="29" s="1"/>
  <c r="BH38" i="29"/>
  <c r="BG38" i="29"/>
  <c r="BF38" i="29"/>
  <c r="BE38" i="29"/>
  <c r="BI38" i="29" s="1"/>
  <c r="BH37" i="29"/>
  <c r="BG37" i="29"/>
  <c r="BF37" i="29"/>
  <c r="BE37" i="29"/>
  <c r="BH36" i="29"/>
  <c r="BG36" i="29"/>
  <c r="BF36" i="29"/>
  <c r="BE36" i="29"/>
  <c r="BI36" i="29" s="1"/>
  <c r="BH35" i="29"/>
  <c r="BG35" i="29"/>
  <c r="BF35" i="29"/>
  <c r="BE35" i="29"/>
  <c r="BI35" i="29" s="1"/>
  <c r="BH34" i="29"/>
  <c r="BG34" i="29"/>
  <c r="BF34" i="29"/>
  <c r="BE34" i="29"/>
  <c r="BI34" i="29" s="1"/>
  <c r="BH33" i="29"/>
  <c r="BG33" i="29"/>
  <c r="BF33" i="29"/>
  <c r="BE33" i="29"/>
  <c r="BH32" i="29"/>
  <c r="BG32" i="29"/>
  <c r="BF32" i="29"/>
  <c r="BE32" i="29"/>
  <c r="BI32" i="29" s="1"/>
  <c r="BH31" i="29"/>
  <c r="BG31" i="29"/>
  <c r="BF31" i="29"/>
  <c r="BE31" i="29"/>
  <c r="BH30" i="29"/>
  <c r="BG30" i="29"/>
  <c r="BF30" i="29"/>
  <c r="BE30" i="29"/>
  <c r="BI30" i="29" s="1"/>
  <c r="BH29" i="29"/>
  <c r="BG29" i="29"/>
  <c r="BF29" i="29"/>
  <c r="BE29" i="29"/>
  <c r="BI29" i="29" s="1"/>
  <c r="BH28" i="29"/>
  <c r="BG28" i="29"/>
  <c r="BF28" i="29"/>
  <c r="BE28" i="29"/>
  <c r="BI28" i="29" s="1"/>
  <c r="BH27" i="29"/>
  <c r="BG27" i="29"/>
  <c r="BF27" i="29"/>
  <c r="BE27" i="29"/>
  <c r="BI27" i="29" s="1"/>
  <c r="BH26" i="29"/>
  <c r="BG26" i="29"/>
  <c r="BF26" i="29"/>
  <c r="BE26" i="29"/>
  <c r="BI26" i="29" s="1"/>
  <c r="BH25" i="29"/>
  <c r="BG25" i="29"/>
  <c r="BF25" i="29"/>
  <c r="BE25" i="29"/>
  <c r="BI25" i="29" s="1"/>
  <c r="BH24" i="29"/>
  <c r="BG24" i="29"/>
  <c r="BF24" i="29"/>
  <c r="BE24" i="29"/>
  <c r="BI24" i="29" s="1"/>
  <c r="BH23" i="29"/>
  <c r="BG23" i="29"/>
  <c r="BF23" i="29"/>
  <c r="BE23" i="29"/>
  <c r="BI23" i="29" s="1"/>
  <c r="BH22" i="29"/>
  <c r="BG22" i="29"/>
  <c r="BF22" i="29"/>
  <c r="BE22" i="29"/>
  <c r="BH21" i="29"/>
  <c r="BG21" i="29"/>
  <c r="BF21" i="29"/>
  <c r="BE21" i="29"/>
  <c r="BH20" i="29"/>
  <c r="BG20" i="29"/>
  <c r="BF20" i="29"/>
  <c r="BE20" i="29"/>
  <c r="BH19" i="29"/>
  <c r="BG19" i="29"/>
  <c r="BF19" i="29"/>
  <c r="BE19" i="29"/>
  <c r="BH18" i="29"/>
  <c r="BG18" i="29"/>
  <c r="BF18" i="29"/>
  <c r="BE18" i="29"/>
  <c r="BI18" i="29" s="1"/>
  <c r="BH17" i="29"/>
  <c r="BG17" i="29"/>
  <c r="BF17" i="29"/>
  <c r="BE17" i="29"/>
  <c r="BH16" i="29"/>
  <c r="BG16" i="29"/>
  <c r="BF16" i="29"/>
  <c r="BE16" i="29"/>
  <c r="BI16" i="29" s="1"/>
  <c r="BH15" i="29"/>
  <c r="BG15" i="29"/>
  <c r="BF15" i="29"/>
  <c r="BE15" i="29"/>
  <c r="BI15" i="29" s="1"/>
  <c r="BH14" i="29"/>
  <c r="BG14" i="29"/>
  <c r="BF14" i="29"/>
  <c r="BE14" i="29"/>
  <c r="BH13" i="29"/>
  <c r="BG13" i="29"/>
  <c r="BF13" i="29"/>
  <c r="BE13" i="29"/>
  <c r="BH12" i="29"/>
  <c r="BG12" i="29"/>
  <c r="BF12" i="29"/>
  <c r="BE12" i="29"/>
  <c r="BH11" i="29"/>
  <c r="BG11" i="29"/>
  <c r="BF11" i="29"/>
  <c r="BE11" i="29"/>
  <c r="BH10" i="29"/>
  <c r="BG10" i="29"/>
  <c r="BF10" i="29"/>
  <c r="BE10" i="29"/>
  <c r="BH9" i="29"/>
  <c r="BG9" i="29"/>
  <c r="BF9" i="29"/>
  <c r="BE9" i="29"/>
  <c r="BI9" i="29" s="1"/>
  <c r="BH8" i="29"/>
  <c r="BG8" i="29"/>
  <c r="BF8" i="29"/>
  <c r="BE8" i="29"/>
  <c r="BI8" i="29" s="1"/>
  <c r="BH7" i="29"/>
  <c r="BG7" i="29"/>
  <c r="BF7" i="29"/>
  <c r="BE7" i="29"/>
  <c r="BI7" i="29" s="1"/>
  <c r="BH6" i="29"/>
  <c r="BG6" i="29"/>
  <c r="BF6" i="29"/>
  <c r="BE6" i="29"/>
  <c r="BI6" i="29" s="1"/>
  <c r="BH5" i="29"/>
  <c r="BG5" i="29"/>
  <c r="BF5" i="29"/>
  <c r="BE5" i="29"/>
  <c r="BI5" i="29" s="1"/>
  <c r="BH4" i="29"/>
  <c r="BG4" i="29"/>
  <c r="BF4" i="29"/>
  <c r="BE4" i="29"/>
  <c r="BI4" i="29" s="1"/>
  <c r="BH3" i="29"/>
  <c r="BG3" i="29"/>
  <c r="BF3" i="29"/>
  <c r="BE3" i="29"/>
  <c r="BH47" i="28"/>
  <c r="BG47" i="28"/>
  <c r="BF47" i="28"/>
  <c r="BE47" i="28"/>
  <c r="BI47" i="28" s="1"/>
  <c r="BH46" i="28"/>
  <c r="BG46" i="28"/>
  <c r="BF46" i="28"/>
  <c r="BE46" i="28"/>
  <c r="BI46" i="28" s="1"/>
  <c r="BH45" i="28"/>
  <c r="BG45" i="28"/>
  <c r="BF45" i="28"/>
  <c r="BE45" i="28"/>
  <c r="BI45" i="28" s="1"/>
  <c r="BH44" i="28"/>
  <c r="BG44" i="28"/>
  <c r="BF44" i="28"/>
  <c r="BE44" i="28"/>
  <c r="BI44" i="28" s="1"/>
  <c r="BH43" i="28"/>
  <c r="BG43" i="28"/>
  <c r="BF43" i="28"/>
  <c r="BE43" i="28"/>
  <c r="BI43" i="28" s="1"/>
  <c r="BH42" i="28"/>
  <c r="BG42" i="28"/>
  <c r="BF42" i="28"/>
  <c r="BE42" i="28"/>
  <c r="BI42" i="28" s="1"/>
  <c r="BH41" i="28"/>
  <c r="BG41" i="28"/>
  <c r="BF41" i="28"/>
  <c r="BE41" i="28"/>
  <c r="BH40" i="28"/>
  <c r="BG40" i="28"/>
  <c r="BF40" i="28"/>
  <c r="BE40" i="28"/>
  <c r="BH39" i="28"/>
  <c r="BG39" i="28"/>
  <c r="BF39" i="28"/>
  <c r="BE39" i="28"/>
  <c r="BI39" i="28" s="1"/>
  <c r="BH38" i="28"/>
  <c r="BG38" i="28"/>
  <c r="BF38" i="28"/>
  <c r="BE38" i="28"/>
  <c r="BI38" i="28" s="1"/>
  <c r="BH37" i="28"/>
  <c r="BG37" i="28"/>
  <c r="BF37" i="28"/>
  <c r="BE37" i="28"/>
  <c r="BI37" i="28" s="1"/>
  <c r="BH36" i="28"/>
  <c r="BG36" i="28"/>
  <c r="BF36" i="28"/>
  <c r="BE36" i="28"/>
  <c r="BI36" i="28" s="1"/>
  <c r="BH35" i="28"/>
  <c r="BG35" i="28"/>
  <c r="BF35" i="28"/>
  <c r="BE35" i="28"/>
  <c r="BH34" i="28"/>
  <c r="BG34" i="28"/>
  <c r="BF34" i="28"/>
  <c r="BE34" i="28"/>
  <c r="BH33" i="28"/>
  <c r="BG33" i="28"/>
  <c r="BF33" i="28"/>
  <c r="BE33" i="28"/>
  <c r="BI33" i="28" s="1"/>
  <c r="BH32" i="28"/>
  <c r="BG32" i="28"/>
  <c r="BF32" i="28"/>
  <c r="BE32" i="28"/>
  <c r="BI32" i="28" s="1"/>
  <c r="BH31" i="28"/>
  <c r="BG31" i="28"/>
  <c r="BF31" i="28"/>
  <c r="BE31" i="28"/>
  <c r="BI31" i="28" s="1"/>
  <c r="BH30" i="28"/>
  <c r="BG30" i="28"/>
  <c r="BF30" i="28"/>
  <c r="BE30" i="28"/>
  <c r="BH29" i="28"/>
  <c r="BG29" i="28"/>
  <c r="BF29" i="28"/>
  <c r="BE29" i="28"/>
  <c r="BI29" i="28" s="1"/>
  <c r="BH28" i="28"/>
  <c r="BG28" i="28"/>
  <c r="BF28" i="28"/>
  <c r="BE28" i="28"/>
  <c r="BH27" i="28"/>
  <c r="BG27" i="28"/>
  <c r="BF27" i="28"/>
  <c r="BE27" i="28"/>
  <c r="BI27" i="28" s="1"/>
  <c r="BH26" i="28"/>
  <c r="BG26" i="28"/>
  <c r="BF26" i="28"/>
  <c r="BE26" i="28"/>
  <c r="BH25" i="28"/>
  <c r="BG25" i="28"/>
  <c r="BF25" i="28"/>
  <c r="BE25" i="28"/>
  <c r="BH24" i="28"/>
  <c r="BG24" i="28"/>
  <c r="BF24" i="28"/>
  <c r="BE24" i="28"/>
  <c r="BH23" i="28"/>
  <c r="BG23" i="28"/>
  <c r="BF23" i="28"/>
  <c r="BE23" i="28"/>
  <c r="BH22" i="28"/>
  <c r="BG22" i="28"/>
  <c r="BF22" i="28"/>
  <c r="BE22" i="28"/>
  <c r="BH21" i="28"/>
  <c r="BG21" i="28"/>
  <c r="BF21" i="28"/>
  <c r="BE21" i="28"/>
  <c r="BH20" i="28"/>
  <c r="BG20" i="28"/>
  <c r="BF20" i="28"/>
  <c r="BE20" i="28"/>
  <c r="BH19" i="28"/>
  <c r="BG19" i="28"/>
  <c r="BF19" i="28"/>
  <c r="BE19" i="28"/>
  <c r="BH18" i="28"/>
  <c r="BG18" i="28"/>
  <c r="BF18" i="28"/>
  <c r="BE18" i="28"/>
  <c r="BH17" i="28"/>
  <c r="BG17" i="28"/>
  <c r="BF17" i="28"/>
  <c r="BE17" i="28"/>
  <c r="BI17" i="28" s="1"/>
  <c r="BH16" i="28"/>
  <c r="BG16" i="28"/>
  <c r="BF16" i="28"/>
  <c r="BE16" i="28"/>
  <c r="BI16" i="28" s="1"/>
  <c r="BH15" i="28"/>
  <c r="BG15" i="28"/>
  <c r="BF15" i="28"/>
  <c r="BE15" i="28"/>
  <c r="BI15" i="28" s="1"/>
  <c r="BH14" i="28"/>
  <c r="BG14" i="28"/>
  <c r="BF14" i="28"/>
  <c r="BE14" i="28"/>
  <c r="BH13" i="28"/>
  <c r="BG13" i="28"/>
  <c r="BF13" i="28"/>
  <c r="BE13" i="28"/>
  <c r="BI13" i="28" s="1"/>
  <c r="BH12" i="28"/>
  <c r="BG12" i="28"/>
  <c r="BF12" i="28"/>
  <c r="BE12" i="28"/>
  <c r="BI12" i="28" s="1"/>
  <c r="BH11" i="28"/>
  <c r="BG11" i="28"/>
  <c r="BF11" i="28"/>
  <c r="BE11" i="28"/>
  <c r="BI11" i="28" s="1"/>
  <c r="BH10" i="28"/>
  <c r="BG10" i="28"/>
  <c r="BF10" i="28"/>
  <c r="BE10" i="28"/>
  <c r="BI10" i="28" s="1"/>
  <c r="BH9" i="28"/>
  <c r="BG9" i="28"/>
  <c r="BF9" i="28"/>
  <c r="BE9" i="28"/>
  <c r="BI9" i="28" s="1"/>
  <c r="BH8" i="28"/>
  <c r="BG8" i="28"/>
  <c r="BF8" i="28"/>
  <c r="BE8" i="28"/>
  <c r="BI8" i="28" s="1"/>
  <c r="BH7" i="28"/>
  <c r="BG7" i="28"/>
  <c r="BF7" i="28"/>
  <c r="BE7" i="28"/>
  <c r="BH6" i="28"/>
  <c r="BG6" i="28"/>
  <c r="BF6" i="28"/>
  <c r="BE6" i="28"/>
  <c r="BI6" i="28" s="1"/>
  <c r="BH5" i="28"/>
  <c r="BG5" i="28"/>
  <c r="BF5" i="28"/>
  <c r="BE5" i="28"/>
  <c r="BI5" i="28" s="1"/>
  <c r="BH4" i="28"/>
  <c r="BG4" i="28"/>
  <c r="BF4" i="28"/>
  <c r="BE4" i="28"/>
  <c r="BI4" i="28" s="1"/>
  <c r="BH3" i="28"/>
  <c r="BG3" i="28"/>
  <c r="BF3" i="28"/>
  <c r="BE3" i="28"/>
  <c r="BH47" i="27"/>
  <c r="BG47" i="27"/>
  <c r="BF47" i="27"/>
  <c r="BE47" i="27"/>
  <c r="BH46" i="27"/>
  <c r="BG46" i="27"/>
  <c r="BF46" i="27"/>
  <c r="BE46" i="27"/>
  <c r="BI46" i="27" s="1"/>
  <c r="BH45" i="27"/>
  <c r="BG45" i="27"/>
  <c r="BF45" i="27"/>
  <c r="BE45" i="27"/>
  <c r="BI45" i="27" s="1"/>
  <c r="BH44" i="27"/>
  <c r="BG44" i="27"/>
  <c r="BF44" i="27"/>
  <c r="BE44" i="27"/>
  <c r="BI44" i="27" s="1"/>
  <c r="BH43" i="27"/>
  <c r="BG43" i="27"/>
  <c r="BF43" i="27"/>
  <c r="BE43" i="27"/>
  <c r="BI43" i="27" s="1"/>
  <c r="BH42" i="27"/>
  <c r="BG42" i="27"/>
  <c r="BF42" i="27"/>
  <c r="BE42" i="27"/>
  <c r="BI42" i="27" s="1"/>
  <c r="BH41" i="27"/>
  <c r="BG41" i="27"/>
  <c r="BF41" i="27"/>
  <c r="BE41" i="27"/>
  <c r="BI41" i="27" s="1"/>
  <c r="BH40" i="27"/>
  <c r="BG40" i="27"/>
  <c r="BF40" i="27"/>
  <c r="BE40" i="27"/>
  <c r="BI40" i="27" s="1"/>
  <c r="BH39" i="27"/>
  <c r="BG39" i="27"/>
  <c r="BF39" i="27"/>
  <c r="BE39" i="27"/>
  <c r="BI39" i="27" s="1"/>
  <c r="BH38" i="27"/>
  <c r="BG38" i="27"/>
  <c r="BF38" i="27"/>
  <c r="BE38" i="27"/>
  <c r="BH37" i="27"/>
  <c r="BG37" i="27"/>
  <c r="BF37" i="27"/>
  <c r="BE37" i="27"/>
  <c r="BH36" i="27"/>
  <c r="BG36" i="27"/>
  <c r="BF36" i="27"/>
  <c r="BE36" i="27"/>
  <c r="BH35" i="27"/>
  <c r="BG35" i="27"/>
  <c r="BF35" i="27"/>
  <c r="BE35" i="27"/>
  <c r="BI35" i="27" s="1"/>
  <c r="BH34" i="27"/>
  <c r="BG34" i="27"/>
  <c r="BF34" i="27"/>
  <c r="BE34" i="27"/>
  <c r="BH33" i="27"/>
  <c r="BG33" i="27"/>
  <c r="BF33" i="27"/>
  <c r="BE33" i="27"/>
  <c r="BH32" i="27"/>
  <c r="BG32" i="27"/>
  <c r="BF32" i="27"/>
  <c r="BE32" i="27"/>
  <c r="BH31" i="27"/>
  <c r="BG31" i="27"/>
  <c r="BF31" i="27"/>
  <c r="BE31" i="27"/>
  <c r="BH30" i="27"/>
  <c r="BG30" i="27"/>
  <c r="BF30" i="27"/>
  <c r="BE30" i="27"/>
  <c r="BH29" i="27"/>
  <c r="BG29" i="27"/>
  <c r="BF29" i="27"/>
  <c r="BE29" i="27"/>
  <c r="BH28" i="27"/>
  <c r="BG28" i="27"/>
  <c r="BF28" i="27"/>
  <c r="BE28" i="27"/>
  <c r="BI28" i="27" s="1"/>
  <c r="BH27" i="27"/>
  <c r="BG27" i="27"/>
  <c r="BF27" i="27"/>
  <c r="BE27" i="27"/>
  <c r="BI27" i="27" s="1"/>
  <c r="BH26" i="27"/>
  <c r="BG26" i="27"/>
  <c r="BF26" i="27"/>
  <c r="BE26" i="27"/>
  <c r="BI26" i="27" s="1"/>
  <c r="BH25" i="27"/>
  <c r="BG25" i="27"/>
  <c r="BF25" i="27"/>
  <c r="BE25" i="27"/>
  <c r="BH24" i="27"/>
  <c r="BG24" i="27"/>
  <c r="BF24" i="27"/>
  <c r="BE24" i="27"/>
  <c r="BI24" i="27" s="1"/>
  <c r="BH23" i="27"/>
  <c r="BG23" i="27"/>
  <c r="BF23" i="27"/>
  <c r="BE23" i="27"/>
  <c r="BH22" i="27"/>
  <c r="BG22" i="27"/>
  <c r="BF22" i="27"/>
  <c r="BE22" i="27"/>
  <c r="BI22" i="27" s="1"/>
  <c r="BH21" i="27"/>
  <c r="BG21" i="27"/>
  <c r="BF21" i="27"/>
  <c r="BE21" i="27"/>
  <c r="BI21" i="27" s="1"/>
  <c r="BH20" i="27"/>
  <c r="BG20" i="27"/>
  <c r="BF20" i="27"/>
  <c r="BE20" i="27"/>
  <c r="BH19" i="27"/>
  <c r="BG19" i="27"/>
  <c r="BF19" i="27"/>
  <c r="BE19" i="27"/>
  <c r="BI19" i="27" s="1"/>
  <c r="BH18" i="27"/>
  <c r="BG18" i="27"/>
  <c r="BF18" i="27"/>
  <c r="BE18" i="27"/>
  <c r="BI18" i="27" s="1"/>
  <c r="BH17" i="27"/>
  <c r="BG17" i="27"/>
  <c r="BF17" i="27"/>
  <c r="BE17" i="27"/>
  <c r="BI17" i="27" s="1"/>
  <c r="BH16" i="27"/>
  <c r="BG16" i="27"/>
  <c r="BF16" i="27"/>
  <c r="BE16" i="27"/>
  <c r="BI16" i="27" s="1"/>
  <c r="BH15" i="27"/>
  <c r="BG15" i="27"/>
  <c r="BF15" i="27"/>
  <c r="BE15" i="27"/>
  <c r="BI15" i="27" s="1"/>
  <c r="BH14" i="27"/>
  <c r="BG14" i="27"/>
  <c r="BF14" i="27"/>
  <c r="BE14" i="27"/>
  <c r="BI14" i="27" s="1"/>
  <c r="BH13" i="27"/>
  <c r="BG13" i="27"/>
  <c r="BF13" i="27"/>
  <c r="BE13" i="27"/>
  <c r="BI13" i="27" s="1"/>
  <c r="BH12" i="27"/>
  <c r="BG12" i="27"/>
  <c r="BF12" i="27"/>
  <c r="BE12" i="27"/>
  <c r="BH11" i="27"/>
  <c r="BG11" i="27"/>
  <c r="BF11" i="27"/>
  <c r="BE11" i="27"/>
  <c r="BH10" i="27"/>
  <c r="BG10" i="27"/>
  <c r="BF10" i="27"/>
  <c r="BE10" i="27"/>
  <c r="BH9" i="27"/>
  <c r="BG9" i="27"/>
  <c r="BF9" i="27"/>
  <c r="BE9" i="27"/>
  <c r="BH8" i="27"/>
  <c r="BG8" i="27"/>
  <c r="BF8" i="27"/>
  <c r="BE8" i="27"/>
  <c r="BH7" i="27"/>
  <c r="BG7" i="27"/>
  <c r="BF7" i="27"/>
  <c r="BE7" i="27"/>
  <c r="BH6" i="27"/>
  <c r="BG6" i="27"/>
  <c r="BF6" i="27"/>
  <c r="BE6" i="27"/>
  <c r="BH5" i="27"/>
  <c r="BG5" i="27"/>
  <c r="BF5" i="27"/>
  <c r="BE5" i="27"/>
  <c r="BI5" i="27" s="1"/>
  <c r="BH4" i="27"/>
  <c r="BG4" i="27"/>
  <c r="BF4" i="27"/>
  <c r="BE4" i="27"/>
  <c r="BI4" i="27" s="1"/>
  <c r="BH3" i="27"/>
  <c r="BG3" i="27"/>
  <c r="BF3" i="27"/>
  <c r="BE3" i="27"/>
  <c r="BI3" i="27" s="1"/>
  <c r="BH47" i="26"/>
  <c r="BG47" i="26"/>
  <c r="BF47" i="26"/>
  <c r="BE47" i="26"/>
  <c r="BH46" i="26"/>
  <c r="BG46" i="26"/>
  <c r="BF46" i="26"/>
  <c r="BE46" i="26"/>
  <c r="BH45" i="26"/>
  <c r="BG45" i="26"/>
  <c r="BF45" i="26"/>
  <c r="BE45" i="26"/>
  <c r="BI45" i="26" s="1"/>
  <c r="BH44" i="26"/>
  <c r="BG44" i="26"/>
  <c r="BF44" i="26"/>
  <c r="BE44" i="26"/>
  <c r="BI44" i="26" s="1"/>
  <c r="BH43" i="26"/>
  <c r="BG43" i="26"/>
  <c r="BF43" i="26"/>
  <c r="BE43" i="26"/>
  <c r="BH42" i="26"/>
  <c r="BG42" i="26"/>
  <c r="BF42" i="26"/>
  <c r="BE42" i="26"/>
  <c r="BH41" i="26"/>
  <c r="BG41" i="26"/>
  <c r="BF41" i="26"/>
  <c r="BE41" i="26"/>
  <c r="BH40" i="26"/>
  <c r="BG40" i="26"/>
  <c r="BF40" i="26"/>
  <c r="BE40" i="26"/>
  <c r="BH39" i="26"/>
  <c r="BG39" i="26"/>
  <c r="BF39" i="26"/>
  <c r="BE39" i="26"/>
  <c r="BI39" i="26" s="1"/>
  <c r="BH38" i="26"/>
  <c r="BG38" i="26"/>
  <c r="BF38" i="26"/>
  <c r="BE38" i="26"/>
  <c r="BH37" i="26"/>
  <c r="BG37" i="26"/>
  <c r="BF37" i="26"/>
  <c r="BE37" i="26"/>
  <c r="BI37" i="26" s="1"/>
  <c r="BH36" i="26"/>
  <c r="BG36" i="26"/>
  <c r="BF36" i="26"/>
  <c r="BE36" i="26"/>
  <c r="BH35" i="26"/>
  <c r="BG35" i="26"/>
  <c r="BF35" i="26"/>
  <c r="BE35" i="26"/>
  <c r="BI35" i="26" s="1"/>
  <c r="BH34" i="26"/>
  <c r="BG34" i="26"/>
  <c r="BF34" i="26"/>
  <c r="BE34" i="26"/>
  <c r="BH33" i="26"/>
  <c r="BG33" i="26"/>
  <c r="BF33" i="26"/>
  <c r="BE33" i="26"/>
  <c r="BI33" i="26" s="1"/>
  <c r="BH32" i="26"/>
  <c r="BG32" i="26"/>
  <c r="BF32" i="26"/>
  <c r="BE32" i="26"/>
  <c r="BH31" i="26"/>
  <c r="BG31" i="26"/>
  <c r="BF31" i="26"/>
  <c r="BE31" i="26"/>
  <c r="BI31" i="26" s="1"/>
  <c r="BH30" i="26"/>
  <c r="BG30" i="26"/>
  <c r="BF30" i="26"/>
  <c r="BE30" i="26"/>
  <c r="BI30" i="26" s="1"/>
  <c r="BH29" i="26"/>
  <c r="BG29" i="26"/>
  <c r="BF29" i="26"/>
  <c r="BE29" i="26"/>
  <c r="BI29" i="26" s="1"/>
  <c r="BH28" i="26"/>
  <c r="BG28" i="26"/>
  <c r="BF28" i="26"/>
  <c r="BE28" i="26"/>
  <c r="BI28" i="26" s="1"/>
  <c r="BH27" i="26"/>
  <c r="BG27" i="26"/>
  <c r="BF27" i="26"/>
  <c r="BE27" i="26"/>
  <c r="BI27" i="26" s="1"/>
  <c r="BH26" i="26"/>
  <c r="BG26" i="26"/>
  <c r="BF26" i="26"/>
  <c r="BE26" i="26"/>
  <c r="BH25" i="26"/>
  <c r="BG25" i="26"/>
  <c r="BF25" i="26"/>
  <c r="BE25" i="26"/>
  <c r="BI25" i="26" s="1"/>
  <c r="BH24" i="26"/>
  <c r="BG24" i="26"/>
  <c r="BF24" i="26"/>
  <c r="BE24" i="26"/>
  <c r="BH23" i="26"/>
  <c r="BG23" i="26"/>
  <c r="BF23" i="26"/>
  <c r="BE23" i="26"/>
  <c r="BH22" i="26"/>
  <c r="BG22" i="26"/>
  <c r="BF22" i="26"/>
  <c r="BE22" i="26"/>
  <c r="BH21" i="26"/>
  <c r="BG21" i="26"/>
  <c r="BF21" i="26"/>
  <c r="BE21" i="26"/>
  <c r="BI21" i="26" s="1"/>
  <c r="BH20" i="26"/>
  <c r="BG20" i="26"/>
  <c r="BF20" i="26"/>
  <c r="BE20" i="26"/>
  <c r="BI20" i="26" s="1"/>
  <c r="BH19" i="26"/>
  <c r="BG19" i="26"/>
  <c r="BF19" i="26"/>
  <c r="BE19" i="26"/>
  <c r="BH18" i="26"/>
  <c r="BG18" i="26"/>
  <c r="BF18" i="26"/>
  <c r="BE18" i="26"/>
  <c r="BI18" i="26" s="1"/>
  <c r="BH17" i="26"/>
  <c r="BG17" i="26"/>
  <c r="BF17" i="26"/>
  <c r="BE17" i="26"/>
  <c r="BH16" i="26"/>
  <c r="BG16" i="26"/>
  <c r="BF16" i="26"/>
  <c r="BE16" i="26"/>
  <c r="BH15" i="26"/>
  <c r="BG15" i="26"/>
  <c r="BF15" i="26"/>
  <c r="BE15" i="26"/>
  <c r="BI15" i="26" s="1"/>
  <c r="BH14" i="26"/>
  <c r="BG14" i="26"/>
  <c r="BF14" i="26"/>
  <c r="BE14" i="26"/>
  <c r="BH13" i="26"/>
  <c r="BG13" i="26"/>
  <c r="BF13" i="26"/>
  <c r="BE13" i="26"/>
  <c r="BI13" i="26" s="1"/>
  <c r="BH12" i="26"/>
  <c r="BG12" i="26"/>
  <c r="BF12" i="26"/>
  <c r="BE12" i="26"/>
  <c r="BI12" i="26" s="1"/>
  <c r="BH11" i="26"/>
  <c r="BG11" i="26"/>
  <c r="BF11" i="26"/>
  <c r="BE11" i="26"/>
  <c r="BI11" i="26" s="1"/>
  <c r="BH10" i="26"/>
  <c r="BG10" i="26"/>
  <c r="BF10" i="26"/>
  <c r="BE10" i="26"/>
  <c r="BI10" i="26" s="1"/>
  <c r="BH9" i="26"/>
  <c r="BG9" i="26"/>
  <c r="BF9" i="26"/>
  <c r="BE9" i="26"/>
  <c r="BI9" i="26" s="1"/>
  <c r="BH8" i="26"/>
  <c r="BG8" i="26"/>
  <c r="BF8" i="26"/>
  <c r="BE8" i="26"/>
  <c r="BI8" i="26" s="1"/>
  <c r="BH7" i="26"/>
  <c r="BG7" i="26"/>
  <c r="BF7" i="26"/>
  <c r="BE7" i="26"/>
  <c r="BI7" i="26" s="1"/>
  <c r="BH6" i="26"/>
  <c r="BG6" i="26"/>
  <c r="BF6" i="26"/>
  <c r="BE6" i="26"/>
  <c r="BH5" i="26"/>
  <c r="BG5" i="26"/>
  <c r="BF5" i="26"/>
  <c r="BE5" i="26"/>
  <c r="BH4" i="26"/>
  <c r="BG4" i="26"/>
  <c r="BF4" i="26"/>
  <c r="BE4" i="26"/>
  <c r="BI4" i="26" s="1"/>
  <c r="BH3" i="26"/>
  <c r="BG3" i="26"/>
  <c r="BF3" i="26"/>
  <c r="BE3" i="26"/>
  <c r="BH47" i="19"/>
  <c r="BG47" i="19"/>
  <c r="BF47" i="19"/>
  <c r="BE47" i="19"/>
  <c r="BH46" i="19"/>
  <c r="BG46" i="19"/>
  <c r="BF46" i="19"/>
  <c r="BE46" i="19"/>
  <c r="BH45" i="19"/>
  <c r="BG45" i="19"/>
  <c r="BF45" i="19"/>
  <c r="BE45" i="19"/>
  <c r="BH44" i="19"/>
  <c r="BG44" i="19"/>
  <c r="BF44" i="19"/>
  <c r="BE44" i="19"/>
  <c r="BH43" i="19"/>
  <c r="BG43" i="19"/>
  <c r="BF43" i="19"/>
  <c r="BE43" i="19"/>
  <c r="BH42" i="19"/>
  <c r="BG42" i="19"/>
  <c r="BF42" i="19"/>
  <c r="BE42" i="19"/>
  <c r="BH41" i="19"/>
  <c r="BG41" i="19"/>
  <c r="BF41" i="19"/>
  <c r="BE41" i="19"/>
  <c r="BI41" i="19" s="1"/>
  <c r="BH40" i="19"/>
  <c r="BG40" i="19"/>
  <c r="BF40" i="19"/>
  <c r="BE40" i="19"/>
  <c r="BH39" i="19"/>
  <c r="BG39" i="19"/>
  <c r="BF39" i="19"/>
  <c r="BE39" i="19"/>
  <c r="BH38" i="19"/>
  <c r="BG38" i="19"/>
  <c r="BF38" i="19"/>
  <c r="BE38" i="19"/>
  <c r="BH37" i="19"/>
  <c r="BG37" i="19"/>
  <c r="BF37" i="19"/>
  <c r="BE37" i="19"/>
  <c r="BI37" i="19" s="1"/>
  <c r="BH36" i="19"/>
  <c r="BG36" i="19"/>
  <c r="BF36" i="19"/>
  <c r="BE36" i="19"/>
  <c r="BH35" i="19"/>
  <c r="BG35" i="19"/>
  <c r="BF35" i="19"/>
  <c r="BE35" i="19"/>
  <c r="BH34" i="19"/>
  <c r="BG34" i="19"/>
  <c r="BF34" i="19"/>
  <c r="BE34" i="19"/>
  <c r="BI34" i="19" s="1"/>
  <c r="BH33" i="19"/>
  <c r="BG33" i="19"/>
  <c r="BF33" i="19"/>
  <c r="BE33" i="19"/>
  <c r="BH32" i="19"/>
  <c r="BG32" i="19"/>
  <c r="BF32" i="19"/>
  <c r="BE32" i="19"/>
  <c r="BH31" i="19"/>
  <c r="BG31" i="19"/>
  <c r="BF31" i="19"/>
  <c r="BE31" i="19"/>
  <c r="BH30" i="19"/>
  <c r="BG30" i="19"/>
  <c r="BF30" i="19"/>
  <c r="BE30" i="19"/>
  <c r="BH29" i="19"/>
  <c r="BG29" i="19"/>
  <c r="BF29" i="19"/>
  <c r="BE29" i="19"/>
  <c r="BI29" i="19" s="1"/>
  <c r="BH28" i="19"/>
  <c r="BG28" i="19"/>
  <c r="BF28" i="19"/>
  <c r="BE28" i="19"/>
  <c r="BI28" i="19" s="1"/>
  <c r="BH27" i="19"/>
  <c r="BG27" i="19"/>
  <c r="BF27" i="19"/>
  <c r="BE27" i="19"/>
  <c r="BI27" i="19" s="1"/>
  <c r="BH26" i="19"/>
  <c r="BG26" i="19"/>
  <c r="BF26" i="19"/>
  <c r="BE26" i="19"/>
  <c r="BI26" i="19" s="1"/>
  <c r="BH25" i="19"/>
  <c r="BG25" i="19"/>
  <c r="BF25" i="19"/>
  <c r="BE25" i="19"/>
  <c r="BH24" i="19"/>
  <c r="BG24" i="19"/>
  <c r="BF24" i="19"/>
  <c r="BE24" i="19"/>
  <c r="BH23" i="19"/>
  <c r="BG23" i="19"/>
  <c r="BF23" i="19"/>
  <c r="BE23" i="19"/>
  <c r="BI23" i="19" s="1"/>
  <c r="BH22" i="19"/>
  <c r="BG22" i="19"/>
  <c r="BF22" i="19"/>
  <c r="BE22" i="19"/>
  <c r="BH21" i="19"/>
  <c r="BG21" i="19"/>
  <c r="BF21" i="19"/>
  <c r="BE21" i="19"/>
  <c r="BH20" i="19"/>
  <c r="BG20" i="19"/>
  <c r="BF20" i="19"/>
  <c r="BE20" i="19"/>
  <c r="BH19" i="19"/>
  <c r="BG19" i="19"/>
  <c r="BF19" i="19"/>
  <c r="BE19" i="19"/>
  <c r="BI19" i="19" s="1"/>
  <c r="BH18" i="19"/>
  <c r="BG18" i="19"/>
  <c r="BF18" i="19"/>
  <c r="BE18" i="19"/>
  <c r="BI18" i="19" s="1"/>
  <c r="BH17" i="19"/>
  <c r="BG17" i="19"/>
  <c r="BF17" i="19"/>
  <c r="BE17" i="19"/>
  <c r="BH16" i="19"/>
  <c r="BG16" i="19"/>
  <c r="BF16" i="19"/>
  <c r="BE16" i="19"/>
  <c r="BI16" i="19" s="1"/>
  <c r="BH15" i="19"/>
  <c r="BG15" i="19"/>
  <c r="BF15" i="19"/>
  <c r="BE15" i="19"/>
  <c r="BH14" i="19"/>
  <c r="BG14" i="19"/>
  <c r="BF14" i="19"/>
  <c r="BE14" i="19"/>
  <c r="BH13" i="19"/>
  <c r="BG13" i="19"/>
  <c r="BF13" i="19"/>
  <c r="BE13" i="19"/>
  <c r="BH12" i="19"/>
  <c r="BG12" i="19"/>
  <c r="BF12" i="19"/>
  <c r="BE12" i="19"/>
  <c r="BH11" i="19"/>
  <c r="BG11" i="19"/>
  <c r="BF11" i="19"/>
  <c r="BE11" i="19"/>
  <c r="BI11" i="19" s="1"/>
  <c r="BH10" i="19"/>
  <c r="BG10" i="19"/>
  <c r="BF10" i="19"/>
  <c r="BE10" i="19"/>
  <c r="BI10" i="19" s="1"/>
  <c r="BH9" i="19"/>
  <c r="BG9" i="19"/>
  <c r="BF9" i="19"/>
  <c r="BE9" i="19"/>
  <c r="BI9" i="19" s="1"/>
  <c r="BH8" i="19"/>
  <c r="BG8" i="19"/>
  <c r="BF8" i="19"/>
  <c r="BE8" i="19"/>
  <c r="BH7" i="19"/>
  <c r="BG7" i="19"/>
  <c r="BF7" i="19"/>
  <c r="BE7" i="19"/>
  <c r="BH6" i="19"/>
  <c r="BG6" i="19"/>
  <c r="BF6" i="19"/>
  <c r="BE6" i="19"/>
  <c r="BI6" i="19" s="1"/>
  <c r="BH5" i="19"/>
  <c r="BG5" i="19"/>
  <c r="BF5" i="19"/>
  <c r="BE5" i="19"/>
  <c r="BI5" i="19" s="1"/>
  <c r="BH4" i="19"/>
  <c r="BG4" i="19"/>
  <c r="BF4" i="19"/>
  <c r="BE4" i="19"/>
  <c r="BH3" i="19"/>
  <c r="BG3" i="19"/>
  <c r="BF3" i="19"/>
  <c r="BE3" i="19"/>
  <c r="AN42" i="29"/>
  <c r="AM42" i="29"/>
  <c r="AL42" i="29"/>
  <c r="AK42" i="29"/>
  <c r="AN41" i="29"/>
  <c r="AM41" i="29"/>
  <c r="AL41" i="29"/>
  <c r="AK41" i="29"/>
  <c r="AN40" i="29"/>
  <c r="AM40" i="29"/>
  <c r="AL40" i="29"/>
  <c r="AK40" i="29"/>
  <c r="AN39" i="29"/>
  <c r="AM39" i="29"/>
  <c r="AL39" i="29"/>
  <c r="AK39" i="29"/>
  <c r="AN38" i="29"/>
  <c r="AM38" i="29"/>
  <c r="AL38" i="29"/>
  <c r="AK38" i="29"/>
  <c r="AK3" i="32"/>
  <c r="AL3" i="32"/>
  <c r="AM3" i="32"/>
  <c r="AN3" i="32"/>
  <c r="AT3" i="32"/>
  <c r="AU3" i="32"/>
  <c r="AV3" i="32" s="1"/>
  <c r="AX3" i="32"/>
  <c r="AY3" i="32"/>
  <c r="AK4" i="32"/>
  <c r="AL4" i="32"/>
  <c r="AM4" i="32"/>
  <c r="AN4" i="32"/>
  <c r="AT4" i="32"/>
  <c r="AX4" i="32"/>
  <c r="AY4" i="32"/>
  <c r="AK5" i="32"/>
  <c r="AL5" i="32"/>
  <c r="AM5" i="32"/>
  <c r="AN5" i="32"/>
  <c r="AT5" i="32"/>
  <c r="AU5" i="32"/>
  <c r="AX5" i="32"/>
  <c r="AY5" i="32"/>
  <c r="AK6" i="32"/>
  <c r="AL6" i="32"/>
  <c r="AM6" i="32"/>
  <c r="AN6" i="32"/>
  <c r="AT6" i="32"/>
  <c r="AX6" i="32"/>
  <c r="AK7" i="32"/>
  <c r="AL7" i="32"/>
  <c r="AM7" i="32"/>
  <c r="AN7" i="32"/>
  <c r="AT7" i="32"/>
  <c r="AU7" i="32"/>
  <c r="AV7" i="32" s="1"/>
  <c r="AX7" i="32"/>
  <c r="AY7" i="32"/>
  <c r="AK8" i="32"/>
  <c r="AL8" i="32"/>
  <c r="AM8" i="32"/>
  <c r="AN8" i="32"/>
  <c r="AT8" i="32"/>
  <c r="AX8" i="32"/>
  <c r="AY8" i="32"/>
  <c r="AK9" i="32"/>
  <c r="AL9" i="32"/>
  <c r="AM9" i="32"/>
  <c r="AN9" i="32"/>
  <c r="AT9" i="32"/>
  <c r="AU9" i="32"/>
  <c r="AX9" i="32"/>
  <c r="AY9" i="32"/>
  <c r="AK10" i="32"/>
  <c r="AL10" i="32"/>
  <c r="AM10" i="32"/>
  <c r="AN10" i="32"/>
  <c r="AT10" i="32"/>
  <c r="AX10" i="32"/>
  <c r="AY10" i="32"/>
  <c r="AK11" i="32"/>
  <c r="AL11" i="32"/>
  <c r="AM11" i="32"/>
  <c r="AN11" i="32"/>
  <c r="AT11" i="32"/>
  <c r="AU11" i="32"/>
  <c r="AX11" i="32"/>
  <c r="AY11" i="32"/>
  <c r="AK12" i="32"/>
  <c r="AL12" i="32"/>
  <c r="AM12" i="32"/>
  <c r="AN12" i="32"/>
  <c r="AT12" i="32"/>
  <c r="AU12" i="32"/>
  <c r="AX12" i="32"/>
  <c r="AY12" i="32"/>
  <c r="AK13" i="32"/>
  <c r="AL13" i="32"/>
  <c r="AM13" i="32"/>
  <c r="AN13" i="32"/>
  <c r="AT13" i="32"/>
  <c r="AU13" i="32"/>
  <c r="AX13" i="32"/>
  <c r="AY13" i="32"/>
  <c r="AK14" i="32"/>
  <c r="AL14" i="32"/>
  <c r="AM14" i="32"/>
  <c r="AN14" i="32"/>
  <c r="AT14" i="32"/>
  <c r="AU14" i="32"/>
  <c r="AX14" i="32"/>
  <c r="AY14" i="32"/>
  <c r="AK15" i="32"/>
  <c r="AL15" i="32"/>
  <c r="AM15" i="32"/>
  <c r="AN15" i="32"/>
  <c r="AT15" i="32"/>
  <c r="AU15" i="32"/>
  <c r="AX15" i="32"/>
  <c r="AY15" i="32"/>
  <c r="AK16" i="32"/>
  <c r="AL16" i="32"/>
  <c r="AM16" i="32"/>
  <c r="AN16" i="32"/>
  <c r="AT16" i="32"/>
  <c r="AU16" i="32"/>
  <c r="AX16" i="32"/>
  <c r="AY16" i="32"/>
  <c r="AK17" i="32"/>
  <c r="AL17" i="32"/>
  <c r="AM17" i="32"/>
  <c r="AN17" i="32"/>
  <c r="AT17" i="32"/>
  <c r="AX17" i="32"/>
  <c r="AY17" i="32"/>
  <c r="AK18" i="32"/>
  <c r="AL18" i="32"/>
  <c r="AM18" i="32"/>
  <c r="AN18" i="32"/>
  <c r="AT18" i="32"/>
  <c r="AU18" i="32"/>
  <c r="AX18" i="32"/>
  <c r="AY18" i="32"/>
  <c r="AK19" i="32"/>
  <c r="AL19" i="32"/>
  <c r="AM19" i="32"/>
  <c r="AN19" i="32"/>
  <c r="AT19" i="32"/>
  <c r="AU19" i="32"/>
  <c r="AV19" i="32" s="1"/>
  <c r="AX19" i="32"/>
  <c r="AY19" i="32"/>
  <c r="AK20" i="32"/>
  <c r="AL20" i="32"/>
  <c r="AM20" i="32"/>
  <c r="AN20" i="32"/>
  <c r="AT20" i="32"/>
  <c r="AU20" i="32"/>
  <c r="AX20" i="32"/>
  <c r="AY20" i="32"/>
  <c r="AK21" i="32"/>
  <c r="AL21" i="32"/>
  <c r="AM21" i="32"/>
  <c r="AN21" i="32"/>
  <c r="AT21" i="32"/>
  <c r="AU21" i="32"/>
  <c r="AX21" i="32"/>
  <c r="AY21" i="32"/>
  <c r="AK22" i="32"/>
  <c r="AL22" i="32"/>
  <c r="AM22" i="32"/>
  <c r="AN22" i="32"/>
  <c r="AT22" i="32"/>
  <c r="AU22" i="32"/>
  <c r="AV22" i="32" s="1"/>
  <c r="AX22" i="32"/>
  <c r="AY22" i="32"/>
  <c r="AK23" i="32"/>
  <c r="AL23" i="32"/>
  <c r="AM23" i="32"/>
  <c r="AN23" i="32"/>
  <c r="AT23" i="32"/>
  <c r="AU23" i="32"/>
  <c r="AX23" i="32"/>
  <c r="AY23" i="32"/>
  <c r="AK24" i="32"/>
  <c r="AL24" i="32"/>
  <c r="AM24" i="32"/>
  <c r="AN24" i="32"/>
  <c r="AT24" i="32"/>
  <c r="AU24" i="32"/>
  <c r="AX24" i="32"/>
  <c r="AY24" i="32"/>
  <c r="AK25" i="32"/>
  <c r="AL25" i="32"/>
  <c r="AM25" i="32"/>
  <c r="AN25" i="32"/>
  <c r="AT25" i="32"/>
  <c r="AU25" i="32"/>
  <c r="AX25" i="32"/>
  <c r="AY25" i="32"/>
  <c r="AK26" i="32"/>
  <c r="AL26" i="32"/>
  <c r="AM26" i="32"/>
  <c r="AN26" i="32"/>
  <c r="AT26" i="32"/>
  <c r="AU26" i="32"/>
  <c r="AX26" i="32"/>
  <c r="AY26" i="32"/>
  <c r="AK27" i="32"/>
  <c r="AL27" i="32"/>
  <c r="AM27" i="32"/>
  <c r="AN27" i="32"/>
  <c r="AT27" i="32"/>
  <c r="AX27" i="32"/>
  <c r="AK28" i="32"/>
  <c r="AL28" i="32"/>
  <c r="AM28" i="32"/>
  <c r="AN28" i="32"/>
  <c r="AT28" i="32"/>
  <c r="AU28" i="32"/>
  <c r="AX28" i="32"/>
  <c r="AY28" i="32"/>
  <c r="AK29" i="32"/>
  <c r="AL29" i="32"/>
  <c r="AM29" i="32"/>
  <c r="AN29" i="32"/>
  <c r="AT29" i="32"/>
  <c r="AU29" i="32"/>
  <c r="AX29" i="32"/>
  <c r="AY29" i="32"/>
  <c r="AK30" i="32"/>
  <c r="AL30" i="32"/>
  <c r="AM30" i="32"/>
  <c r="AN30" i="32"/>
  <c r="AT30" i="32"/>
  <c r="AU30" i="32"/>
  <c r="AX30" i="32"/>
  <c r="AY30" i="32"/>
  <c r="AK31" i="32"/>
  <c r="AL31" i="32"/>
  <c r="AM31" i="32"/>
  <c r="AN31" i="32"/>
  <c r="AT31" i="32"/>
  <c r="AX31" i="32"/>
  <c r="AY31" i="32"/>
  <c r="AK32" i="32"/>
  <c r="AL32" i="32"/>
  <c r="AM32" i="32"/>
  <c r="AN32" i="32"/>
  <c r="AT32" i="32"/>
  <c r="AU32" i="32"/>
  <c r="AX32" i="32"/>
  <c r="AY32" i="32"/>
  <c r="AK33" i="32"/>
  <c r="AL33" i="32"/>
  <c r="AM33" i="32"/>
  <c r="AN33" i="32"/>
  <c r="AT33" i="32"/>
  <c r="AU33" i="32"/>
  <c r="AX33" i="32"/>
  <c r="AY33" i="32"/>
  <c r="AK34" i="32"/>
  <c r="AL34" i="32"/>
  <c r="AM34" i="32"/>
  <c r="AN34" i="32"/>
  <c r="AT34" i="32"/>
  <c r="AU34" i="32"/>
  <c r="AX34" i="32"/>
  <c r="AY34" i="32"/>
  <c r="AK35" i="32"/>
  <c r="AL35" i="32"/>
  <c r="AM35" i="32"/>
  <c r="AN35" i="32"/>
  <c r="AT35" i="32"/>
  <c r="AU35" i="32"/>
  <c r="AX35" i="32"/>
  <c r="AY35" i="32"/>
  <c r="BI38" i="27" l="1"/>
  <c r="BI35" i="28"/>
  <c r="BI7" i="28"/>
  <c r="BI38" i="26"/>
  <c r="BI20" i="19"/>
  <c r="BI30" i="27"/>
  <c r="BI12" i="19"/>
  <c r="BI26" i="28"/>
  <c r="BI19" i="28"/>
  <c r="BI33" i="19"/>
  <c r="BI31" i="29"/>
  <c r="BI35" i="31"/>
  <c r="BI28" i="28"/>
  <c r="BI28" i="31"/>
  <c r="BI47" i="31"/>
  <c r="BI14" i="26"/>
  <c r="BI20" i="28"/>
  <c r="BI34" i="31"/>
  <c r="BI21" i="29"/>
  <c r="BI20" i="29"/>
  <c r="BI17" i="19"/>
  <c r="BI10" i="29"/>
  <c r="BI23" i="31"/>
  <c r="BI45" i="30"/>
  <c r="BI44" i="19"/>
  <c r="BI34" i="27"/>
  <c r="BI32" i="31"/>
  <c r="BI13" i="29"/>
  <c r="BI3" i="30"/>
  <c r="BI15" i="32"/>
  <c r="BI40" i="26"/>
  <c r="BI45" i="29"/>
  <c r="BI10" i="31"/>
  <c r="BI7" i="30"/>
  <c r="BI30" i="31"/>
  <c r="BI41" i="31"/>
  <c r="BI8" i="19"/>
  <c r="BI42" i="19"/>
  <c r="BI14" i="29"/>
  <c r="BI22" i="26"/>
  <c r="BI42" i="31"/>
  <c r="BI42" i="30"/>
  <c r="BI4" i="30"/>
  <c r="BI19" i="26"/>
  <c r="BI37" i="27"/>
  <c r="BI23" i="27"/>
  <c r="BI11" i="27"/>
  <c r="BI5" i="26"/>
  <c r="BI45" i="19"/>
  <c r="BI35" i="19"/>
  <c r="BI26" i="31"/>
  <c r="BI19" i="29"/>
  <c r="BI23" i="30"/>
  <c r="BI13" i="30"/>
  <c r="BI46" i="26"/>
  <c r="BI38" i="30"/>
  <c r="BI8" i="27"/>
  <c r="BI14" i="19"/>
  <c r="BI10" i="30"/>
  <c r="BI43" i="26"/>
  <c r="BI29" i="31"/>
  <c r="BI34" i="26"/>
  <c r="BI20" i="27"/>
  <c r="BI31" i="27"/>
  <c r="BI31" i="31"/>
  <c r="BI37" i="30"/>
  <c r="BI22" i="29"/>
  <c r="BI12" i="27"/>
  <c r="BI3" i="26"/>
  <c r="BI23" i="28"/>
  <c r="BI11" i="29"/>
  <c r="BI24" i="28"/>
  <c r="BI27" i="31"/>
  <c r="BI4" i="19"/>
  <c r="BI24" i="30"/>
  <c r="BI34" i="28"/>
  <c r="BI47" i="30"/>
  <c r="BI36" i="30"/>
  <c r="BI41" i="26"/>
  <c r="BI25" i="30"/>
  <c r="BI12" i="29"/>
  <c r="BI36" i="27"/>
  <c r="BI6" i="26"/>
  <c r="BI7" i="27"/>
  <c r="BI30" i="28"/>
  <c r="BI32" i="19"/>
  <c r="BI35" i="30"/>
  <c r="BI21" i="28"/>
  <c r="BI14" i="32"/>
  <c r="BI25" i="31"/>
  <c r="BI46" i="29"/>
  <c r="BI22" i="28"/>
  <c r="BI32" i="27"/>
  <c r="AZ22" i="32"/>
  <c r="BI7" i="19"/>
  <c r="BI43" i="19"/>
  <c r="BI30" i="30"/>
  <c r="BI23" i="26"/>
  <c r="BI9" i="27"/>
  <c r="BI21" i="19"/>
  <c r="BI39" i="30"/>
  <c r="BI47" i="27"/>
  <c r="BI18" i="31"/>
  <c r="BI14" i="31"/>
  <c r="BI26" i="30"/>
  <c r="BI41" i="28"/>
  <c r="BI42" i="26"/>
  <c r="BI18" i="30"/>
  <c r="BI17" i="29"/>
  <c r="BI37" i="29"/>
  <c r="BI25" i="19"/>
  <c r="BI33" i="29"/>
  <c r="BI3" i="29"/>
  <c r="BI18" i="28"/>
  <c r="BI47" i="26"/>
  <c r="BI40" i="28"/>
  <c r="BI25" i="28"/>
  <c r="BI14" i="28"/>
  <c r="BI3" i="28"/>
  <c r="BI33" i="27"/>
  <c r="BI29" i="27"/>
  <c r="BI6" i="27"/>
  <c r="BI10" i="27"/>
  <c r="BI25" i="27"/>
  <c r="BI36" i="26"/>
  <c r="BI22" i="19"/>
  <c r="BI3" i="19"/>
  <c r="BI26" i="26"/>
  <c r="BI16" i="26"/>
  <c r="BI40" i="19"/>
  <c r="BI32" i="26"/>
  <c r="BI17" i="26"/>
  <c r="BI31" i="19"/>
  <c r="BI13" i="19"/>
  <c r="BI30" i="19"/>
  <c r="BI24" i="26"/>
  <c r="BI47" i="19"/>
  <c r="BI38" i="19"/>
  <c r="BI39" i="19"/>
  <c r="AZ20" i="32"/>
  <c r="BI46" i="19"/>
  <c r="BI36" i="19"/>
  <c r="BI24" i="19"/>
  <c r="BI15" i="19"/>
  <c r="AO18" i="32"/>
  <c r="AV16" i="32"/>
  <c r="AZ16" i="32"/>
  <c r="AZ34" i="32"/>
  <c r="AV5" i="32"/>
  <c r="AZ5" i="32"/>
  <c r="AV24" i="32"/>
  <c r="AZ24" i="32"/>
  <c r="AO21" i="32"/>
  <c r="BB21" i="32" s="1"/>
  <c r="AV21" i="32"/>
  <c r="AZ21" i="32"/>
  <c r="AO39" i="29"/>
  <c r="AO40" i="29"/>
  <c r="AO42" i="29"/>
  <c r="AO38" i="29"/>
  <c r="AO41" i="29"/>
  <c r="AZ26" i="32"/>
  <c r="AV26" i="32"/>
  <c r="AV29" i="32"/>
  <c r="AV25" i="32"/>
  <c r="AZ25" i="32"/>
  <c r="AZ28" i="32"/>
  <c r="AZ29" i="32"/>
  <c r="AV20" i="32"/>
  <c r="AO20" i="32"/>
  <c r="AR20" i="32" s="1"/>
  <c r="AO12" i="32"/>
  <c r="AV15" i="32"/>
  <c r="AO15" i="32"/>
  <c r="AV13" i="32"/>
  <c r="AV14" i="32"/>
  <c r="AO13" i="32"/>
  <c r="AZ13" i="32"/>
  <c r="AZ14" i="32"/>
  <c r="AZ7" i="32"/>
  <c r="AV12" i="32"/>
  <c r="AZ12" i="32"/>
  <c r="AO19" i="32"/>
  <c r="AZ15" i="32"/>
  <c r="AZ19" i="32"/>
  <c r="AZ30" i="32"/>
  <c r="AO6" i="32"/>
  <c r="AR6" i="32" s="1"/>
  <c r="AO10" i="32"/>
  <c r="AR10" i="32" s="1"/>
  <c r="AU10" i="32" s="1"/>
  <c r="AO14" i="32"/>
  <c r="AO4" i="32"/>
  <c r="AR4" i="32" s="1"/>
  <c r="AU4" i="32" s="1"/>
  <c r="BB4" i="32" s="1"/>
  <c r="AO5" i="32"/>
  <c r="AZ9" i="32"/>
  <c r="AZ3" i="32"/>
  <c r="AO9" i="32"/>
  <c r="AV9" i="32"/>
  <c r="AO3" i="32"/>
  <c r="AO25" i="32"/>
  <c r="AZ35" i="32"/>
  <c r="AV18" i="32"/>
  <c r="AZ18" i="32"/>
  <c r="AO24" i="32"/>
  <c r="AO26" i="32"/>
  <c r="AO7" i="32"/>
  <c r="AO11" i="32"/>
  <c r="AZ11" i="32"/>
  <c r="AO30" i="32"/>
  <c r="AO33" i="32"/>
  <c r="AV33" i="32"/>
  <c r="AO8" i="32"/>
  <c r="AR8" i="32" s="1"/>
  <c r="AU8" i="32" s="1"/>
  <c r="AV11" i="32"/>
  <c r="AV32" i="32"/>
  <c r="AO17" i="32"/>
  <c r="AR17" i="32" s="1"/>
  <c r="AU17" i="32" s="1"/>
  <c r="AO27" i="32"/>
  <c r="AR27" i="32" s="1"/>
  <c r="AU27" i="32" s="1"/>
  <c r="AV30" i="32"/>
  <c r="AO16" i="32"/>
  <c r="AO23" i="32"/>
  <c r="AV23" i="32"/>
  <c r="AZ23" i="32"/>
  <c r="AO32" i="32"/>
  <c r="AZ32" i="32"/>
  <c r="AO35" i="32"/>
  <c r="AV35" i="32"/>
  <c r="AV34" i="32"/>
  <c r="AO22" i="32"/>
  <c r="AO28" i="32"/>
  <c r="AV28" i="32"/>
  <c r="AO31" i="32"/>
  <c r="AR31" i="32" s="1"/>
  <c r="AU31" i="32" s="1"/>
  <c r="AO34" i="32"/>
  <c r="AZ33" i="32"/>
  <c r="AO29" i="32"/>
  <c r="AR18" i="32" l="1"/>
  <c r="BC18" i="32"/>
  <c r="BB18" i="32"/>
  <c r="BC21" i="32"/>
  <c r="AR21" i="32"/>
  <c r="AR12" i="32"/>
  <c r="BB12" i="32"/>
  <c r="BC12" i="32"/>
  <c r="AR15" i="32"/>
  <c r="BB15" i="32"/>
  <c r="BC15" i="32"/>
  <c r="BB20" i="32"/>
  <c r="BC20" i="32"/>
  <c r="BB13" i="32"/>
  <c r="BC13" i="32"/>
  <c r="AR13" i="32"/>
  <c r="BC19" i="32"/>
  <c r="BB19" i="32"/>
  <c r="AR19" i="32"/>
  <c r="BC5" i="32"/>
  <c r="BB5" i="32"/>
  <c r="AR5" i="32"/>
  <c r="BC9" i="32"/>
  <c r="AR9" i="32"/>
  <c r="BB9" i="32"/>
  <c r="BB3" i="32"/>
  <c r="AR3" i="32"/>
  <c r="BC3" i="32"/>
  <c r="AV4" i="32"/>
  <c r="BC4" i="32"/>
  <c r="AZ4" i="32"/>
  <c r="AU6" i="32"/>
  <c r="AV10" i="32"/>
  <c r="AZ10" i="32"/>
  <c r="BB10" i="32"/>
  <c r="BC10" i="32"/>
  <c r="AR14" i="32"/>
  <c r="BB14" i="32"/>
  <c r="AZ31" i="32"/>
  <c r="BC31" i="32"/>
  <c r="BC14" i="32"/>
  <c r="BC25" i="32"/>
  <c r="BB25" i="32"/>
  <c r="AR25" i="32"/>
  <c r="BB24" i="32"/>
  <c r="BC24" i="32"/>
  <c r="AR24" i="32"/>
  <c r="BC26" i="32"/>
  <c r="BB26" i="32"/>
  <c r="AR26" i="32"/>
  <c r="BC7" i="32"/>
  <c r="BB7" i="32"/>
  <c r="AR7" i="32"/>
  <c r="BC11" i="32"/>
  <c r="BB11" i="32"/>
  <c r="AR11" i="32"/>
  <c r="BB30" i="32"/>
  <c r="AR30" i="32"/>
  <c r="BC30" i="32"/>
  <c r="BC33" i="32"/>
  <c r="BB33" i="32"/>
  <c r="AR33" i="32"/>
  <c r="BB8" i="32"/>
  <c r="BC8" i="32"/>
  <c r="AZ8" i="32"/>
  <c r="AV8" i="32"/>
  <c r="BC17" i="32"/>
  <c r="BB17" i="32"/>
  <c r="AZ17" i="32"/>
  <c r="AV17" i="32"/>
  <c r="AV27" i="32"/>
  <c r="AY27" i="32" s="1"/>
  <c r="BC16" i="32"/>
  <c r="BB16" i="32"/>
  <c r="AR16" i="32"/>
  <c r="AR23" i="32"/>
  <c r="BC23" i="32"/>
  <c r="BB23" i="32"/>
  <c r="BC32" i="32"/>
  <c r="BB32" i="32"/>
  <c r="AR32" i="32"/>
  <c r="BC35" i="32"/>
  <c r="BB35" i="32"/>
  <c r="AR35" i="32"/>
  <c r="BC22" i="32"/>
  <c r="BB22" i="32"/>
  <c r="AR22" i="32"/>
  <c r="AR28" i="32"/>
  <c r="BC28" i="32"/>
  <c r="BB28" i="32"/>
  <c r="BB31" i="32"/>
  <c r="AV31" i="32"/>
  <c r="BC34" i="32"/>
  <c r="AR34" i="32"/>
  <c r="BB34" i="32"/>
  <c r="BC29" i="32"/>
  <c r="BB29" i="32"/>
  <c r="AR29" i="32"/>
  <c r="AV6" i="32" l="1"/>
  <c r="AY6" i="32" s="1"/>
  <c r="AZ27" i="32"/>
  <c r="BB27" i="32"/>
  <c r="BC27" i="32"/>
  <c r="AX13" i="30"/>
  <c r="BC6" i="32" l="1"/>
  <c r="BB6" i="32"/>
  <c r="AZ6" i="32"/>
  <c r="AX10" i="19"/>
  <c r="AY47" i="32"/>
  <c r="AX47" i="32"/>
  <c r="AU47" i="32"/>
  <c r="AT47" i="32"/>
  <c r="AN47" i="32"/>
  <c r="AM47" i="32"/>
  <c r="AL47" i="32"/>
  <c r="AK47" i="32"/>
  <c r="AY46" i="32"/>
  <c r="AX46" i="32"/>
  <c r="AU46" i="32"/>
  <c r="AV46" i="32" s="1"/>
  <c r="AT46" i="32"/>
  <c r="AN46" i="32"/>
  <c r="AM46" i="32"/>
  <c r="AL46" i="32"/>
  <c r="AK46" i="32"/>
  <c r="AY45" i="32"/>
  <c r="AX45" i="32"/>
  <c r="AU45" i="32"/>
  <c r="AZ45" i="32" s="1"/>
  <c r="AT45" i="32"/>
  <c r="AN45" i="32"/>
  <c r="AM45" i="32"/>
  <c r="AL45" i="32"/>
  <c r="AK45" i="32"/>
  <c r="AY44" i="32"/>
  <c r="AX44" i="32"/>
  <c r="AU44" i="32"/>
  <c r="AZ44" i="32" s="1"/>
  <c r="AT44" i="32"/>
  <c r="AN44" i="32"/>
  <c r="AM44" i="32"/>
  <c r="AL44" i="32"/>
  <c r="AK44" i="32"/>
  <c r="AY43" i="32"/>
  <c r="AX43" i="32"/>
  <c r="AU43" i="32"/>
  <c r="AV43" i="32" s="1"/>
  <c r="AT43" i="32"/>
  <c r="AN43" i="32"/>
  <c r="AM43" i="32"/>
  <c r="AL43" i="32"/>
  <c r="AK43" i="32"/>
  <c r="AY42" i="32"/>
  <c r="AX42" i="32"/>
  <c r="AU42" i="32"/>
  <c r="AT42" i="32"/>
  <c r="AN42" i="32"/>
  <c r="AM42" i="32"/>
  <c r="AL42" i="32"/>
  <c r="AK42" i="32"/>
  <c r="AY41" i="32"/>
  <c r="AX41" i="32"/>
  <c r="AU41" i="32"/>
  <c r="AT41" i="32"/>
  <c r="AN41" i="32"/>
  <c r="AM41" i="32"/>
  <c r="AL41" i="32"/>
  <c r="AK41" i="32"/>
  <c r="AY40" i="32"/>
  <c r="AX40" i="32"/>
  <c r="AU40" i="32"/>
  <c r="AT40" i="32"/>
  <c r="AN40" i="32"/>
  <c r="AM40" i="32"/>
  <c r="AL40" i="32"/>
  <c r="AK40" i="32"/>
  <c r="AY39" i="32"/>
  <c r="AX39" i="32"/>
  <c r="AU39" i="32"/>
  <c r="AV39" i="32" s="1"/>
  <c r="AT39" i="32"/>
  <c r="AN39" i="32"/>
  <c r="AM39" i="32"/>
  <c r="AL39" i="32"/>
  <c r="AK39" i="32"/>
  <c r="AY38" i="32"/>
  <c r="AX38" i="32"/>
  <c r="AU38" i="32"/>
  <c r="AT38" i="32"/>
  <c r="AN38" i="32"/>
  <c r="AM38" i="32"/>
  <c r="AL38" i="32"/>
  <c r="AK38" i="32"/>
  <c r="AY37" i="32"/>
  <c r="AX37" i="32"/>
  <c r="AU37" i="32"/>
  <c r="AT37" i="32"/>
  <c r="AN37" i="32"/>
  <c r="AM37" i="32"/>
  <c r="AL37" i="32"/>
  <c r="AK37" i="32"/>
  <c r="AY36" i="32"/>
  <c r="AX36" i="32"/>
  <c r="AU36" i="32"/>
  <c r="AT36" i="32"/>
  <c r="AN36" i="32"/>
  <c r="AM36" i="32"/>
  <c r="AL36" i="32"/>
  <c r="AK36" i="32"/>
  <c r="AY47" i="31"/>
  <c r="AX47" i="31"/>
  <c r="AU47" i="31"/>
  <c r="AV47" i="31" s="1"/>
  <c r="AT47" i="31"/>
  <c r="AN47" i="31"/>
  <c r="AM47" i="31"/>
  <c r="AL47" i="31"/>
  <c r="AK47" i="31"/>
  <c r="AY46" i="31"/>
  <c r="AX46" i="31"/>
  <c r="AU46" i="31"/>
  <c r="AV46" i="31" s="1"/>
  <c r="AT46" i="31"/>
  <c r="AN46" i="31"/>
  <c r="AM46" i="31"/>
  <c r="AL46" i="31"/>
  <c r="AK46" i="31"/>
  <c r="AY45" i="31"/>
  <c r="AX45" i="31"/>
  <c r="AU45" i="31"/>
  <c r="AV45" i="31" s="1"/>
  <c r="AT45" i="31"/>
  <c r="AN45" i="31"/>
  <c r="AM45" i="31"/>
  <c r="AL45" i="31"/>
  <c r="AK45" i="31"/>
  <c r="AY44" i="31"/>
  <c r="AX44" i="31"/>
  <c r="AU44" i="31"/>
  <c r="AT44" i="31"/>
  <c r="AN44" i="31"/>
  <c r="AM44" i="31"/>
  <c r="AL44" i="31"/>
  <c r="AK44" i="31"/>
  <c r="AY43" i="31"/>
  <c r="AX43" i="31"/>
  <c r="AU43" i="31"/>
  <c r="AZ43" i="31" s="1"/>
  <c r="AT43" i="31"/>
  <c r="AN43" i="31"/>
  <c r="AM43" i="31"/>
  <c r="AL43" i="31"/>
  <c r="AK43" i="31"/>
  <c r="AY42" i="31"/>
  <c r="AX42" i="31"/>
  <c r="AU42" i="31"/>
  <c r="AV42" i="31" s="1"/>
  <c r="AT42" i="31"/>
  <c r="AN42" i="31"/>
  <c r="AM42" i="31"/>
  <c r="AL42" i="31"/>
  <c r="AK42" i="31"/>
  <c r="AY41" i="31"/>
  <c r="AX41" i="31"/>
  <c r="AU41" i="31"/>
  <c r="AV41" i="31" s="1"/>
  <c r="AT41" i="31"/>
  <c r="AN41" i="31"/>
  <c r="AM41" i="31"/>
  <c r="AL41" i="31"/>
  <c r="AK41" i="31"/>
  <c r="AY40" i="31"/>
  <c r="AX40" i="31"/>
  <c r="AU40" i="31"/>
  <c r="AT40" i="31"/>
  <c r="AN40" i="31"/>
  <c r="AM40" i="31"/>
  <c r="AL40" i="31"/>
  <c r="AK40" i="31"/>
  <c r="AY39" i="31"/>
  <c r="AX39" i="31"/>
  <c r="AU39" i="31"/>
  <c r="AT39" i="31"/>
  <c r="AN39" i="31"/>
  <c r="AM39" i="31"/>
  <c r="AL39" i="31"/>
  <c r="AK39" i="31"/>
  <c r="AY38" i="31"/>
  <c r="AX38" i="31"/>
  <c r="AU38" i="31"/>
  <c r="AV38" i="31" s="1"/>
  <c r="AT38" i="31"/>
  <c r="AN38" i="31"/>
  <c r="AM38" i="31"/>
  <c r="AL38" i="31"/>
  <c r="AK38" i="31"/>
  <c r="AY37" i="31"/>
  <c r="AX37" i="31"/>
  <c r="AU37" i="31"/>
  <c r="AT37" i="31"/>
  <c r="AN37" i="31"/>
  <c r="AM37" i="31"/>
  <c r="AL37" i="31"/>
  <c r="AK37" i="31"/>
  <c r="AY36" i="31"/>
  <c r="AX36" i="31"/>
  <c r="AU36" i="31"/>
  <c r="AT36" i="31"/>
  <c r="AN36" i="31"/>
  <c r="AM36" i="31"/>
  <c r="AL36" i="31"/>
  <c r="AK36" i="31"/>
  <c r="AY35" i="31"/>
  <c r="AX35" i="31"/>
  <c r="AU35" i="31"/>
  <c r="AT35" i="31"/>
  <c r="AN35" i="31"/>
  <c r="AM35" i="31"/>
  <c r="AL35" i="31"/>
  <c r="AK35" i="31"/>
  <c r="AY34" i="31"/>
  <c r="AX34" i="31"/>
  <c r="AU34" i="31"/>
  <c r="AT34" i="31"/>
  <c r="AN34" i="31"/>
  <c r="AM34" i="31"/>
  <c r="AL34" i="31"/>
  <c r="AK34" i="31"/>
  <c r="AY33" i="31"/>
  <c r="AX33" i="31"/>
  <c r="AU33" i="31"/>
  <c r="AT33" i="31"/>
  <c r="AN33" i="31"/>
  <c r="AM33" i="31"/>
  <c r="AL33" i="31"/>
  <c r="AK33" i="31"/>
  <c r="AY32" i="31"/>
  <c r="AX32" i="31"/>
  <c r="AU32" i="31"/>
  <c r="AT32" i="31"/>
  <c r="AN32" i="31"/>
  <c r="AM32" i="31"/>
  <c r="AL32" i="31"/>
  <c r="AK32" i="31"/>
  <c r="AY31" i="31"/>
  <c r="AX31" i="31"/>
  <c r="AU31" i="31"/>
  <c r="AT31" i="31"/>
  <c r="AN31" i="31"/>
  <c r="AM31" i="31"/>
  <c r="AL31" i="31"/>
  <c r="AK31" i="31"/>
  <c r="AY30" i="31"/>
  <c r="AX30" i="31"/>
  <c r="AU30" i="31"/>
  <c r="AT30" i="31"/>
  <c r="AN30" i="31"/>
  <c r="AM30" i="31"/>
  <c r="AL30" i="31"/>
  <c r="AK30" i="31"/>
  <c r="AY29" i="31"/>
  <c r="AX29" i="31"/>
  <c r="AU29" i="31"/>
  <c r="AT29" i="31"/>
  <c r="AN29" i="31"/>
  <c r="AM29" i="31"/>
  <c r="AL29" i="31"/>
  <c r="AK29" i="31"/>
  <c r="AY28" i="31"/>
  <c r="AX28" i="31"/>
  <c r="AU28" i="31"/>
  <c r="AT28" i="31"/>
  <c r="AN28" i="31"/>
  <c r="AM28" i="31"/>
  <c r="AL28" i="31"/>
  <c r="AK28" i="31"/>
  <c r="AY27" i="31"/>
  <c r="AX27" i="31"/>
  <c r="AU27" i="31"/>
  <c r="AT27" i="31"/>
  <c r="AN27" i="31"/>
  <c r="AM27" i="31"/>
  <c r="AL27" i="31"/>
  <c r="AK27" i="31"/>
  <c r="AY26" i="31"/>
  <c r="AX26" i="31"/>
  <c r="AU26" i="31"/>
  <c r="AT26" i="31"/>
  <c r="AN26" i="31"/>
  <c r="AM26" i="31"/>
  <c r="AL26" i="31"/>
  <c r="AK26" i="31"/>
  <c r="AY25" i="31"/>
  <c r="AX25" i="31"/>
  <c r="AU25" i="31"/>
  <c r="AT25" i="31"/>
  <c r="AN25" i="31"/>
  <c r="AM25" i="31"/>
  <c r="AL25" i="31"/>
  <c r="AK25" i="31"/>
  <c r="AY24" i="31"/>
  <c r="AX24" i="31"/>
  <c r="AU24" i="31"/>
  <c r="AT24" i="31"/>
  <c r="AN24" i="31"/>
  <c r="AM24" i="31"/>
  <c r="AL24" i="31"/>
  <c r="AK24" i="31"/>
  <c r="AY23" i="31"/>
  <c r="AX23" i="31"/>
  <c r="AU23" i="31"/>
  <c r="AT23" i="31"/>
  <c r="AN23" i="31"/>
  <c r="AM23" i="31"/>
  <c r="AL23" i="31"/>
  <c r="AK23" i="31"/>
  <c r="AY22" i="31"/>
  <c r="AX22" i="31"/>
  <c r="AU22" i="31"/>
  <c r="AT22" i="31"/>
  <c r="AN22" i="31"/>
  <c r="AM22" i="31"/>
  <c r="AL22" i="31"/>
  <c r="AK22" i="31"/>
  <c r="AX21" i="31"/>
  <c r="AT21" i="31"/>
  <c r="AN21" i="31"/>
  <c r="AM21" i="31"/>
  <c r="AL21" i="31"/>
  <c r="AK21" i="31"/>
  <c r="AY20" i="31"/>
  <c r="AX20" i="31"/>
  <c r="AU20" i="31"/>
  <c r="AT20" i="31"/>
  <c r="AN20" i="31"/>
  <c r="AM20" i="31"/>
  <c r="AL20" i="31"/>
  <c r="AK20" i="31"/>
  <c r="AY19" i="31"/>
  <c r="AX19" i="31"/>
  <c r="AT19" i="31"/>
  <c r="AN19" i="31"/>
  <c r="AM19" i="31"/>
  <c r="AL19" i="31"/>
  <c r="AK19" i="31"/>
  <c r="AY18" i="31"/>
  <c r="AX18" i="31"/>
  <c r="AU18" i="31"/>
  <c r="AT18" i="31"/>
  <c r="AN18" i="31"/>
  <c r="AM18" i="31"/>
  <c r="AL18" i="31"/>
  <c r="AK18" i="31"/>
  <c r="AY17" i="31"/>
  <c r="AX17" i="31"/>
  <c r="AT17" i="31"/>
  <c r="AN17" i="31"/>
  <c r="AM17" i="31"/>
  <c r="AL17" i="31"/>
  <c r="AK17" i="31"/>
  <c r="AY16" i="31"/>
  <c r="AX16" i="31"/>
  <c r="AU16" i="31"/>
  <c r="AT16" i="31"/>
  <c r="AN16" i="31"/>
  <c r="AM16" i="31"/>
  <c r="AL16" i="31"/>
  <c r="AK16" i="31"/>
  <c r="AY15" i="31"/>
  <c r="AX15" i="31"/>
  <c r="AU15" i="31"/>
  <c r="AT15" i="31"/>
  <c r="AN15" i="31"/>
  <c r="AM15" i="31"/>
  <c r="AL15" i="31"/>
  <c r="AK15" i="31"/>
  <c r="AY14" i="31"/>
  <c r="AX14" i="31"/>
  <c r="AU14" i="31"/>
  <c r="AT14" i="31"/>
  <c r="AN14" i="31"/>
  <c r="AM14" i="31"/>
  <c r="AL14" i="31"/>
  <c r="AK14" i="31"/>
  <c r="AY13" i="31"/>
  <c r="AX13" i="31"/>
  <c r="AT13" i="31"/>
  <c r="AN13" i="31"/>
  <c r="AM13" i="31"/>
  <c r="AL13" i="31"/>
  <c r="AK13" i="31"/>
  <c r="AY12" i="31"/>
  <c r="AX12" i="31"/>
  <c r="AU12" i="31"/>
  <c r="AT12" i="31"/>
  <c r="AN12" i="31"/>
  <c r="AM12" i="31"/>
  <c r="AL12" i="31"/>
  <c r="AK12" i="31"/>
  <c r="AY11" i="31"/>
  <c r="AX11" i="31"/>
  <c r="AU11" i="31"/>
  <c r="AT11" i="31"/>
  <c r="AN11" i="31"/>
  <c r="AM11" i="31"/>
  <c r="AL11" i="31"/>
  <c r="AK11" i="31"/>
  <c r="AX10" i="31"/>
  <c r="AT10" i="31"/>
  <c r="AN10" i="31"/>
  <c r="AM10" i="31"/>
  <c r="AL10" i="31"/>
  <c r="AK10" i="31"/>
  <c r="AY9" i="31"/>
  <c r="AX9" i="31"/>
  <c r="AU9" i="31"/>
  <c r="AT9" i="31"/>
  <c r="AN9" i="31"/>
  <c r="AM9" i="31"/>
  <c r="AL9" i="31"/>
  <c r="AK9" i="31"/>
  <c r="AX8" i="31"/>
  <c r="AT8" i="31"/>
  <c r="AN8" i="31"/>
  <c r="AM8" i="31"/>
  <c r="AL8" i="31"/>
  <c r="AK8" i="31"/>
  <c r="AY7" i="31"/>
  <c r="AX7" i="31"/>
  <c r="AU7" i="31"/>
  <c r="AT7" i="31"/>
  <c r="AN7" i="31"/>
  <c r="AM7" i="31"/>
  <c r="AL7" i="31"/>
  <c r="AK7" i="31"/>
  <c r="AX6" i="31"/>
  <c r="AT6" i="31"/>
  <c r="AN6" i="31"/>
  <c r="AM6" i="31"/>
  <c r="AL6" i="31"/>
  <c r="AK6" i="31"/>
  <c r="AY5" i="31"/>
  <c r="AX5" i="31"/>
  <c r="AU5" i="31"/>
  <c r="AT5" i="31"/>
  <c r="AN5" i="31"/>
  <c r="AM5" i="31"/>
  <c r="AL5" i="31"/>
  <c r="AK5" i="31"/>
  <c r="AY4" i="31"/>
  <c r="AX4" i="31"/>
  <c r="AT4" i="31"/>
  <c r="AN4" i="31"/>
  <c r="AM4" i="31"/>
  <c r="AL4" i="31"/>
  <c r="AK4" i="31"/>
  <c r="AY3" i="31"/>
  <c r="AX3" i="31"/>
  <c r="AU3" i="31"/>
  <c r="AT3" i="31"/>
  <c r="AN3" i="31"/>
  <c r="AM3" i="31"/>
  <c r="AL3" i="31"/>
  <c r="AK3" i="31"/>
  <c r="AY47" i="30"/>
  <c r="AX47" i="30"/>
  <c r="AU47" i="30"/>
  <c r="AT47" i="30"/>
  <c r="AN47" i="30"/>
  <c r="AM47" i="30"/>
  <c r="AL47" i="30"/>
  <c r="AK47" i="30"/>
  <c r="AY46" i="30"/>
  <c r="AX46" i="30"/>
  <c r="AU46" i="30"/>
  <c r="AT46" i="30"/>
  <c r="AN46" i="30"/>
  <c r="AM46" i="30"/>
  <c r="AL46" i="30"/>
  <c r="AK46" i="30"/>
  <c r="AY45" i="30"/>
  <c r="AX45" i="30"/>
  <c r="AU45" i="30"/>
  <c r="AZ45" i="30" s="1"/>
  <c r="AT45" i="30"/>
  <c r="AN45" i="30"/>
  <c r="AM45" i="30"/>
  <c r="AL45" i="30"/>
  <c r="AK45" i="30"/>
  <c r="AY44" i="30"/>
  <c r="AX44" i="30"/>
  <c r="AU44" i="30"/>
  <c r="AZ44" i="30" s="1"/>
  <c r="AT44" i="30"/>
  <c r="AN44" i="30"/>
  <c r="AM44" i="30"/>
  <c r="AL44" i="30"/>
  <c r="AK44" i="30"/>
  <c r="AY43" i="30"/>
  <c r="AX43" i="30"/>
  <c r="AU43" i="30"/>
  <c r="AV43" i="30" s="1"/>
  <c r="AT43" i="30"/>
  <c r="AN43" i="30"/>
  <c r="AM43" i="30"/>
  <c r="AL43" i="30"/>
  <c r="AK43" i="30"/>
  <c r="AY42" i="30"/>
  <c r="AX42" i="30"/>
  <c r="AU42" i="30"/>
  <c r="AT42" i="30"/>
  <c r="AN42" i="30"/>
  <c r="AM42" i="30"/>
  <c r="AL42" i="30"/>
  <c r="AK42" i="30"/>
  <c r="AY41" i="30"/>
  <c r="AX41" i="30"/>
  <c r="AU41" i="30"/>
  <c r="AT41" i="30"/>
  <c r="AN41" i="30"/>
  <c r="AM41" i="30"/>
  <c r="AL41" i="30"/>
  <c r="AK41" i="30"/>
  <c r="AY40" i="30"/>
  <c r="AX40" i="30"/>
  <c r="AU40" i="30"/>
  <c r="AV40" i="30" s="1"/>
  <c r="AT40" i="30"/>
  <c r="AN40" i="30"/>
  <c r="AM40" i="30"/>
  <c r="AL40" i="30"/>
  <c r="AK40" i="30"/>
  <c r="AY39" i="30"/>
  <c r="AX39" i="30"/>
  <c r="AU39" i="30"/>
  <c r="AV39" i="30" s="1"/>
  <c r="AT39" i="30"/>
  <c r="AN39" i="30"/>
  <c r="AM39" i="30"/>
  <c r="AL39" i="30"/>
  <c r="AK39" i="30"/>
  <c r="AY38" i="30"/>
  <c r="AX38" i="30"/>
  <c r="AU38" i="30"/>
  <c r="AT38" i="30"/>
  <c r="AN38" i="30"/>
  <c r="AM38" i="30"/>
  <c r="AL38" i="30"/>
  <c r="AK38" i="30"/>
  <c r="AY37" i="30"/>
  <c r="AX37" i="30"/>
  <c r="AU37" i="30"/>
  <c r="AT37" i="30"/>
  <c r="AN37" i="30"/>
  <c r="AM37" i="30"/>
  <c r="AL37" i="30"/>
  <c r="AK37" i="30"/>
  <c r="AY36" i="30"/>
  <c r="AX36" i="30"/>
  <c r="AU36" i="30"/>
  <c r="AT36" i="30"/>
  <c r="AN36" i="30"/>
  <c r="AM36" i="30"/>
  <c r="AL36" i="30"/>
  <c r="AK36" i="30"/>
  <c r="AY35" i="30"/>
  <c r="AX35" i="30"/>
  <c r="AU35" i="30"/>
  <c r="AT35" i="30"/>
  <c r="AN35" i="30"/>
  <c r="AM35" i="30"/>
  <c r="AL35" i="30"/>
  <c r="AK35" i="30"/>
  <c r="AY34" i="30"/>
  <c r="AX34" i="30"/>
  <c r="AU34" i="30"/>
  <c r="AT34" i="30"/>
  <c r="AN34" i="30"/>
  <c r="AM34" i="30"/>
  <c r="AL34" i="30"/>
  <c r="AK34" i="30"/>
  <c r="AY33" i="30"/>
  <c r="AX33" i="30"/>
  <c r="AU33" i="30"/>
  <c r="AT33" i="30"/>
  <c r="AN33" i="30"/>
  <c r="AM33" i="30"/>
  <c r="AL33" i="30"/>
  <c r="AK33" i="30"/>
  <c r="AY32" i="30"/>
  <c r="AX32" i="30"/>
  <c r="AU32" i="30"/>
  <c r="AT32" i="30"/>
  <c r="AN32" i="30"/>
  <c r="AM32" i="30"/>
  <c r="AL32" i="30"/>
  <c r="AK32" i="30"/>
  <c r="AY31" i="30"/>
  <c r="AX31" i="30"/>
  <c r="AU31" i="30"/>
  <c r="AT31" i="30"/>
  <c r="AN31" i="30"/>
  <c r="AM31" i="30"/>
  <c r="AL31" i="30"/>
  <c r="AK31" i="30"/>
  <c r="AY30" i="30"/>
  <c r="AX30" i="30"/>
  <c r="AU30" i="30"/>
  <c r="AT30" i="30"/>
  <c r="AN30" i="30"/>
  <c r="AM30" i="30"/>
  <c r="AL30" i="30"/>
  <c r="AK30" i="30"/>
  <c r="AY29" i="30"/>
  <c r="AX29" i="30"/>
  <c r="AU29" i="30"/>
  <c r="AT29" i="30"/>
  <c r="AN29" i="30"/>
  <c r="AM29" i="30"/>
  <c r="AL29" i="30"/>
  <c r="AK29" i="30"/>
  <c r="AY28" i="30"/>
  <c r="AX28" i="30"/>
  <c r="AU28" i="30"/>
  <c r="AT28" i="30"/>
  <c r="AN28" i="30"/>
  <c r="AM28" i="30"/>
  <c r="AL28" i="30"/>
  <c r="AK28" i="30"/>
  <c r="AY27" i="30"/>
  <c r="AX27" i="30"/>
  <c r="AT27" i="30"/>
  <c r="AN27" i="30"/>
  <c r="AM27" i="30"/>
  <c r="AL27" i="30"/>
  <c r="AK27" i="30"/>
  <c r="AY26" i="30"/>
  <c r="AX26" i="30"/>
  <c r="AU26" i="30"/>
  <c r="AT26" i="30"/>
  <c r="AN26" i="30"/>
  <c r="AM26" i="30"/>
  <c r="AL26" i="30"/>
  <c r="AK26" i="30"/>
  <c r="AY25" i="30"/>
  <c r="AX25" i="30"/>
  <c r="AU25" i="30"/>
  <c r="AT25" i="30"/>
  <c r="AN25" i="30"/>
  <c r="AM25" i="30"/>
  <c r="AL25" i="30"/>
  <c r="AK25" i="30"/>
  <c r="AY24" i="30"/>
  <c r="AX24" i="30"/>
  <c r="AU24" i="30"/>
  <c r="AT24" i="30"/>
  <c r="AN24" i="30"/>
  <c r="AM24" i="30"/>
  <c r="AL24" i="30"/>
  <c r="AK24" i="30"/>
  <c r="AY23" i="30"/>
  <c r="AX23" i="30"/>
  <c r="AU23" i="30"/>
  <c r="AT23" i="30"/>
  <c r="AN23" i="30"/>
  <c r="AM23" i="30"/>
  <c r="AL23" i="30"/>
  <c r="AK23" i="30"/>
  <c r="AY22" i="30"/>
  <c r="AX22" i="30"/>
  <c r="AU22" i="30"/>
  <c r="AT22" i="30"/>
  <c r="AN22" i="30"/>
  <c r="AM22" i="30"/>
  <c r="AL22" i="30"/>
  <c r="AK22" i="30"/>
  <c r="AX21" i="30"/>
  <c r="AT21" i="30"/>
  <c r="AN21" i="30"/>
  <c r="AM21" i="30"/>
  <c r="AL21" i="30"/>
  <c r="AK21" i="30"/>
  <c r="AY20" i="30"/>
  <c r="AX20" i="30"/>
  <c r="AU20" i="30"/>
  <c r="AT20" i="30"/>
  <c r="AN20" i="30"/>
  <c r="AM20" i="30"/>
  <c r="AL20" i="30"/>
  <c r="AK20" i="30"/>
  <c r="AY19" i="30"/>
  <c r="AX19" i="30"/>
  <c r="AT19" i="30"/>
  <c r="AN19" i="30"/>
  <c r="AM19" i="30"/>
  <c r="AL19" i="30"/>
  <c r="AK19" i="30"/>
  <c r="AY18" i="30"/>
  <c r="AX18" i="30"/>
  <c r="AU18" i="30"/>
  <c r="AT18" i="30"/>
  <c r="AN18" i="30"/>
  <c r="AM18" i="30"/>
  <c r="AL18" i="30"/>
  <c r="AK18" i="30"/>
  <c r="AY17" i="30"/>
  <c r="AX17" i="30"/>
  <c r="AT17" i="30"/>
  <c r="AN17" i="30"/>
  <c r="AM17" i="30"/>
  <c r="AL17" i="30"/>
  <c r="AK17" i="30"/>
  <c r="AY16" i="30"/>
  <c r="AX16" i="30"/>
  <c r="AU16" i="30"/>
  <c r="AT16" i="30"/>
  <c r="AN16" i="30"/>
  <c r="AM16" i="30"/>
  <c r="AL16" i="30"/>
  <c r="AK16" i="30"/>
  <c r="AY15" i="30"/>
  <c r="AX15" i="30"/>
  <c r="AU15" i="30"/>
  <c r="AT15" i="30"/>
  <c r="AN15" i="30"/>
  <c r="AM15" i="30"/>
  <c r="AL15" i="30"/>
  <c r="AK15" i="30"/>
  <c r="AY14" i="30"/>
  <c r="AX14" i="30"/>
  <c r="AU14" i="30"/>
  <c r="AT14" i="30"/>
  <c r="AN14" i="30"/>
  <c r="AM14" i="30"/>
  <c r="AL14" i="30"/>
  <c r="AK14" i="30"/>
  <c r="AY13" i="30"/>
  <c r="AU13" i="30"/>
  <c r="AT13" i="30"/>
  <c r="AN13" i="30"/>
  <c r="AM13" i="30"/>
  <c r="AL13" i="30"/>
  <c r="AK13" i="30"/>
  <c r="AY12" i="30"/>
  <c r="AX12" i="30"/>
  <c r="AU12" i="30"/>
  <c r="AT12" i="30"/>
  <c r="AN12" i="30"/>
  <c r="AM12" i="30"/>
  <c r="AL12" i="30"/>
  <c r="AK12" i="30"/>
  <c r="AY11" i="30"/>
  <c r="AX11" i="30"/>
  <c r="AU11" i="30"/>
  <c r="AT11" i="30"/>
  <c r="AN11" i="30"/>
  <c r="AM11" i="30"/>
  <c r="AL11" i="30"/>
  <c r="AK11" i="30"/>
  <c r="AX10" i="30"/>
  <c r="AT10" i="30"/>
  <c r="AN10" i="30"/>
  <c r="AM10" i="30"/>
  <c r="AL10" i="30"/>
  <c r="AK10" i="30"/>
  <c r="AY9" i="30"/>
  <c r="AX9" i="30"/>
  <c r="AU9" i="30"/>
  <c r="AT9" i="30"/>
  <c r="AN9" i="30"/>
  <c r="AM9" i="30"/>
  <c r="AL9" i="30"/>
  <c r="AK9" i="30"/>
  <c r="AX8" i="30"/>
  <c r="AT8" i="30"/>
  <c r="AN8" i="30"/>
  <c r="AM8" i="30"/>
  <c r="AL8" i="30"/>
  <c r="AK8" i="30"/>
  <c r="AY7" i="30"/>
  <c r="AX7" i="30"/>
  <c r="AU7" i="30"/>
  <c r="AT7" i="30"/>
  <c r="AN7" i="30"/>
  <c r="AM7" i="30"/>
  <c r="AL7" i="30"/>
  <c r="AK7" i="30"/>
  <c r="AX6" i="30"/>
  <c r="AT6" i="30"/>
  <c r="AN6" i="30"/>
  <c r="AM6" i="30"/>
  <c r="AL6" i="30"/>
  <c r="AK6" i="30"/>
  <c r="AY5" i="30"/>
  <c r="AX5" i="30"/>
  <c r="AU5" i="30"/>
  <c r="AT5" i="30"/>
  <c r="AN5" i="30"/>
  <c r="AM5" i="30"/>
  <c r="AL5" i="30"/>
  <c r="AK5" i="30"/>
  <c r="AY4" i="30"/>
  <c r="AX4" i="30"/>
  <c r="AT4" i="30"/>
  <c r="AN4" i="30"/>
  <c r="AM4" i="30"/>
  <c r="AL4" i="30"/>
  <c r="AK4" i="30"/>
  <c r="AY3" i="30"/>
  <c r="AX3" i="30"/>
  <c r="AU3" i="30"/>
  <c r="AT3" i="30"/>
  <c r="AN3" i="30"/>
  <c r="AM3" i="30"/>
  <c r="AL3" i="30"/>
  <c r="AK3" i="30"/>
  <c r="AY47" i="29"/>
  <c r="AX47" i="29"/>
  <c r="AU47" i="29"/>
  <c r="AZ47" i="29" s="1"/>
  <c r="AT47" i="29"/>
  <c r="AN47" i="29"/>
  <c r="AM47" i="29"/>
  <c r="AL47" i="29"/>
  <c r="AK47" i="29"/>
  <c r="AY46" i="29"/>
  <c r="AX46" i="29"/>
  <c r="AU46" i="29"/>
  <c r="AV46" i="29" s="1"/>
  <c r="AT46" i="29"/>
  <c r="AN46" i="29"/>
  <c r="AM46" i="29"/>
  <c r="AL46" i="29"/>
  <c r="AK46" i="29"/>
  <c r="AY45" i="29"/>
  <c r="AX45" i="29"/>
  <c r="AU45" i="29"/>
  <c r="AV45" i="29" s="1"/>
  <c r="AT45" i="29"/>
  <c r="AN45" i="29"/>
  <c r="AM45" i="29"/>
  <c r="AL45" i="29"/>
  <c r="AK45" i="29"/>
  <c r="AY44" i="29"/>
  <c r="AX44" i="29"/>
  <c r="AU44" i="29"/>
  <c r="AT44" i="29"/>
  <c r="AN44" i="29"/>
  <c r="AM44" i="29"/>
  <c r="AL44" i="29"/>
  <c r="AK44" i="29"/>
  <c r="AY43" i="29"/>
  <c r="AX43" i="29"/>
  <c r="AU43" i="29"/>
  <c r="AT43" i="29"/>
  <c r="AN43" i="29"/>
  <c r="AM43" i="29"/>
  <c r="AL43" i="29"/>
  <c r="AK43" i="29"/>
  <c r="AY42" i="29"/>
  <c r="AX42" i="29"/>
  <c r="AU42" i="29"/>
  <c r="AV42" i="29" s="1"/>
  <c r="AT42" i="29"/>
  <c r="BB42" i="29"/>
  <c r="AY41" i="29"/>
  <c r="AX41" i="29"/>
  <c r="AU41" i="29"/>
  <c r="AV41" i="29" s="1"/>
  <c r="AT41" i="29"/>
  <c r="AY40" i="29"/>
  <c r="AX40" i="29"/>
  <c r="AU40" i="29"/>
  <c r="AZ40" i="29" s="1"/>
  <c r="AT40" i="29"/>
  <c r="AY39" i="29"/>
  <c r="AX39" i="29"/>
  <c r="AU39" i="29"/>
  <c r="AT39" i="29"/>
  <c r="AY38" i="29"/>
  <c r="AX38" i="29"/>
  <c r="AU38" i="29"/>
  <c r="AV38" i="29" s="1"/>
  <c r="AT38" i="29"/>
  <c r="AY37" i="29"/>
  <c r="AX37" i="29"/>
  <c r="AU37" i="29"/>
  <c r="AT37" i="29"/>
  <c r="AN37" i="29"/>
  <c r="AM37" i="29"/>
  <c r="AL37" i="29"/>
  <c r="AK37" i="29"/>
  <c r="AY36" i="29"/>
  <c r="AX36" i="29"/>
  <c r="AU36" i="29"/>
  <c r="AT36" i="29"/>
  <c r="AN36" i="29"/>
  <c r="AM36" i="29"/>
  <c r="AL36" i="29"/>
  <c r="AK36" i="29"/>
  <c r="AY35" i="29"/>
  <c r="AX35" i="29"/>
  <c r="AU35" i="29"/>
  <c r="AT35" i="29"/>
  <c r="AN35" i="29"/>
  <c r="AM35" i="29"/>
  <c r="AL35" i="29"/>
  <c r="AK35" i="29"/>
  <c r="AY34" i="29"/>
  <c r="AX34" i="29"/>
  <c r="AU34" i="29"/>
  <c r="AT34" i="29"/>
  <c r="AN34" i="29"/>
  <c r="AM34" i="29"/>
  <c r="AL34" i="29"/>
  <c r="AK34" i="29"/>
  <c r="AY33" i="29"/>
  <c r="AX33" i="29"/>
  <c r="AU33" i="29"/>
  <c r="AT33" i="29"/>
  <c r="AN33" i="29"/>
  <c r="AM33" i="29"/>
  <c r="AL33" i="29"/>
  <c r="AK33" i="29"/>
  <c r="AY32" i="29"/>
  <c r="AX32" i="29"/>
  <c r="AU32" i="29"/>
  <c r="AT32" i="29"/>
  <c r="AN32" i="29"/>
  <c r="AM32" i="29"/>
  <c r="AL32" i="29"/>
  <c r="AK32" i="29"/>
  <c r="AX31" i="29"/>
  <c r="AT31" i="29"/>
  <c r="AN31" i="29"/>
  <c r="AM31" i="29"/>
  <c r="AL31" i="29"/>
  <c r="AK31" i="29"/>
  <c r="AY30" i="29"/>
  <c r="AX30" i="29"/>
  <c r="AU30" i="29"/>
  <c r="AT30" i="29"/>
  <c r="AN30" i="29"/>
  <c r="AM30" i="29"/>
  <c r="AL30" i="29"/>
  <c r="AK30" i="29"/>
  <c r="AY29" i="29"/>
  <c r="AX29" i="29"/>
  <c r="AU29" i="29"/>
  <c r="AT29" i="29"/>
  <c r="AN29" i="29"/>
  <c r="AM29" i="29"/>
  <c r="AL29" i="29"/>
  <c r="AK29" i="29"/>
  <c r="AY28" i="29"/>
  <c r="AX28" i="29"/>
  <c r="AU28" i="29"/>
  <c r="AT28" i="29"/>
  <c r="AN28" i="29"/>
  <c r="AM28" i="29"/>
  <c r="AL28" i="29"/>
  <c r="AK28" i="29"/>
  <c r="AX27" i="29"/>
  <c r="AT27" i="29"/>
  <c r="AN27" i="29"/>
  <c r="AM27" i="29"/>
  <c r="AL27" i="29"/>
  <c r="AK27" i="29"/>
  <c r="AY26" i="29"/>
  <c r="AX26" i="29"/>
  <c r="AU26" i="29"/>
  <c r="AT26" i="29"/>
  <c r="AN26" i="29"/>
  <c r="AM26" i="29"/>
  <c r="AL26" i="29"/>
  <c r="AK26" i="29"/>
  <c r="AY25" i="29"/>
  <c r="AX25" i="29"/>
  <c r="AU25" i="29"/>
  <c r="AT25" i="29"/>
  <c r="AN25" i="29"/>
  <c r="AM25" i="29"/>
  <c r="AL25" i="29"/>
  <c r="AK25" i="29"/>
  <c r="AY24" i="29"/>
  <c r="AX24" i="29"/>
  <c r="AU24" i="29"/>
  <c r="AT24" i="29"/>
  <c r="AN24" i="29"/>
  <c r="AM24" i="29"/>
  <c r="AL24" i="29"/>
  <c r="AK24" i="29"/>
  <c r="AY23" i="29"/>
  <c r="AX23" i="29"/>
  <c r="AT23" i="29"/>
  <c r="AN23" i="29"/>
  <c r="AM23" i="29"/>
  <c r="AL23" i="29"/>
  <c r="AK23" i="29"/>
  <c r="AY22" i="29"/>
  <c r="AX22" i="29"/>
  <c r="AU22" i="29"/>
  <c r="AT22" i="29"/>
  <c r="AN22" i="29"/>
  <c r="AM22" i="29"/>
  <c r="AL22" i="29"/>
  <c r="AK22" i="29"/>
  <c r="AX21" i="29"/>
  <c r="AT21" i="29"/>
  <c r="AN21" i="29"/>
  <c r="AM21" i="29"/>
  <c r="AL21" i="29"/>
  <c r="AK21" i="29"/>
  <c r="AY20" i="29"/>
  <c r="AX20" i="29"/>
  <c r="AU20" i="29"/>
  <c r="AT20" i="29"/>
  <c r="AN20" i="29"/>
  <c r="AM20" i="29"/>
  <c r="AL20" i="29"/>
  <c r="AK20" i="29"/>
  <c r="AY19" i="29"/>
  <c r="AX19" i="29"/>
  <c r="AT19" i="29"/>
  <c r="AN19" i="29"/>
  <c r="AM19" i="29"/>
  <c r="AL19" i="29"/>
  <c r="AK19" i="29"/>
  <c r="AY18" i="29"/>
  <c r="AX18" i="29"/>
  <c r="AU18" i="29"/>
  <c r="AT18" i="29"/>
  <c r="AN18" i="29"/>
  <c r="AM18" i="29"/>
  <c r="AL18" i="29"/>
  <c r="AK18" i="29"/>
  <c r="AY17" i="29"/>
  <c r="AX17" i="29"/>
  <c r="AT17" i="29"/>
  <c r="AN17" i="29"/>
  <c r="AM17" i="29"/>
  <c r="AL17" i="29"/>
  <c r="AK17" i="29"/>
  <c r="AY16" i="29"/>
  <c r="AX16" i="29"/>
  <c r="AU16" i="29"/>
  <c r="AT16" i="29"/>
  <c r="AN16" i="29"/>
  <c r="AM16" i="29"/>
  <c r="AL16" i="29"/>
  <c r="AK16" i="29"/>
  <c r="AY15" i="29"/>
  <c r="AX15" i="29"/>
  <c r="AU15" i="29"/>
  <c r="AT15" i="29"/>
  <c r="AN15" i="29"/>
  <c r="AM15" i="29"/>
  <c r="AL15" i="29"/>
  <c r="AK15" i="29"/>
  <c r="AY14" i="29"/>
  <c r="AX14" i="29"/>
  <c r="AU14" i="29"/>
  <c r="AT14" i="29"/>
  <c r="AN14" i="29"/>
  <c r="AM14" i="29"/>
  <c r="AL14" i="29"/>
  <c r="AK14" i="29"/>
  <c r="AX13" i="29"/>
  <c r="AT13" i="29"/>
  <c r="AN13" i="29"/>
  <c r="AM13" i="29"/>
  <c r="AL13" i="29"/>
  <c r="AK13" i="29"/>
  <c r="AY12" i="29"/>
  <c r="AX12" i="29"/>
  <c r="AU12" i="29"/>
  <c r="AT12" i="29"/>
  <c r="AN12" i="29"/>
  <c r="AM12" i="29"/>
  <c r="AL12" i="29"/>
  <c r="AK12" i="29"/>
  <c r="AY11" i="29"/>
  <c r="AX11" i="29"/>
  <c r="AU11" i="29"/>
  <c r="AT11" i="29"/>
  <c r="AN11" i="29"/>
  <c r="AM11" i="29"/>
  <c r="AL11" i="29"/>
  <c r="AK11" i="29"/>
  <c r="AX10" i="29"/>
  <c r="AT10" i="29"/>
  <c r="AN10" i="29"/>
  <c r="AM10" i="29"/>
  <c r="AL10" i="29"/>
  <c r="AK10" i="29"/>
  <c r="AY9" i="29"/>
  <c r="AX9" i="29"/>
  <c r="AT9" i="29"/>
  <c r="AN9" i="29"/>
  <c r="AM9" i="29"/>
  <c r="AL9" i="29"/>
  <c r="AK9" i="29"/>
  <c r="AX8" i="29"/>
  <c r="AT8" i="29"/>
  <c r="AN8" i="29"/>
  <c r="AM8" i="29"/>
  <c r="AL8" i="29"/>
  <c r="AK8" i="29"/>
  <c r="AY7" i="29"/>
  <c r="AX7" i="29"/>
  <c r="AU7" i="29"/>
  <c r="AT7" i="29"/>
  <c r="AN7" i="29"/>
  <c r="AM7" i="29"/>
  <c r="AL7" i="29"/>
  <c r="AK7" i="29"/>
  <c r="AX6" i="29"/>
  <c r="AT6" i="29"/>
  <c r="AN6" i="29"/>
  <c r="AM6" i="29"/>
  <c r="AL6" i="29"/>
  <c r="AK6" i="29"/>
  <c r="AY5" i="29"/>
  <c r="AX5" i="29"/>
  <c r="AT5" i="29"/>
  <c r="AN5" i="29"/>
  <c r="AM5" i="29"/>
  <c r="AL5" i="29"/>
  <c r="AK5" i="29"/>
  <c r="AY4" i="29"/>
  <c r="AX4" i="29"/>
  <c r="AT4" i="29"/>
  <c r="AN4" i="29"/>
  <c r="AM4" i="29"/>
  <c r="AL4" i="29"/>
  <c r="AK4" i="29"/>
  <c r="AY3" i="29"/>
  <c r="AX3" i="29"/>
  <c r="AT3" i="29"/>
  <c r="AN3" i="29"/>
  <c r="AM3" i="29"/>
  <c r="AL3" i="29"/>
  <c r="AK3" i="29"/>
  <c r="AY47" i="28"/>
  <c r="AX47" i="28"/>
  <c r="AU47" i="28"/>
  <c r="AV47" i="28" s="1"/>
  <c r="AT47" i="28"/>
  <c r="AN47" i="28"/>
  <c r="AM47" i="28"/>
  <c r="AL47" i="28"/>
  <c r="AK47" i="28"/>
  <c r="AY46" i="28"/>
  <c r="AX46" i="28"/>
  <c r="AU46" i="28"/>
  <c r="AV46" i="28" s="1"/>
  <c r="AT46" i="28"/>
  <c r="AN46" i="28"/>
  <c r="AM46" i="28"/>
  <c r="AL46" i="28"/>
  <c r="AK46" i="28"/>
  <c r="AY45" i="28"/>
  <c r="AX45" i="28"/>
  <c r="AU45" i="28"/>
  <c r="AV45" i="28" s="1"/>
  <c r="AT45" i="28"/>
  <c r="AN45" i="28"/>
  <c r="AM45" i="28"/>
  <c r="AL45" i="28"/>
  <c r="AK45" i="28"/>
  <c r="AY44" i="28"/>
  <c r="AX44" i="28"/>
  <c r="AU44" i="28"/>
  <c r="AT44" i="28"/>
  <c r="AN44" i="28"/>
  <c r="AM44" i="28"/>
  <c r="AL44" i="28"/>
  <c r="AK44" i="28"/>
  <c r="AY43" i="28"/>
  <c r="AX43" i="28"/>
  <c r="AU43" i="28"/>
  <c r="AZ43" i="28" s="1"/>
  <c r="AT43" i="28"/>
  <c r="AN43" i="28"/>
  <c r="AM43" i="28"/>
  <c r="AL43" i="28"/>
  <c r="AK43" i="28"/>
  <c r="AY42" i="28"/>
  <c r="AX42" i="28"/>
  <c r="AU42" i="28"/>
  <c r="AT42" i="28"/>
  <c r="AN42" i="28"/>
  <c r="AM42" i="28"/>
  <c r="AL42" i="28"/>
  <c r="AK42" i="28"/>
  <c r="AY41" i="28"/>
  <c r="AX41" i="28"/>
  <c r="AU41" i="28"/>
  <c r="AV41" i="28" s="1"/>
  <c r="AT41" i="28"/>
  <c r="AN41" i="28"/>
  <c r="AM41" i="28"/>
  <c r="AL41" i="28"/>
  <c r="AK41" i="28"/>
  <c r="AY40" i="28"/>
  <c r="AX40" i="28"/>
  <c r="AU40" i="28"/>
  <c r="AT40" i="28"/>
  <c r="AN40" i="28"/>
  <c r="AM40" i="28"/>
  <c r="AL40" i="28"/>
  <c r="AK40" i="28"/>
  <c r="AY39" i="28"/>
  <c r="AX39" i="28"/>
  <c r="AU39" i="28"/>
  <c r="AZ39" i="28" s="1"/>
  <c r="AT39" i="28"/>
  <c r="AN39" i="28"/>
  <c r="AM39" i="28"/>
  <c r="AL39" i="28"/>
  <c r="AK39" i="28"/>
  <c r="AY38" i="28"/>
  <c r="AX38" i="28"/>
  <c r="AU38" i="28"/>
  <c r="AT38" i="28"/>
  <c r="AN38" i="28"/>
  <c r="AM38" i="28"/>
  <c r="AL38" i="28"/>
  <c r="AK38" i="28"/>
  <c r="AY37" i="28"/>
  <c r="AX37" i="28"/>
  <c r="AU37" i="28"/>
  <c r="AT37" i="28"/>
  <c r="AN37" i="28"/>
  <c r="AM37" i="28"/>
  <c r="AL37" i="28"/>
  <c r="AK37" i="28"/>
  <c r="AY36" i="28"/>
  <c r="AX36" i="28"/>
  <c r="AU36" i="28"/>
  <c r="AT36" i="28"/>
  <c r="AN36" i="28"/>
  <c r="AM36" i="28"/>
  <c r="AL36" i="28"/>
  <c r="AK36" i="28"/>
  <c r="AY35" i="28"/>
  <c r="AX35" i="28"/>
  <c r="AU35" i="28"/>
  <c r="AT35" i="28"/>
  <c r="AN35" i="28"/>
  <c r="AM35" i="28"/>
  <c r="AL35" i="28"/>
  <c r="AK35" i="28"/>
  <c r="AY34" i="28"/>
  <c r="AX34" i="28"/>
  <c r="AU34" i="28"/>
  <c r="AT34" i="28"/>
  <c r="AN34" i="28"/>
  <c r="AM34" i="28"/>
  <c r="AL34" i="28"/>
  <c r="AK34" i="28"/>
  <c r="AY33" i="28"/>
  <c r="AX33" i="28"/>
  <c r="AU33" i="28"/>
  <c r="AT33" i="28"/>
  <c r="AN33" i="28"/>
  <c r="AM33" i="28"/>
  <c r="AL33" i="28"/>
  <c r="AK33" i="28"/>
  <c r="AY32" i="28"/>
  <c r="AX32" i="28"/>
  <c r="AU32" i="28"/>
  <c r="AT32" i="28"/>
  <c r="AN32" i="28"/>
  <c r="AM32" i="28"/>
  <c r="AL32" i="28"/>
  <c r="AK32" i="28"/>
  <c r="AY31" i="28"/>
  <c r="AX31" i="28"/>
  <c r="AU31" i="28"/>
  <c r="AT31" i="28"/>
  <c r="AN31" i="28"/>
  <c r="AM31" i="28"/>
  <c r="AL31" i="28"/>
  <c r="AK31" i="28"/>
  <c r="AY30" i="28"/>
  <c r="AX30" i="28"/>
  <c r="AU30" i="28"/>
  <c r="AT30" i="28"/>
  <c r="AN30" i="28"/>
  <c r="AM30" i="28"/>
  <c r="AL30" i="28"/>
  <c r="AK30" i="28"/>
  <c r="AY29" i="28"/>
  <c r="AX29" i="28"/>
  <c r="AT29" i="28"/>
  <c r="AN29" i="28"/>
  <c r="AM29" i="28"/>
  <c r="AL29" i="28"/>
  <c r="AK29" i="28"/>
  <c r="AY28" i="28"/>
  <c r="AX28" i="28"/>
  <c r="AU28" i="28"/>
  <c r="AT28" i="28"/>
  <c r="AN28" i="28"/>
  <c r="AM28" i="28"/>
  <c r="AL28" i="28"/>
  <c r="AK28" i="28"/>
  <c r="AY27" i="28"/>
  <c r="AX27" i="28"/>
  <c r="AT27" i="28"/>
  <c r="AN27" i="28"/>
  <c r="AM27" i="28"/>
  <c r="AL27" i="28"/>
  <c r="AK27" i="28"/>
  <c r="AY26" i="28"/>
  <c r="AX26" i="28"/>
  <c r="AU26" i="28"/>
  <c r="AT26" i="28"/>
  <c r="AN26" i="28"/>
  <c r="AM26" i="28"/>
  <c r="AL26" i="28"/>
  <c r="AK26" i="28"/>
  <c r="AY25" i="28"/>
  <c r="AX25" i="28"/>
  <c r="AU25" i="28"/>
  <c r="AT25" i="28"/>
  <c r="AN25" i="28"/>
  <c r="AM25" i="28"/>
  <c r="AL25" i="28"/>
  <c r="AK25" i="28"/>
  <c r="AY24" i="28"/>
  <c r="AX24" i="28"/>
  <c r="AU24" i="28"/>
  <c r="AT24" i="28"/>
  <c r="AN24" i="28"/>
  <c r="AM24" i="28"/>
  <c r="AL24" i="28"/>
  <c r="AK24" i="28"/>
  <c r="AY23" i="28"/>
  <c r="AX23" i="28"/>
  <c r="AT23" i="28"/>
  <c r="AN23" i="28"/>
  <c r="AM23" i="28"/>
  <c r="AL23" i="28"/>
  <c r="AK23" i="28"/>
  <c r="AY22" i="28"/>
  <c r="AX22" i="28"/>
  <c r="AU22" i="28"/>
  <c r="AT22" i="28"/>
  <c r="AN22" i="28"/>
  <c r="AM22" i="28"/>
  <c r="AL22" i="28"/>
  <c r="AK22" i="28"/>
  <c r="AX21" i="28"/>
  <c r="AT21" i="28"/>
  <c r="AN21" i="28"/>
  <c r="AM21" i="28"/>
  <c r="AL21" i="28"/>
  <c r="AK21" i="28"/>
  <c r="AY20" i="28"/>
  <c r="AX20" i="28"/>
  <c r="AU20" i="28"/>
  <c r="AT20" i="28"/>
  <c r="AN20" i="28"/>
  <c r="AM20" i="28"/>
  <c r="AL20" i="28"/>
  <c r="AK20" i="28"/>
  <c r="AY19" i="28"/>
  <c r="AX19" i="28"/>
  <c r="AT19" i="28"/>
  <c r="AN19" i="28"/>
  <c r="AM19" i="28"/>
  <c r="AL19" i="28"/>
  <c r="AK19" i="28"/>
  <c r="AY18" i="28"/>
  <c r="AX18" i="28"/>
  <c r="AU18" i="28"/>
  <c r="AT18" i="28"/>
  <c r="AN18" i="28"/>
  <c r="AM18" i="28"/>
  <c r="AL18" i="28"/>
  <c r="AK18" i="28"/>
  <c r="AY17" i="28"/>
  <c r="AX17" i="28"/>
  <c r="AT17" i="28"/>
  <c r="AN17" i="28"/>
  <c r="AM17" i="28"/>
  <c r="AL17" i="28"/>
  <c r="AK17" i="28"/>
  <c r="AY16" i="28"/>
  <c r="AX16" i="28"/>
  <c r="AU16" i="28"/>
  <c r="AT16" i="28"/>
  <c r="AN16" i="28"/>
  <c r="AM16" i="28"/>
  <c r="AL16" i="28"/>
  <c r="AK16" i="28"/>
  <c r="AY15" i="28"/>
  <c r="AX15" i="28"/>
  <c r="AU15" i="28"/>
  <c r="AT15" i="28"/>
  <c r="AN15" i="28"/>
  <c r="AM15" i="28"/>
  <c r="AL15" i="28"/>
  <c r="AK15" i="28"/>
  <c r="AY14" i="28"/>
  <c r="AX14" i="28"/>
  <c r="AU14" i="28"/>
  <c r="AT14" i="28"/>
  <c r="AN14" i="28"/>
  <c r="AM14" i="28"/>
  <c r="AL14" i="28"/>
  <c r="AK14" i="28"/>
  <c r="AY13" i="28"/>
  <c r="AX13" i="28"/>
  <c r="AT13" i="28"/>
  <c r="AN13" i="28"/>
  <c r="AM13" i="28"/>
  <c r="AL13" i="28"/>
  <c r="AK13" i="28"/>
  <c r="AY12" i="28"/>
  <c r="AX12" i="28"/>
  <c r="AU12" i="28"/>
  <c r="AT12" i="28"/>
  <c r="AN12" i="28"/>
  <c r="AM12" i="28"/>
  <c r="AL12" i="28"/>
  <c r="AK12" i="28"/>
  <c r="AY11" i="28"/>
  <c r="AX11" i="28"/>
  <c r="AU11" i="28"/>
  <c r="AT11" i="28"/>
  <c r="AN11" i="28"/>
  <c r="AM11" i="28"/>
  <c r="AL11" i="28"/>
  <c r="AK11" i="28"/>
  <c r="AX10" i="28"/>
  <c r="AT10" i="28"/>
  <c r="AN10" i="28"/>
  <c r="AM10" i="28"/>
  <c r="AL10" i="28"/>
  <c r="AK10" i="28"/>
  <c r="AX9" i="28"/>
  <c r="AT9" i="28"/>
  <c r="AN9" i="28"/>
  <c r="AM9" i="28"/>
  <c r="AL9" i="28"/>
  <c r="AK9" i="28"/>
  <c r="AX8" i="28"/>
  <c r="AT8" i="28"/>
  <c r="AN8" i="28"/>
  <c r="AM8" i="28"/>
  <c r="AL8" i="28"/>
  <c r="AK8" i="28"/>
  <c r="AY7" i="28"/>
  <c r="AX7" i="28"/>
  <c r="AU7" i="28"/>
  <c r="AT7" i="28"/>
  <c r="AN7" i="28"/>
  <c r="AM7" i="28"/>
  <c r="AL7" i="28"/>
  <c r="AK7" i="28"/>
  <c r="AX6" i="28"/>
  <c r="AT6" i="28"/>
  <c r="AN6" i="28"/>
  <c r="AM6" i="28"/>
  <c r="AL6" i="28"/>
  <c r="AK6" i="28"/>
  <c r="AY5" i="28"/>
  <c r="AX5" i="28"/>
  <c r="AU5" i="28"/>
  <c r="AT5" i="28"/>
  <c r="AN5" i="28"/>
  <c r="AM5" i="28"/>
  <c r="AL5" i="28"/>
  <c r="AK5" i="28"/>
  <c r="AY4" i="28"/>
  <c r="AX4" i="28"/>
  <c r="AT4" i="28"/>
  <c r="AN4" i="28"/>
  <c r="AM4" i="28"/>
  <c r="AL4" i="28"/>
  <c r="AK4" i="28"/>
  <c r="AY3" i="28"/>
  <c r="AX3" i="28"/>
  <c r="AT3" i="28"/>
  <c r="AN3" i="28"/>
  <c r="AM3" i="28"/>
  <c r="AL3" i="28"/>
  <c r="AK3" i="28"/>
  <c r="AY47" i="27"/>
  <c r="AX47" i="27"/>
  <c r="AU47" i="27"/>
  <c r="AZ47" i="27" s="1"/>
  <c r="AT47" i="27"/>
  <c r="AN47" i="27"/>
  <c r="AM47" i="27"/>
  <c r="AL47" i="27"/>
  <c r="AK47" i="27"/>
  <c r="AY46" i="27"/>
  <c r="AX46" i="27"/>
  <c r="AU46" i="27"/>
  <c r="AZ46" i="27" s="1"/>
  <c r="AT46" i="27"/>
  <c r="AN46" i="27"/>
  <c r="AM46" i="27"/>
  <c r="AL46" i="27"/>
  <c r="AK46" i="27"/>
  <c r="AO46" i="27" s="1"/>
  <c r="BB46" i="27" s="1"/>
  <c r="AY45" i="27"/>
  <c r="AX45" i="27"/>
  <c r="AU45" i="27"/>
  <c r="AV45" i="27" s="1"/>
  <c r="AT45" i="27"/>
  <c r="AN45" i="27"/>
  <c r="AM45" i="27"/>
  <c r="AL45" i="27"/>
  <c r="AK45" i="27"/>
  <c r="AY44" i="27"/>
  <c r="AX44" i="27"/>
  <c r="AU44" i="27"/>
  <c r="AZ44" i="27" s="1"/>
  <c r="AT44" i="27"/>
  <c r="AN44" i="27"/>
  <c r="AM44" i="27"/>
  <c r="AL44" i="27"/>
  <c r="AK44" i="27"/>
  <c r="AY43" i="27"/>
  <c r="AX43" i="27"/>
  <c r="AU43" i="27"/>
  <c r="AT43" i="27"/>
  <c r="AN43" i="27"/>
  <c r="AM43" i="27"/>
  <c r="AL43" i="27"/>
  <c r="AK43" i="27"/>
  <c r="AO43" i="27" s="1"/>
  <c r="AY42" i="27"/>
  <c r="AX42" i="27"/>
  <c r="AU42" i="27"/>
  <c r="AZ42" i="27" s="1"/>
  <c r="AT42" i="27"/>
  <c r="AN42" i="27"/>
  <c r="AM42" i="27"/>
  <c r="AL42" i="27"/>
  <c r="AK42" i="27"/>
  <c r="AY41" i="27"/>
  <c r="AX41" i="27"/>
  <c r="AU41" i="27"/>
  <c r="AV41" i="27" s="1"/>
  <c r="AT41" i="27"/>
  <c r="AN41" i="27"/>
  <c r="AM41" i="27"/>
  <c r="AL41" i="27"/>
  <c r="AK41" i="27"/>
  <c r="AY40" i="27"/>
  <c r="AX40" i="27"/>
  <c r="AU40" i="27"/>
  <c r="AT40" i="27"/>
  <c r="AN40" i="27"/>
  <c r="AM40" i="27"/>
  <c r="AL40" i="27"/>
  <c r="AK40" i="27"/>
  <c r="AY39" i="27"/>
  <c r="AX39" i="27"/>
  <c r="AU39" i="27"/>
  <c r="AZ39" i="27" s="1"/>
  <c r="AT39" i="27"/>
  <c r="AN39" i="27"/>
  <c r="AM39" i="27"/>
  <c r="AL39" i="27"/>
  <c r="AK39" i="27"/>
  <c r="AY38" i="27"/>
  <c r="AX38" i="27"/>
  <c r="AU38" i="27"/>
  <c r="AT38" i="27"/>
  <c r="AN38" i="27"/>
  <c r="AM38" i="27"/>
  <c r="AL38" i="27"/>
  <c r="AK38" i="27"/>
  <c r="AY37" i="27"/>
  <c r="AX37" i="27"/>
  <c r="AU37" i="27"/>
  <c r="AT37" i="27"/>
  <c r="AN37" i="27"/>
  <c r="AM37" i="27"/>
  <c r="AL37" i="27"/>
  <c r="AK37" i="27"/>
  <c r="AY36" i="27"/>
  <c r="AX36" i="27"/>
  <c r="AU36" i="27"/>
  <c r="AT36" i="27"/>
  <c r="AN36" i="27"/>
  <c r="AM36" i="27"/>
  <c r="AL36" i="27"/>
  <c r="AK36" i="27"/>
  <c r="AY35" i="27"/>
  <c r="AX35" i="27"/>
  <c r="AU35" i="27"/>
  <c r="AT35" i="27"/>
  <c r="AN35" i="27"/>
  <c r="AM35" i="27"/>
  <c r="AL35" i="27"/>
  <c r="AK35" i="27"/>
  <c r="AY34" i="27"/>
  <c r="AX34" i="27"/>
  <c r="AU34" i="27"/>
  <c r="AT34" i="27"/>
  <c r="AN34" i="27"/>
  <c r="AM34" i="27"/>
  <c r="AL34" i="27"/>
  <c r="AK34" i="27"/>
  <c r="AY33" i="27"/>
  <c r="AX33" i="27"/>
  <c r="AU33" i="27"/>
  <c r="AT33" i="27"/>
  <c r="AN33" i="27"/>
  <c r="AM33" i="27"/>
  <c r="AL33" i="27"/>
  <c r="AK33" i="27"/>
  <c r="AY32" i="27"/>
  <c r="AX32" i="27"/>
  <c r="AU32" i="27"/>
  <c r="AT32" i="27"/>
  <c r="AN32" i="27"/>
  <c r="AM32" i="27"/>
  <c r="AL32" i="27"/>
  <c r="AK32" i="27"/>
  <c r="AY31" i="27"/>
  <c r="AX31" i="27"/>
  <c r="AU31" i="27"/>
  <c r="AT31" i="27"/>
  <c r="AN31" i="27"/>
  <c r="AM31" i="27"/>
  <c r="AL31" i="27"/>
  <c r="AK31" i="27"/>
  <c r="AY30" i="27"/>
  <c r="AX30" i="27"/>
  <c r="AU30" i="27"/>
  <c r="AT30" i="27"/>
  <c r="AN30" i="27"/>
  <c r="AM30" i="27"/>
  <c r="AL30" i="27"/>
  <c r="AK30" i="27"/>
  <c r="AY29" i="27"/>
  <c r="AX29" i="27"/>
  <c r="AT29" i="27"/>
  <c r="AN29" i="27"/>
  <c r="AM29" i="27"/>
  <c r="AL29" i="27"/>
  <c r="AK29" i="27"/>
  <c r="AY28" i="27"/>
  <c r="AX28" i="27"/>
  <c r="AU28" i="27"/>
  <c r="AT28" i="27"/>
  <c r="AN28" i="27"/>
  <c r="AM28" i="27"/>
  <c r="AL28" i="27"/>
  <c r="AK28" i="27"/>
  <c r="AY27" i="27"/>
  <c r="AX27" i="27"/>
  <c r="AT27" i="27"/>
  <c r="AN27" i="27"/>
  <c r="AM27" i="27"/>
  <c r="AL27" i="27"/>
  <c r="AK27" i="27"/>
  <c r="AY26" i="27"/>
  <c r="AX26" i="27"/>
  <c r="AU26" i="27"/>
  <c r="AT26" i="27"/>
  <c r="AN26" i="27"/>
  <c r="AM26" i="27"/>
  <c r="AL26" i="27"/>
  <c r="AK26" i="27"/>
  <c r="AY25" i="27"/>
  <c r="AX25" i="27"/>
  <c r="AU25" i="27"/>
  <c r="AT25" i="27"/>
  <c r="AN25" i="27"/>
  <c r="AM25" i="27"/>
  <c r="AL25" i="27"/>
  <c r="AK25" i="27"/>
  <c r="AY24" i="27"/>
  <c r="AX24" i="27"/>
  <c r="AU24" i="27"/>
  <c r="AT24" i="27"/>
  <c r="AN24" i="27"/>
  <c r="AM24" i="27"/>
  <c r="AL24" i="27"/>
  <c r="AK24" i="27"/>
  <c r="AY23" i="27"/>
  <c r="AX23" i="27"/>
  <c r="AU23" i="27"/>
  <c r="AT23" i="27"/>
  <c r="AN23" i="27"/>
  <c r="AM23" i="27"/>
  <c r="AL23" i="27"/>
  <c r="AK23" i="27"/>
  <c r="AY22" i="27"/>
  <c r="AX22" i="27"/>
  <c r="AU22" i="27"/>
  <c r="AT22" i="27"/>
  <c r="AN22" i="27"/>
  <c r="AM22" i="27"/>
  <c r="AL22" i="27"/>
  <c r="AK22" i="27"/>
  <c r="AX21" i="27"/>
  <c r="AT21" i="27"/>
  <c r="AN21" i="27"/>
  <c r="AM21" i="27"/>
  <c r="AL21" i="27"/>
  <c r="AK21" i="27"/>
  <c r="AY20" i="27"/>
  <c r="AX20" i="27"/>
  <c r="AU20" i="27"/>
  <c r="AT20" i="27"/>
  <c r="AN20" i="27"/>
  <c r="AM20" i="27"/>
  <c r="AL20" i="27"/>
  <c r="AK20" i="27"/>
  <c r="AY19" i="27"/>
  <c r="AX19" i="27"/>
  <c r="AT19" i="27"/>
  <c r="AN19" i="27"/>
  <c r="AM19" i="27"/>
  <c r="AL19" i="27"/>
  <c r="AK19" i="27"/>
  <c r="AY18" i="27"/>
  <c r="AX18" i="27"/>
  <c r="AU18" i="27"/>
  <c r="AT18" i="27"/>
  <c r="AN18" i="27"/>
  <c r="AM18" i="27"/>
  <c r="AL18" i="27"/>
  <c r="AK18" i="27"/>
  <c r="AY17" i="27"/>
  <c r="AX17" i="27"/>
  <c r="AT17" i="27"/>
  <c r="AN17" i="27"/>
  <c r="AM17" i="27"/>
  <c r="AL17" i="27"/>
  <c r="AK17" i="27"/>
  <c r="AY16" i="27"/>
  <c r="AX16" i="27"/>
  <c r="AU16" i="27"/>
  <c r="AT16" i="27"/>
  <c r="AN16" i="27"/>
  <c r="AM16" i="27"/>
  <c r="AL16" i="27"/>
  <c r="AK16" i="27"/>
  <c r="AY15" i="27"/>
  <c r="AX15" i="27"/>
  <c r="AU15" i="27"/>
  <c r="AT15" i="27"/>
  <c r="AN15" i="27"/>
  <c r="AM15" i="27"/>
  <c r="AL15" i="27"/>
  <c r="AK15" i="27"/>
  <c r="AY14" i="27"/>
  <c r="AX14" i="27"/>
  <c r="AU14" i="27"/>
  <c r="AT14" i="27"/>
  <c r="AN14" i="27"/>
  <c r="AM14" i="27"/>
  <c r="AL14" i="27"/>
  <c r="AK14" i="27"/>
  <c r="AY13" i="27"/>
  <c r="AX13" i="27"/>
  <c r="AT13" i="27"/>
  <c r="AN13" i="27"/>
  <c r="AM13" i="27"/>
  <c r="AL13" i="27"/>
  <c r="AK13" i="27"/>
  <c r="AY12" i="27"/>
  <c r="AX12" i="27"/>
  <c r="AU12" i="27"/>
  <c r="AT12" i="27"/>
  <c r="AN12" i="27"/>
  <c r="AM12" i="27"/>
  <c r="AL12" i="27"/>
  <c r="AK12" i="27"/>
  <c r="AY11" i="27"/>
  <c r="AX11" i="27"/>
  <c r="AU11" i="27"/>
  <c r="AT11" i="27"/>
  <c r="AN11" i="27"/>
  <c r="AM11" i="27"/>
  <c r="AL11" i="27"/>
  <c r="AK11" i="27"/>
  <c r="AX10" i="27"/>
  <c r="AT10" i="27"/>
  <c r="AN10" i="27"/>
  <c r="AM10" i="27"/>
  <c r="AL10" i="27"/>
  <c r="AK10" i="27"/>
  <c r="AX9" i="27"/>
  <c r="AT9" i="27"/>
  <c r="AN9" i="27"/>
  <c r="AM9" i="27"/>
  <c r="AL9" i="27"/>
  <c r="AK9" i="27"/>
  <c r="AX8" i="27"/>
  <c r="AT8" i="27"/>
  <c r="AN8" i="27"/>
  <c r="AM8" i="27"/>
  <c r="AL8" i="27"/>
  <c r="AK8" i="27"/>
  <c r="AY7" i="27"/>
  <c r="AX7" i="27"/>
  <c r="AU7" i="27"/>
  <c r="AT7" i="27"/>
  <c r="AN7" i="27"/>
  <c r="AM7" i="27"/>
  <c r="AL7" i="27"/>
  <c r="AK7" i="27"/>
  <c r="AX6" i="27"/>
  <c r="AT6" i="27"/>
  <c r="AN6" i="27"/>
  <c r="AM6" i="27"/>
  <c r="AL6" i="27"/>
  <c r="AK6" i="27"/>
  <c r="AY5" i="27"/>
  <c r="AX5" i="27"/>
  <c r="AU5" i="27"/>
  <c r="AT5" i="27"/>
  <c r="AN5" i="27"/>
  <c r="AM5" i="27"/>
  <c r="AL5" i="27"/>
  <c r="AK5" i="27"/>
  <c r="AY4" i="27"/>
  <c r="AX4" i="27"/>
  <c r="AT4" i="27"/>
  <c r="AN4" i="27"/>
  <c r="AM4" i="27"/>
  <c r="AL4" i="27"/>
  <c r="AK4" i="27"/>
  <c r="AY3" i="27"/>
  <c r="AX3" i="27"/>
  <c r="AT3" i="27"/>
  <c r="AN3" i="27"/>
  <c r="AM3" i="27"/>
  <c r="AL3" i="27"/>
  <c r="AK3" i="27"/>
  <c r="AY47" i="26"/>
  <c r="AX47" i="26"/>
  <c r="AU47" i="26"/>
  <c r="AT47" i="26"/>
  <c r="AN47" i="26"/>
  <c r="AM47" i="26"/>
  <c r="AL47" i="26"/>
  <c r="AK47" i="26"/>
  <c r="AY46" i="26"/>
  <c r="AX46" i="26"/>
  <c r="AU46" i="26"/>
  <c r="AT46" i="26"/>
  <c r="AN46" i="26"/>
  <c r="AM46" i="26"/>
  <c r="AL46" i="26"/>
  <c r="AK46" i="26"/>
  <c r="AY45" i="26"/>
  <c r="AX45" i="26"/>
  <c r="AU45" i="26"/>
  <c r="AZ45" i="26" s="1"/>
  <c r="AT45" i="26"/>
  <c r="AN45" i="26"/>
  <c r="AM45" i="26"/>
  <c r="AL45" i="26"/>
  <c r="AK45" i="26"/>
  <c r="AY44" i="26"/>
  <c r="AX44" i="26"/>
  <c r="AU44" i="26"/>
  <c r="AV44" i="26" s="1"/>
  <c r="AT44" i="26"/>
  <c r="AN44" i="26"/>
  <c r="AM44" i="26"/>
  <c r="AL44" i="26"/>
  <c r="AK44" i="26"/>
  <c r="AO44" i="26" s="1"/>
  <c r="AY43" i="26"/>
  <c r="AX43" i="26"/>
  <c r="AU43" i="26"/>
  <c r="AV43" i="26" s="1"/>
  <c r="AT43" i="26"/>
  <c r="AN43" i="26"/>
  <c r="AM43" i="26"/>
  <c r="AL43" i="26"/>
  <c r="AK43" i="26"/>
  <c r="AO43" i="26" s="1"/>
  <c r="BC43" i="26" s="1"/>
  <c r="AY42" i="26"/>
  <c r="AX42" i="26"/>
  <c r="AU42" i="26"/>
  <c r="AZ42" i="26" s="1"/>
  <c r="AT42" i="26"/>
  <c r="AN42" i="26"/>
  <c r="AM42" i="26"/>
  <c r="AL42" i="26"/>
  <c r="AK42" i="26"/>
  <c r="AY41" i="26"/>
  <c r="AX41" i="26"/>
  <c r="AU41" i="26"/>
  <c r="AT41" i="26"/>
  <c r="AN41" i="26"/>
  <c r="AM41" i="26"/>
  <c r="AL41" i="26"/>
  <c r="AK41" i="26"/>
  <c r="AY40" i="26"/>
  <c r="AX40" i="26"/>
  <c r="AU40" i="26"/>
  <c r="AZ40" i="26" s="1"/>
  <c r="AT40" i="26"/>
  <c r="AN40" i="26"/>
  <c r="AM40" i="26"/>
  <c r="AL40" i="26"/>
  <c r="AK40" i="26"/>
  <c r="AY39" i="26"/>
  <c r="AX39" i="26"/>
  <c r="AU39" i="26"/>
  <c r="AV39" i="26" s="1"/>
  <c r="AT39" i="26"/>
  <c r="AN39" i="26"/>
  <c r="AM39" i="26"/>
  <c r="AL39" i="26"/>
  <c r="AK39" i="26"/>
  <c r="AY38" i="26"/>
  <c r="AX38" i="26"/>
  <c r="AU38" i="26"/>
  <c r="AZ38" i="26" s="1"/>
  <c r="AT38" i="26"/>
  <c r="AN38" i="26"/>
  <c r="AM38" i="26"/>
  <c r="AL38" i="26"/>
  <c r="AK38" i="26"/>
  <c r="AY37" i="26"/>
  <c r="AX37" i="26"/>
  <c r="AU37" i="26"/>
  <c r="AT37" i="26"/>
  <c r="AN37" i="26"/>
  <c r="AM37" i="26"/>
  <c r="AL37" i="26"/>
  <c r="AK37" i="26"/>
  <c r="AY36" i="26"/>
  <c r="AX36" i="26"/>
  <c r="AU36" i="26"/>
  <c r="AT36" i="26"/>
  <c r="AN36" i="26"/>
  <c r="AM36" i="26"/>
  <c r="AL36" i="26"/>
  <c r="AK36" i="26"/>
  <c r="AY35" i="26"/>
  <c r="AX35" i="26"/>
  <c r="AU35" i="26"/>
  <c r="AT35" i="26"/>
  <c r="AN35" i="26"/>
  <c r="AM35" i="26"/>
  <c r="AL35" i="26"/>
  <c r="AK35" i="26"/>
  <c r="AY34" i="26"/>
  <c r="AX34" i="26"/>
  <c r="AU34" i="26"/>
  <c r="AT34" i="26"/>
  <c r="AN34" i="26"/>
  <c r="AM34" i="26"/>
  <c r="AL34" i="26"/>
  <c r="AK34" i="26"/>
  <c r="AY33" i="26"/>
  <c r="AX33" i="26"/>
  <c r="AU33" i="26"/>
  <c r="AT33" i="26"/>
  <c r="AN33" i="26"/>
  <c r="AM33" i="26"/>
  <c r="AL33" i="26"/>
  <c r="AK33" i="26"/>
  <c r="AY32" i="26"/>
  <c r="AX32" i="26"/>
  <c r="AU32" i="26"/>
  <c r="AT32" i="26"/>
  <c r="AN32" i="26"/>
  <c r="AM32" i="26"/>
  <c r="AL32" i="26"/>
  <c r="AK32" i="26"/>
  <c r="AY31" i="26"/>
  <c r="AX31" i="26"/>
  <c r="AU31" i="26"/>
  <c r="AT31" i="26"/>
  <c r="AN31" i="26"/>
  <c r="AM31" i="26"/>
  <c r="AL31" i="26"/>
  <c r="AK31" i="26"/>
  <c r="AY30" i="26"/>
  <c r="AX30" i="26"/>
  <c r="AU30" i="26"/>
  <c r="AT30" i="26"/>
  <c r="AN30" i="26"/>
  <c r="AM30" i="26"/>
  <c r="AL30" i="26"/>
  <c r="AK30" i="26"/>
  <c r="AY29" i="26"/>
  <c r="AX29" i="26"/>
  <c r="AT29" i="26"/>
  <c r="AN29" i="26"/>
  <c r="AM29" i="26"/>
  <c r="AL29" i="26"/>
  <c r="AK29" i="26"/>
  <c r="AY28" i="26"/>
  <c r="AX28" i="26"/>
  <c r="AU28" i="26"/>
  <c r="AT28" i="26"/>
  <c r="AN28" i="26"/>
  <c r="AM28" i="26"/>
  <c r="AL28" i="26"/>
  <c r="AK28" i="26"/>
  <c r="AX27" i="26"/>
  <c r="AT27" i="26"/>
  <c r="AN27" i="26"/>
  <c r="AM27" i="26"/>
  <c r="AL27" i="26"/>
  <c r="AK27" i="26"/>
  <c r="AY26" i="26"/>
  <c r="AX26" i="26"/>
  <c r="AU26" i="26"/>
  <c r="AT26" i="26"/>
  <c r="AN26" i="26"/>
  <c r="AM26" i="26"/>
  <c r="AL26" i="26"/>
  <c r="AK26" i="26"/>
  <c r="AY25" i="26"/>
  <c r="AX25" i="26"/>
  <c r="AU25" i="26"/>
  <c r="AT25" i="26"/>
  <c r="AN25" i="26"/>
  <c r="AM25" i="26"/>
  <c r="AL25" i="26"/>
  <c r="AK25" i="26"/>
  <c r="AY24" i="26"/>
  <c r="AX24" i="26"/>
  <c r="AU24" i="26"/>
  <c r="AT24" i="26"/>
  <c r="AN24" i="26"/>
  <c r="AM24" i="26"/>
  <c r="AL24" i="26"/>
  <c r="AK24" i="26"/>
  <c r="AY23" i="26"/>
  <c r="AX23" i="26"/>
  <c r="AT23" i="26"/>
  <c r="AN23" i="26"/>
  <c r="AM23" i="26"/>
  <c r="AL23" i="26"/>
  <c r="AK23" i="26"/>
  <c r="AY22" i="26"/>
  <c r="AX22" i="26"/>
  <c r="AU22" i="26"/>
  <c r="AT22" i="26"/>
  <c r="AN22" i="26"/>
  <c r="AM22" i="26"/>
  <c r="AL22" i="26"/>
  <c r="AK22" i="26"/>
  <c r="AX21" i="26"/>
  <c r="AT21" i="26"/>
  <c r="AN21" i="26"/>
  <c r="AM21" i="26"/>
  <c r="AL21" i="26"/>
  <c r="AK21" i="26"/>
  <c r="AY20" i="26"/>
  <c r="AX20" i="26"/>
  <c r="AU20" i="26"/>
  <c r="AT20" i="26"/>
  <c r="AN20" i="26"/>
  <c r="AM20" i="26"/>
  <c r="AL20" i="26"/>
  <c r="AK20" i="26"/>
  <c r="AX19" i="26"/>
  <c r="AT19" i="26"/>
  <c r="AN19" i="26"/>
  <c r="AM19" i="26"/>
  <c r="AL19" i="26"/>
  <c r="AK19" i="26"/>
  <c r="AY18" i="26"/>
  <c r="AX18" i="26"/>
  <c r="AU18" i="26"/>
  <c r="AT18" i="26"/>
  <c r="AN18" i="26"/>
  <c r="AM18" i="26"/>
  <c r="AL18" i="26"/>
  <c r="AK18" i="26"/>
  <c r="AY17" i="26"/>
  <c r="AX17" i="26"/>
  <c r="AT17" i="26"/>
  <c r="AN17" i="26"/>
  <c r="AM17" i="26"/>
  <c r="AL17" i="26"/>
  <c r="AK17" i="26"/>
  <c r="AY16" i="26"/>
  <c r="AX16" i="26"/>
  <c r="AU16" i="26"/>
  <c r="AT16" i="26"/>
  <c r="AN16" i="26"/>
  <c r="AM16" i="26"/>
  <c r="AL16" i="26"/>
  <c r="AK16" i="26"/>
  <c r="AY15" i="26"/>
  <c r="AX15" i="26"/>
  <c r="AU15" i="26"/>
  <c r="AT15" i="26"/>
  <c r="AN15" i="26"/>
  <c r="AM15" i="26"/>
  <c r="AL15" i="26"/>
  <c r="AK15" i="26"/>
  <c r="AY14" i="26"/>
  <c r="AX14" i="26"/>
  <c r="AU14" i="26"/>
  <c r="AT14" i="26"/>
  <c r="AN14" i="26"/>
  <c r="AM14" i="26"/>
  <c r="AL14" i="26"/>
  <c r="AK14" i="26"/>
  <c r="AY13" i="26"/>
  <c r="AX13" i="26"/>
  <c r="AT13" i="26"/>
  <c r="AN13" i="26"/>
  <c r="AM13" i="26"/>
  <c r="AL13" i="26"/>
  <c r="AK13" i="26"/>
  <c r="AY12" i="26"/>
  <c r="AX12" i="26"/>
  <c r="AU12" i="26"/>
  <c r="AT12" i="26"/>
  <c r="AN12" i="26"/>
  <c r="AM12" i="26"/>
  <c r="AL12" i="26"/>
  <c r="AK12" i="26"/>
  <c r="AY11" i="26"/>
  <c r="AX11" i="26"/>
  <c r="AU11" i="26"/>
  <c r="AT11" i="26"/>
  <c r="AN11" i="26"/>
  <c r="AM11" i="26"/>
  <c r="AL11" i="26"/>
  <c r="AK11" i="26"/>
  <c r="AX10" i="26"/>
  <c r="AT10" i="26"/>
  <c r="AN10" i="26"/>
  <c r="AM10" i="26"/>
  <c r="AL10" i="26"/>
  <c r="AK10" i="26"/>
  <c r="AX9" i="26"/>
  <c r="AT9" i="26"/>
  <c r="AN9" i="26"/>
  <c r="AM9" i="26"/>
  <c r="AL9" i="26"/>
  <c r="AK9" i="26"/>
  <c r="AX8" i="26"/>
  <c r="AT8" i="26"/>
  <c r="AN8" i="26"/>
  <c r="AM8" i="26"/>
  <c r="AL8" i="26"/>
  <c r="AK8" i="26"/>
  <c r="AY7" i="26"/>
  <c r="AX7" i="26"/>
  <c r="AU7" i="26"/>
  <c r="AT7" i="26"/>
  <c r="AN7" i="26"/>
  <c r="AM7" i="26"/>
  <c r="AL7" i="26"/>
  <c r="AK7" i="26"/>
  <c r="AX6" i="26"/>
  <c r="AT6" i="26"/>
  <c r="AN6" i="26"/>
  <c r="AM6" i="26"/>
  <c r="AL6" i="26"/>
  <c r="AK6" i="26"/>
  <c r="AY5" i="26"/>
  <c r="AX5" i="26"/>
  <c r="AU5" i="26"/>
  <c r="AT5" i="26"/>
  <c r="AN5" i="26"/>
  <c r="AM5" i="26"/>
  <c r="AL5" i="26"/>
  <c r="AK5" i="26"/>
  <c r="AY4" i="26"/>
  <c r="AX4" i="26"/>
  <c r="AT4" i="26"/>
  <c r="AN4" i="26"/>
  <c r="AM4" i="26"/>
  <c r="AL4" i="26"/>
  <c r="AK4" i="26"/>
  <c r="AY3" i="26"/>
  <c r="AX3" i="26"/>
  <c r="AT3" i="26"/>
  <c r="AN3" i="26"/>
  <c r="AM3" i="26"/>
  <c r="AL3" i="26"/>
  <c r="AK3" i="26"/>
  <c r="AO43" i="32" l="1"/>
  <c r="AZ44" i="31"/>
  <c r="AZ47" i="32"/>
  <c r="AZ46" i="26"/>
  <c r="AZ39" i="31"/>
  <c r="AO42" i="31"/>
  <c r="AR42" i="31" s="1"/>
  <c r="AO42" i="30"/>
  <c r="AO46" i="28"/>
  <c r="AO44" i="29"/>
  <c r="AO29" i="31"/>
  <c r="AZ44" i="29"/>
  <c r="AO22" i="31"/>
  <c r="BC22" i="31" s="1"/>
  <c r="AO39" i="26"/>
  <c r="AO42" i="27"/>
  <c r="AO42" i="32"/>
  <c r="AO43" i="30"/>
  <c r="AO38" i="27"/>
  <c r="AZ42" i="30"/>
  <c r="AO30" i="31"/>
  <c r="AO41" i="31"/>
  <c r="AO42" i="28"/>
  <c r="AO47" i="30"/>
  <c r="BB38" i="29"/>
  <c r="AO22" i="29"/>
  <c r="BB22" i="29" s="1"/>
  <c r="AO28" i="29"/>
  <c r="AO4" i="29"/>
  <c r="AO37" i="29"/>
  <c r="AO13" i="29"/>
  <c r="AO30" i="27"/>
  <c r="AO37" i="27"/>
  <c r="AO15" i="27"/>
  <c r="AO26" i="27"/>
  <c r="AO36" i="27"/>
  <c r="AO22" i="27"/>
  <c r="AO12" i="27"/>
  <c r="AO14" i="27"/>
  <c r="AO27" i="26"/>
  <c r="AO23" i="26"/>
  <c r="AO3" i="26"/>
  <c r="AO12" i="26"/>
  <c r="AO18" i="26"/>
  <c r="AO11" i="26"/>
  <c r="AO37" i="28"/>
  <c r="AO41" i="28"/>
  <c r="AO21" i="28"/>
  <c r="AZ38" i="30"/>
  <c r="AO18" i="30"/>
  <c r="AV38" i="32"/>
  <c r="AO38" i="32"/>
  <c r="BB38" i="32" s="1"/>
  <c r="AV35" i="29"/>
  <c r="AZ47" i="28"/>
  <c r="AO46" i="32"/>
  <c r="BB46" i="32" s="1"/>
  <c r="AV45" i="32"/>
  <c r="AV42" i="32"/>
  <c r="AV41" i="32"/>
  <c r="AV36" i="32"/>
  <c r="AZ47" i="31"/>
  <c r="AO46" i="31"/>
  <c r="BC46" i="31" s="1"/>
  <c r="AV43" i="31"/>
  <c r="AO38" i="31"/>
  <c r="AV20" i="30"/>
  <c r="AV28" i="31"/>
  <c r="AZ27" i="31"/>
  <c r="AV27" i="31"/>
  <c r="AZ26" i="31"/>
  <c r="AV12" i="31"/>
  <c r="AO11" i="31"/>
  <c r="AV7" i="29"/>
  <c r="AO19" i="28"/>
  <c r="AO46" i="30"/>
  <c r="BC46" i="30" s="1"/>
  <c r="AV41" i="30"/>
  <c r="AZ40" i="30"/>
  <c r="AO38" i="30"/>
  <c r="BC38" i="30" s="1"/>
  <c r="AV35" i="30"/>
  <c r="AO34" i="30"/>
  <c r="AV31" i="30"/>
  <c r="AZ29" i="30"/>
  <c r="AZ25" i="30"/>
  <c r="AZ24" i="30"/>
  <c r="AZ7" i="29"/>
  <c r="AV16" i="30"/>
  <c r="AV11" i="30"/>
  <c r="AO6" i="30"/>
  <c r="AV47" i="29"/>
  <c r="AO47" i="29"/>
  <c r="AZ46" i="29"/>
  <c r="AO46" i="29"/>
  <c r="BB46" i="29" s="1"/>
  <c r="AZ43" i="29"/>
  <c r="AV43" i="29"/>
  <c r="AZ42" i="29"/>
  <c r="AZ39" i="29"/>
  <c r="AV39" i="29"/>
  <c r="AZ18" i="28"/>
  <c r="AZ32" i="29"/>
  <c r="AO31" i="29"/>
  <c r="AV30" i="29"/>
  <c r="AO26" i="29"/>
  <c r="AV20" i="29"/>
  <c r="AZ18" i="29"/>
  <c r="AV18" i="29"/>
  <c r="AO14" i="29"/>
  <c r="AV44" i="28"/>
  <c r="AV43" i="28"/>
  <c r="AO43" i="28"/>
  <c r="AZ42" i="28"/>
  <c r="AV42" i="28"/>
  <c r="AV40" i="28"/>
  <c r="AV39" i="28"/>
  <c r="AO39" i="28"/>
  <c r="AZ38" i="28"/>
  <c r="AV38" i="28"/>
  <c r="AO38" i="28"/>
  <c r="BB38" i="28" s="1"/>
  <c r="AV32" i="28"/>
  <c r="AV30" i="28"/>
  <c r="AO30" i="28"/>
  <c r="AV26" i="28"/>
  <c r="AO26" i="28"/>
  <c r="AV12" i="28"/>
  <c r="AV44" i="27"/>
  <c r="AZ43" i="27"/>
  <c r="AV43" i="27"/>
  <c r="AV42" i="27"/>
  <c r="AV40" i="27"/>
  <c r="AO47" i="26"/>
  <c r="AO23" i="27"/>
  <c r="AZ12" i="27"/>
  <c r="AV12" i="27"/>
  <c r="AZ43" i="26"/>
  <c r="AO42" i="26"/>
  <c r="AV41" i="26"/>
  <c r="AV33" i="26"/>
  <c r="AO19" i="26"/>
  <c r="AZ42" i="31"/>
  <c r="AO39" i="31"/>
  <c r="AZ37" i="32"/>
  <c r="AV37" i="31"/>
  <c r="AZ36" i="31"/>
  <c r="AV35" i="31"/>
  <c r="AV34" i="31"/>
  <c r="AV33" i="31"/>
  <c r="AZ31" i="31"/>
  <c r="AV30" i="31"/>
  <c r="AV29" i="31"/>
  <c r="AZ28" i="31"/>
  <c r="AV26" i="31"/>
  <c r="AV25" i="31"/>
  <c r="AV22" i="31"/>
  <c r="AZ20" i="31"/>
  <c r="AV18" i="31"/>
  <c r="AV14" i="31"/>
  <c r="AV7" i="31"/>
  <c r="AV5" i="31"/>
  <c r="AZ37" i="30"/>
  <c r="AV36" i="30"/>
  <c r="AZ33" i="30"/>
  <c r="AV32" i="30"/>
  <c r="AV29" i="30"/>
  <c r="AV25" i="30"/>
  <c r="AV24" i="30"/>
  <c r="AZ15" i="30"/>
  <c r="AZ14" i="30"/>
  <c r="AV12" i="30"/>
  <c r="AV9" i="30"/>
  <c r="AZ5" i="30"/>
  <c r="AZ3" i="30"/>
  <c r="AV37" i="29"/>
  <c r="AV34" i="29"/>
  <c r="AV33" i="29"/>
  <c r="AV29" i="29"/>
  <c r="AV28" i="29"/>
  <c r="AV26" i="29"/>
  <c r="AV25" i="29"/>
  <c r="AV22" i="29"/>
  <c r="AZ15" i="29"/>
  <c r="AV14" i="29"/>
  <c r="AZ12" i="29"/>
  <c r="AV11" i="29"/>
  <c r="AV37" i="28"/>
  <c r="AZ36" i="28"/>
  <c r="AV35" i="28"/>
  <c r="AV34" i="28"/>
  <c r="AV33" i="28"/>
  <c r="AZ31" i="28"/>
  <c r="AV25" i="28"/>
  <c r="AV22" i="28"/>
  <c r="AV18" i="28"/>
  <c r="AV14" i="28"/>
  <c r="AV11" i="28"/>
  <c r="AV7" i="28"/>
  <c r="AV5" i="28"/>
  <c r="AV37" i="27"/>
  <c r="AV35" i="27"/>
  <c r="AV33" i="27"/>
  <c r="AV31" i="27"/>
  <c r="AV28" i="27"/>
  <c r="AV25" i="27"/>
  <c r="AZ24" i="27"/>
  <c r="AV23" i="27"/>
  <c r="AZ22" i="27"/>
  <c r="AZ20" i="27"/>
  <c r="AV15" i="27"/>
  <c r="AZ11" i="27"/>
  <c r="AV7" i="27"/>
  <c r="AV5" i="27"/>
  <c r="AZ37" i="26"/>
  <c r="AV36" i="26"/>
  <c r="AV35" i="26"/>
  <c r="AZ34" i="26"/>
  <c r="AV31" i="26"/>
  <c r="AZ28" i="26"/>
  <c r="AV25" i="26"/>
  <c r="AV24" i="26"/>
  <c r="AZ22" i="26"/>
  <c r="AZ16" i="26"/>
  <c r="AV15" i="26"/>
  <c r="AZ14" i="26"/>
  <c r="AV12" i="26"/>
  <c r="AZ11" i="26"/>
  <c r="AZ7" i="26"/>
  <c r="AV40" i="26"/>
  <c r="AO4" i="26"/>
  <c r="AO6" i="26"/>
  <c r="AZ24" i="26"/>
  <c r="AZ30" i="26"/>
  <c r="AZ32" i="26"/>
  <c r="AZ33" i="26"/>
  <c r="AO38" i="26"/>
  <c r="AZ39" i="26"/>
  <c r="AZ41" i="26"/>
  <c r="AZ44" i="26"/>
  <c r="AZ47" i="26"/>
  <c r="AO31" i="27"/>
  <c r="AZ40" i="27"/>
  <c r="AO44" i="27"/>
  <c r="AO5" i="28"/>
  <c r="AZ44" i="28"/>
  <c r="AO47" i="28"/>
  <c r="BC47" i="28" s="1"/>
  <c r="AO18" i="29"/>
  <c r="AO24" i="29"/>
  <c r="AV44" i="29"/>
  <c r="AO24" i="30"/>
  <c r="AO31" i="30"/>
  <c r="AV37" i="30"/>
  <c r="AO3" i="31"/>
  <c r="AO4" i="31"/>
  <c r="AO7" i="31"/>
  <c r="AZ11" i="31"/>
  <c r="AZ15" i="31"/>
  <c r="AZ16" i="31"/>
  <c r="AO47" i="31"/>
  <c r="BC47" i="31" s="1"/>
  <c r="AV37" i="32"/>
  <c r="AO7" i="26"/>
  <c r="AV39" i="27"/>
  <c r="AO15" i="28"/>
  <c r="AZ12" i="26"/>
  <c r="AO15" i="26"/>
  <c r="AO25" i="26"/>
  <c r="AO40" i="26"/>
  <c r="AO45" i="26"/>
  <c r="AZ7" i="27"/>
  <c r="AO10" i="27"/>
  <c r="AO13" i="27"/>
  <c r="AO18" i="27"/>
  <c r="AO39" i="27"/>
  <c r="AO45" i="27"/>
  <c r="AO4" i="28"/>
  <c r="AO6" i="28"/>
  <c r="AZ15" i="28"/>
  <c r="AZ16" i="28"/>
  <c r="AO22" i="28"/>
  <c r="AO28" i="28"/>
  <c r="AZ11" i="29"/>
  <c r="AO16" i="29"/>
  <c r="AO21" i="29"/>
  <c r="AO30" i="29"/>
  <c r="AZ7" i="30"/>
  <c r="AO11" i="30"/>
  <c r="AZ16" i="30"/>
  <c r="AO19" i="30"/>
  <c r="AO22" i="30"/>
  <c r="AO30" i="30"/>
  <c r="AO41" i="30"/>
  <c r="AV44" i="30"/>
  <c r="AO20" i="31"/>
  <c r="AO26" i="31"/>
  <c r="AV44" i="31"/>
  <c r="AO41" i="32"/>
  <c r="AZ42" i="32"/>
  <c r="AV44" i="32"/>
  <c r="AV45" i="26"/>
  <c r="AO47" i="27"/>
  <c r="AZ11" i="28"/>
  <c r="AZ38" i="29"/>
  <c r="AZ43" i="30"/>
  <c r="AV39" i="31"/>
  <c r="AZ43" i="32"/>
  <c r="AO31" i="26"/>
  <c r="AV37" i="26"/>
  <c r="AO41" i="26"/>
  <c r="AO6" i="27"/>
  <c r="AV24" i="27"/>
  <c r="AO40" i="27"/>
  <c r="AZ40" i="28"/>
  <c r="AO44" i="28"/>
  <c r="AO9" i="29"/>
  <c r="AO10" i="29"/>
  <c r="AV40" i="29"/>
  <c r="AO43" i="29"/>
  <c r="BC43" i="29" s="1"/>
  <c r="AO45" i="29"/>
  <c r="AO26" i="30"/>
  <c r="AO37" i="30"/>
  <c r="AO44" i="30"/>
  <c r="AV45" i="30"/>
  <c r="AO15" i="31"/>
  <c r="AO16" i="31"/>
  <c r="AO37" i="31"/>
  <c r="AZ38" i="31"/>
  <c r="AZ40" i="31"/>
  <c r="AO44" i="31"/>
  <c r="AZ40" i="32"/>
  <c r="AO44" i="32"/>
  <c r="BC44" i="32" s="1"/>
  <c r="AZ5" i="26"/>
  <c r="AZ35" i="26"/>
  <c r="AO46" i="26"/>
  <c r="AZ14" i="27"/>
  <c r="AZ16" i="27"/>
  <c r="AZ18" i="27"/>
  <c r="AZ30" i="27"/>
  <c r="AZ32" i="27"/>
  <c r="AZ36" i="27"/>
  <c r="AO41" i="27"/>
  <c r="AO9" i="28"/>
  <c r="AO18" i="28"/>
  <c r="AO45" i="28"/>
  <c r="AZ46" i="28"/>
  <c r="AO10" i="30"/>
  <c r="AO14" i="30"/>
  <c r="AZ23" i="30"/>
  <c r="AZ46" i="30"/>
  <c r="AZ47" i="30"/>
  <c r="AO10" i="31"/>
  <c r="AO13" i="31"/>
  <c r="AO14" i="31"/>
  <c r="AV40" i="31"/>
  <c r="AO43" i="31"/>
  <c r="AO45" i="31"/>
  <c r="BC45" i="31" s="1"/>
  <c r="AZ46" i="31"/>
  <c r="AO37" i="32"/>
  <c r="AZ38" i="32"/>
  <c r="AV40" i="32"/>
  <c r="AZ41" i="32"/>
  <c r="AV47" i="32"/>
  <c r="AO8" i="26"/>
  <c r="AZ18" i="26"/>
  <c r="AZ20" i="26"/>
  <c r="AO36" i="26"/>
  <c r="AO37" i="26"/>
  <c r="AV16" i="27"/>
  <c r="AO28" i="27"/>
  <c r="AZ28" i="27"/>
  <c r="AZ38" i="27"/>
  <c r="AZ7" i="28"/>
  <c r="AO10" i="28"/>
  <c r="AO14" i="28"/>
  <c r="AZ24" i="28"/>
  <c r="AO8" i="29"/>
  <c r="AZ20" i="29"/>
  <c r="AZ24" i="29"/>
  <c r="AV23" i="30"/>
  <c r="AZ26" i="30"/>
  <c r="AZ28" i="30"/>
  <c r="AZ30" i="30"/>
  <c r="AO39" i="30"/>
  <c r="AZ39" i="30"/>
  <c r="AZ41" i="30"/>
  <c r="AV47" i="30"/>
  <c r="AZ3" i="31"/>
  <c r="AZ7" i="31"/>
  <c r="AZ23" i="31"/>
  <c r="AO39" i="32"/>
  <c r="AZ39" i="32"/>
  <c r="AZ46" i="32"/>
  <c r="AO40" i="28"/>
  <c r="AO5" i="29"/>
  <c r="AO6" i="29"/>
  <c r="AO40" i="30"/>
  <c r="AO45" i="30"/>
  <c r="AO40" i="31"/>
  <c r="AO40" i="32"/>
  <c r="AO45" i="32"/>
  <c r="AO47" i="32"/>
  <c r="AZ9" i="31"/>
  <c r="AZ5" i="31"/>
  <c r="AV9" i="31"/>
  <c r="AZ13" i="30"/>
  <c r="AZ18" i="30"/>
  <c r="AZ36" i="32"/>
  <c r="AO36" i="32"/>
  <c r="AZ35" i="31"/>
  <c r="AZ34" i="31"/>
  <c r="AV36" i="31"/>
  <c r="AO34" i="31"/>
  <c r="AO36" i="31"/>
  <c r="AO24" i="31"/>
  <c r="AO32" i="31"/>
  <c r="AV3" i="31"/>
  <c r="AZ14" i="31"/>
  <c r="AV15" i="31"/>
  <c r="AO19" i="31"/>
  <c r="AO23" i="31"/>
  <c r="AO25" i="31"/>
  <c r="AO31" i="31"/>
  <c r="AO33" i="31"/>
  <c r="AV11" i="31"/>
  <c r="AV16" i="31"/>
  <c r="AV20" i="31"/>
  <c r="AO5" i="31"/>
  <c r="AO9" i="31"/>
  <c r="AZ12" i="31"/>
  <c r="AV23" i="31"/>
  <c r="AO28" i="31"/>
  <c r="AV31" i="31"/>
  <c r="AZ18" i="31"/>
  <c r="AZ22" i="31"/>
  <c r="AZ24" i="31"/>
  <c r="AO27" i="31"/>
  <c r="AZ30" i="31"/>
  <c r="AZ32" i="31"/>
  <c r="AO35" i="31"/>
  <c r="AO8" i="31"/>
  <c r="AO17" i="31"/>
  <c r="AO21" i="31"/>
  <c r="AV24" i="31"/>
  <c r="AV32" i="31"/>
  <c r="AO6" i="31"/>
  <c r="AO12" i="31"/>
  <c r="AO18" i="31"/>
  <c r="AZ36" i="30"/>
  <c r="AZ34" i="30"/>
  <c r="AZ35" i="30"/>
  <c r="AV3" i="30"/>
  <c r="AV5" i="30"/>
  <c r="AV7" i="30"/>
  <c r="AO32" i="30"/>
  <c r="AV33" i="30"/>
  <c r="AV13" i="30"/>
  <c r="AO17" i="30"/>
  <c r="AO21" i="30"/>
  <c r="AV28" i="30"/>
  <c r="AZ32" i="30"/>
  <c r="AO3" i="30"/>
  <c r="AO5" i="30"/>
  <c r="AO7" i="30"/>
  <c r="AO12" i="30"/>
  <c r="AZ12" i="30"/>
  <c r="AO25" i="30"/>
  <c r="AO27" i="30"/>
  <c r="AO4" i="30"/>
  <c r="AO8" i="30"/>
  <c r="AO9" i="30"/>
  <c r="AV15" i="30"/>
  <c r="AZ22" i="30"/>
  <c r="AO28" i="30"/>
  <c r="AO33" i="30"/>
  <c r="AZ31" i="30"/>
  <c r="AO13" i="30"/>
  <c r="AO15" i="30"/>
  <c r="AO35" i="30"/>
  <c r="AZ9" i="30"/>
  <c r="AZ11" i="30"/>
  <c r="AO16" i="30"/>
  <c r="AO20" i="30"/>
  <c r="AZ20" i="30"/>
  <c r="AO23" i="30"/>
  <c r="AO29" i="30"/>
  <c r="AO36" i="30"/>
  <c r="AZ35" i="29"/>
  <c r="AZ36" i="29"/>
  <c r="AO34" i="29"/>
  <c r="AV36" i="29"/>
  <c r="AO36" i="29"/>
  <c r="AO33" i="29"/>
  <c r="AV12" i="29"/>
  <c r="AO15" i="29"/>
  <c r="AO17" i="29"/>
  <c r="AO20" i="29"/>
  <c r="AZ22" i="29"/>
  <c r="AZ34" i="29"/>
  <c r="AO12" i="29"/>
  <c r="AV24" i="29"/>
  <c r="AO27" i="29"/>
  <c r="AO29" i="29"/>
  <c r="AO11" i="29"/>
  <c r="AV15" i="29"/>
  <c r="AZ30" i="29"/>
  <c r="AZ14" i="29"/>
  <c r="AZ16" i="29"/>
  <c r="AO19" i="29"/>
  <c r="AV32" i="29"/>
  <c r="AO35" i="29"/>
  <c r="AO7" i="29"/>
  <c r="AV16" i="29"/>
  <c r="AO23" i="29"/>
  <c r="AO25" i="29"/>
  <c r="AO3" i="29"/>
  <c r="AZ26" i="29"/>
  <c r="AZ28" i="29"/>
  <c r="AO32" i="29"/>
  <c r="AV36" i="28"/>
  <c r="AO34" i="28"/>
  <c r="AO35" i="28"/>
  <c r="AO12" i="28"/>
  <c r="AV24" i="28"/>
  <c r="AO27" i="28"/>
  <c r="AO29" i="28"/>
  <c r="AV31" i="28"/>
  <c r="AZ35" i="28"/>
  <c r="AO8" i="28"/>
  <c r="AO11" i="28"/>
  <c r="AO13" i="28"/>
  <c r="AV15" i="28"/>
  <c r="AZ30" i="28"/>
  <c r="AZ32" i="28"/>
  <c r="AO36" i="28"/>
  <c r="AZ14" i="28"/>
  <c r="AO24" i="28"/>
  <c r="AV16" i="28"/>
  <c r="AZ20" i="28"/>
  <c r="AO23" i="28"/>
  <c r="AO25" i="28"/>
  <c r="AO3" i="28"/>
  <c r="AV20" i="28"/>
  <c r="AZ26" i="28"/>
  <c r="AZ28" i="28"/>
  <c r="AO32" i="28"/>
  <c r="AZ12" i="28"/>
  <c r="AO16" i="28"/>
  <c r="AV28" i="28"/>
  <c r="AO31" i="28"/>
  <c r="AO33" i="28"/>
  <c r="AO7" i="28"/>
  <c r="AO17" i="28"/>
  <c r="AO20" i="28"/>
  <c r="AZ22" i="28"/>
  <c r="AZ34" i="28"/>
  <c r="AV36" i="27"/>
  <c r="AO34" i="27"/>
  <c r="AZ35" i="27"/>
  <c r="AZ15" i="27"/>
  <c r="AV20" i="27"/>
  <c r="AO27" i="27"/>
  <c r="AO35" i="27"/>
  <c r="AV11" i="27"/>
  <c r="AO16" i="27"/>
  <c r="BB16" i="27" s="1"/>
  <c r="AO11" i="27"/>
  <c r="AR11" i="27" s="1"/>
  <c r="AO20" i="27"/>
  <c r="AO29" i="27"/>
  <c r="AV32" i="27"/>
  <c r="AO3" i="27"/>
  <c r="AO7" i="27"/>
  <c r="AO17" i="27"/>
  <c r="AO19" i="27"/>
  <c r="AZ23" i="27"/>
  <c r="AZ31" i="27"/>
  <c r="AO21" i="27"/>
  <c r="AO24" i="27"/>
  <c r="AZ26" i="27"/>
  <c r="AO32" i="27"/>
  <c r="AZ34" i="27"/>
  <c r="AO4" i="27"/>
  <c r="AO8" i="27"/>
  <c r="AO9" i="27"/>
  <c r="AO5" i="27"/>
  <c r="AO25" i="27"/>
  <c r="AO33" i="27"/>
  <c r="AO35" i="26"/>
  <c r="AO34" i="26"/>
  <c r="AV16" i="26"/>
  <c r="AV32" i="26"/>
  <c r="AO14" i="26"/>
  <c r="AZ15" i="26"/>
  <c r="AV20" i="26"/>
  <c r="AO30" i="26"/>
  <c r="AZ31" i="26"/>
  <c r="AZ36" i="26"/>
  <c r="AV5" i="26"/>
  <c r="AV7" i="26"/>
  <c r="AV11" i="26"/>
  <c r="AO5" i="26"/>
  <c r="AO9" i="26"/>
  <c r="AO16" i="26"/>
  <c r="AV28" i="26"/>
  <c r="AO32" i="26"/>
  <c r="AO20" i="26"/>
  <c r="AO26" i="26"/>
  <c r="AO17" i="26"/>
  <c r="AO28" i="26"/>
  <c r="AO33" i="26"/>
  <c r="AO10" i="26"/>
  <c r="AO21" i="26"/>
  <c r="AO22" i="26"/>
  <c r="AZ25" i="26"/>
  <c r="AO13" i="26"/>
  <c r="AO24" i="26"/>
  <c r="AZ26" i="26"/>
  <c r="AO29" i="26"/>
  <c r="AZ25" i="31"/>
  <c r="AZ29" i="31"/>
  <c r="AZ33" i="31"/>
  <c r="AZ37" i="31"/>
  <c r="AZ41" i="31"/>
  <c r="AZ45" i="31"/>
  <c r="AV14" i="30"/>
  <c r="AV18" i="30"/>
  <c r="AV22" i="30"/>
  <c r="AV26" i="30"/>
  <c r="AV30" i="30"/>
  <c r="AV34" i="30"/>
  <c r="AV38" i="30"/>
  <c r="AV42" i="30"/>
  <c r="AV46" i="30"/>
  <c r="AZ25" i="29"/>
  <c r="AZ29" i="29"/>
  <c r="AZ33" i="29"/>
  <c r="AZ37" i="29"/>
  <c r="AR38" i="29"/>
  <c r="BC38" i="29"/>
  <c r="AZ41" i="29"/>
  <c r="AR42" i="29"/>
  <c r="BC42" i="29"/>
  <c r="AZ45" i="29"/>
  <c r="AZ5" i="28"/>
  <c r="AZ25" i="28"/>
  <c r="AZ33" i="28"/>
  <c r="AZ37" i="28"/>
  <c r="AZ41" i="28"/>
  <c r="AZ45" i="28"/>
  <c r="BC43" i="27"/>
  <c r="AR43" i="27"/>
  <c r="BB43" i="27"/>
  <c r="AZ5" i="27"/>
  <c r="AZ25" i="27"/>
  <c r="AZ33" i="27"/>
  <c r="AZ37" i="27"/>
  <c r="AZ41" i="27"/>
  <c r="AZ45" i="27"/>
  <c r="AR46" i="27"/>
  <c r="BC46" i="27"/>
  <c r="AV47" i="27"/>
  <c r="AV14" i="27"/>
  <c r="AV18" i="27"/>
  <c r="AV22" i="27"/>
  <c r="AV26" i="27"/>
  <c r="AV30" i="27"/>
  <c r="AV34" i="27"/>
  <c r="AV38" i="27"/>
  <c r="AV46" i="27"/>
  <c r="BC44" i="26"/>
  <c r="AR44" i="26"/>
  <c r="BB44" i="26"/>
  <c r="AV47" i="26"/>
  <c r="AV14" i="26"/>
  <c r="AV18" i="26"/>
  <c r="AV22" i="26"/>
  <c r="AV26" i="26"/>
  <c r="AV30" i="26"/>
  <c r="AV34" i="26"/>
  <c r="AV38" i="26"/>
  <c r="AV42" i="26"/>
  <c r="AV46" i="26"/>
  <c r="BB43" i="26"/>
  <c r="AR43" i="26"/>
  <c r="AN3" i="19"/>
  <c r="AU12" i="19"/>
  <c r="AU13" i="19"/>
  <c r="AU14" i="19"/>
  <c r="AU15" i="19"/>
  <c r="AU16" i="19"/>
  <c r="AU18" i="19"/>
  <c r="AU20" i="19"/>
  <c r="AU22" i="19"/>
  <c r="AU23" i="19"/>
  <c r="AU24" i="19"/>
  <c r="AU25" i="19"/>
  <c r="AU26" i="19"/>
  <c r="AU28" i="19"/>
  <c r="AU29" i="19"/>
  <c r="AU30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V44" i="19" s="1"/>
  <c r="AU45" i="19"/>
  <c r="AV45" i="19" s="1"/>
  <c r="AU46" i="19"/>
  <c r="AV46" i="19" s="1"/>
  <c r="AU47" i="19"/>
  <c r="AV47" i="19" s="1"/>
  <c r="AY5" i="19"/>
  <c r="AY12" i="19"/>
  <c r="AY13" i="19"/>
  <c r="AY14" i="19"/>
  <c r="AY15" i="19"/>
  <c r="AY16" i="19"/>
  <c r="AY17" i="19"/>
  <c r="AY18" i="19"/>
  <c r="AY19" i="19"/>
  <c r="AY20" i="19"/>
  <c r="AY22" i="19"/>
  <c r="AY23" i="19"/>
  <c r="AY24" i="19"/>
  <c r="AY25" i="19"/>
  <c r="AY26" i="19"/>
  <c r="AY28" i="19"/>
  <c r="AY29" i="19"/>
  <c r="AY30" i="19"/>
  <c r="AY32" i="19"/>
  <c r="AY33" i="19"/>
  <c r="AY34" i="19"/>
  <c r="AY35" i="19"/>
  <c r="AY36" i="19"/>
  <c r="AY37" i="19"/>
  <c r="AY38" i="19"/>
  <c r="AY39" i="19"/>
  <c r="AY40" i="19"/>
  <c r="AY41" i="19"/>
  <c r="AY42" i="19"/>
  <c r="AY43" i="19"/>
  <c r="AY44" i="19"/>
  <c r="AY45" i="19"/>
  <c r="AY46" i="19"/>
  <c r="AY47" i="19"/>
  <c r="AX4" i="19"/>
  <c r="AX5" i="19"/>
  <c r="AX6" i="19"/>
  <c r="AX7" i="19"/>
  <c r="AX8" i="19"/>
  <c r="AX9" i="19"/>
  <c r="AY9" i="19" s="1"/>
  <c r="AX11" i="19"/>
  <c r="AX12" i="19"/>
  <c r="AX13" i="19"/>
  <c r="AX14" i="19"/>
  <c r="AX15" i="19"/>
  <c r="AX16" i="19"/>
  <c r="AX17" i="19"/>
  <c r="AX18" i="19"/>
  <c r="AX19" i="19"/>
  <c r="AX20" i="19"/>
  <c r="AX21" i="19"/>
  <c r="AX22" i="19"/>
  <c r="AX23" i="19"/>
  <c r="AX24" i="19"/>
  <c r="AX25" i="19"/>
  <c r="AX26" i="19"/>
  <c r="AX27" i="19"/>
  <c r="AX28" i="19"/>
  <c r="AX29" i="19"/>
  <c r="AX30" i="19"/>
  <c r="AX31" i="19"/>
  <c r="AY31" i="19" s="1"/>
  <c r="AX32" i="19"/>
  <c r="AX33" i="19"/>
  <c r="AX34" i="19"/>
  <c r="AX35" i="19"/>
  <c r="AX36" i="19"/>
  <c r="AX37" i="19"/>
  <c r="AX38" i="19"/>
  <c r="AX39" i="19"/>
  <c r="AX40" i="19"/>
  <c r="AX41" i="19"/>
  <c r="AX42" i="19"/>
  <c r="AX43" i="19"/>
  <c r="AX44" i="19"/>
  <c r="AX45" i="19"/>
  <c r="AX46" i="19"/>
  <c r="AX47" i="19"/>
  <c r="AT4" i="19"/>
  <c r="AT5" i="19"/>
  <c r="AT6" i="19"/>
  <c r="AT7" i="19"/>
  <c r="AT8" i="19"/>
  <c r="AT9" i="19"/>
  <c r="AU9" i="19" s="1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M4" i="19"/>
  <c r="AM5" i="19"/>
  <c r="AM6" i="19"/>
  <c r="AM7" i="19"/>
  <c r="AM8" i="19"/>
  <c r="AM9" i="19"/>
  <c r="AM10" i="19"/>
  <c r="AM11" i="19"/>
  <c r="AM12" i="19"/>
  <c r="AM13" i="19"/>
  <c r="AM14" i="19"/>
  <c r="AM15" i="19"/>
  <c r="AM16" i="19"/>
  <c r="AM17" i="19"/>
  <c r="AM18" i="19"/>
  <c r="AM19" i="19"/>
  <c r="AM20" i="19"/>
  <c r="AM21" i="19"/>
  <c r="AM22" i="19"/>
  <c r="AM23" i="19"/>
  <c r="AM24" i="19"/>
  <c r="AM25" i="19"/>
  <c r="AM26" i="19"/>
  <c r="AM27" i="19"/>
  <c r="AM28" i="19"/>
  <c r="AM29" i="19"/>
  <c r="AM30" i="19"/>
  <c r="AM31" i="19"/>
  <c r="AM32" i="19"/>
  <c r="AM33" i="19"/>
  <c r="AM34" i="19"/>
  <c r="AM35" i="19"/>
  <c r="AM36" i="19"/>
  <c r="AM37" i="19"/>
  <c r="AM38" i="19"/>
  <c r="AM39" i="19"/>
  <c r="AM40" i="19"/>
  <c r="AM41" i="19"/>
  <c r="AM42" i="19"/>
  <c r="AM43" i="19"/>
  <c r="AM44" i="19"/>
  <c r="AM45" i="19"/>
  <c r="AM46" i="19"/>
  <c r="AM47" i="19"/>
  <c r="AM3" i="19"/>
  <c r="AL3" i="19"/>
  <c r="AL4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3" i="19"/>
  <c r="AX3" i="19"/>
  <c r="AT3" i="19"/>
  <c r="AN4" i="19"/>
  <c r="AN5" i="19"/>
  <c r="AN6" i="19"/>
  <c r="AN7" i="19"/>
  <c r="AN8" i="19"/>
  <c r="AN9" i="19"/>
  <c r="AN10" i="19"/>
  <c r="AN11" i="19"/>
  <c r="AN12" i="19"/>
  <c r="AN13" i="19"/>
  <c r="AN14" i="19"/>
  <c r="AN15" i="19"/>
  <c r="AN16" i="19"/>
  <c r="AN17" i="19"/>
  <c r="AN18" i="19"/>
  <c r="AN19" i="19"/>
  <c r="AN20" i="19"/>
  <c r="AN21" i="19"/>
  <c r="AN22" i="19"/>
  <c r="AN23" i="19"/>
  <c r="AN24" i="19"/>
  <c r="AN25" i="19"/>
  <c r="AN26" i="19"/>
  <c r="AN27" i="19"/>
  <c r="AN28" i="19"/>
  <c r="AN29" i="19"/>
  <c r="AN30" i="19"/>
  <c r="AN31" i="19"/>
  <c r="AN32" i="19"/>
  <c r="AN33" i="19"/>
  <c r="AN34" i="19"/>
  <c r="AN35" i="19"/>
  <c r="AN36" i="19"/>
  <c r="AN37" i="19"/>
  <c r="AO37" i="19" s="1"/>
  <c r="AN38" i="19"/>
  <c r="AN39" i="19"/>
  <c r="AN40" i="19"/>
  <c r="AN41" i="19"/>
  <c r="AN42" i="19"/>
  <c r="AN43" i="19"/>
  <c r="AN44" i="19"/>
  <c r="AN45" i="19"/>
  <c r="AN46" i="19"/>
  <c r="AN47" i="19"/>
  <c r="BC43" i="32" l="1"/>
  <c r="AR43" i="32"/>
  <c r="BB43" i="32"/>
  <c r="BC42" i="30"/>
  <c r="BB42" i="30"/>
  <c r="AR42" i="30"/>
  <c r="BC42" i="31"/>
  <c r="BB42" i="31"/>
  <c r="BB46" i="28"/>
  <c r="BC46" i="28"/>
  <c r="AR46" i="28"/>
  <c r="BC44" i="29"/>
  <c r="AR44" i="29"/>
  <c r="BB44" i="29"/>
  <c r="BC29" i="31"/>
  <c r="BB29" i="31"/>
  <c r="AR29" i="31"/>
  <c r="BC39" i="26"/>
  <c r="BB39" i="26"/>
  <c r="AR39" i="26"/>
  <c r="BB22" i="31"/>
  <c r="AR22" i="31"/>
  <c r="BB42" i="27"/>
  <c r="AR42" i="27"/>
  <c r="BC42" i="27"/>
  <c r="BB42" i="32"/>
  <c r="AR42" i="32"/>
  <c r="BC42" i="32"/>
  <c r="BC43" i="30"/>
  <c r="BB43" i="30"/>
  <c r="AR43" i="30"/>
  <c r="BC38" i="27"/>
  <c r="BB38" i="27"/>
  <c r="AR38" i="27"/>
  <c r="BB42" i="28"/>
  <c r="AR42" i="28"/>
  <c r="BC42" i="28"/>
  <c r="BC30" i="27"/>
  <c r="AR30" i="27"/>
  <c r="AR26" i="27"/>
  <c r="BC26" i="27"/>
  <c r="BC22" i="27"/>
  <c r="BC12" i="26"/>
  <c r="AR12" i="26"/>
  <c r="BB12" i="26"/>
  <c r="BB18" i="26"/>
  <c r="AR18" i="26"/>
  <c r="BC18" i="26"/>
  <c r="BC30" i="31"/>
  <c r="AR22" i="29"/>
  <c r="AR4" i="29"/>
  <c r="AU4" i="29" s="1"/>
  <c r="AR23" i="26"/>
  <c r="AU23" i="26" s="1"/>
  <c r="AV23" i="26" s="1"/>
  <c r="AR21" i="28"/>
  <c r="AU21" i="28" s="1"/>
  <c r="AR34" i="27"/>
  <c r="BC34" i="27"/>
  <c r="BC20" i="27"/>
  <c r="AR20" i="27"/>
  <c r="BB20" i="27"/>
  <c r="BC17" i="27"/>
  <c r="BB17" i="27"/>
  <c r="BB30" i="31"/>
  <c r="AR30" i="31"/>
  <c r="BC41" i="31"/>
  <c r="AR41" i="31"/>
  <c r="BB41" i="31"/>
  <c r="BC47" i="30"/>
  <c r="AR47" i="30"/>
  <c r="BB47" i="30"/>
  <c r="BB30" i="27"/>
  <c r="BB26" i="27"/>
  <c r="BB38" i="31"/>
  <c r="BC28" i="29"/>
  <c r="AR28" i="29"/>
  <c r="BB28" i="29"/>
  <c r="BC4" i="29"/>
  <c r="BB4" i="29"/>
  <c r="BB37" i="27"/>
  <c r="AR37" i="27"/>
  <c r="BC37" i="27"/>
  <c r="BC15" i="27"/>
  <c r="AR15" i="27"/>
  <c r="BB15" i="27"/>
  <c r="BC36" i="27"/>
  <c r="BB36" i="27"/>
  <c r="AR36" i="27"/>
  <c r="BB22" i="27"/>
  <c r="AR22" i="27"/>
  <c r="AR12" i="27"/>
  <c r="BB12" i="27"/>
  <c r="BC12" i="27"/>
  <c r="BB14" i="27"/>
  <c r="BC14" i="27"/>
  <c r="AR14" i="27"/>
  <c r="BB41" i="28"/>
  <c r="AR41" i="28"/>
  <c r="BC41" i="28"/>
  <c r="BC47" i="26"/>
  <c r="BB47" i="26"/>
  <c r="AR27" i="26"/>
  <c r="AU27" i="26" s="1"/>
  <c r="AR3" i="26"/>
  <c r="AU3" i="26" s="1"/>
  <c r="AZ3" i="26" s="1"/>
  <c r="BC44" i="27"/>
  <c r="AR44" i="27"/>
  <c r="BB44" i="27"/>
  <c r="BC35" i="28"/>
  <c r="AR35" i="28"/>
  <c r="BB35" i="28"/>
  <c r="BC12" i="28"/>
  <c r="AR23" i="28"/>
  <c r="AU23" i="28" s="1"/>
  <c r="AV23" i="28" s="1"/>
  <c r="BB32" i="28"/>
  <c r="BC33" i="28"/>
  <c r="AR33" i="28"/>
  <c r="AR13" i="29"/>
  <c r="BC37" i="29"/>
  <c r="AR37" i="29"/>
  <c r="BB37" i="29"/>
  <c r="BC22" i="29"/>
  <c r="AR3" i="28"/>
  <c r="AU3" i="28" s="1"/>
  <c r="AR16" i="27"/>
  <c r="BC11" i="26"/>
  <c r="BB14" i="26"/>
  <c r="BC14" i="26"/>
  <c r="AR14" i="26"/>
  <c r="BC16" i="26"/>
  <c r="AR16" i="26"/>
  <c r="BB16" i="26"/>
  <c r="BC32" i="26"/>
  <c r="AR32" i="26"/>
  <c r="BB32" i="26"/>
  <c r="BC4" i="26"/>
  <c r="BB4" i="26"/>
  <c r="BC20" i="26"/>
  <c r="AR20" i="26"/>
  <c r="BB20" i="26"/>
  <c r="AR26" i="26"/>
  <c r="BB26" i="26"/>
  <c r="BB28" i="26"/>
  <c r="BC33" i="26"/>
  <c r="AR33" i="26"/>
  <c r="BB33" i="26"/>
  <c r="BB38" i="26"/>
  <c r="BC38" i="26"/>
  <c r="AR38" i="26"/>
  <c r="BC24" i="26"/>
  <c r="AR24" i="26"/>
  <c r="BB24" i="26"/>
  <c r="AR29" i="26"/>
  <c r="AU29" i="26" s="1"/>
  <c r="BB22" i="26"/>
  <c r="BC22" i="26"/>
  <c r="AR22" i="26"/>
  <c r="BB7" i="26"/>
  <c r="BB11" i="26"/>
  <c r="AR7" i="26"/>
  <c r="AR11" i="26"/>
  <c r="BC4" i="27"/>
  <c r="BB4" i="27"/>
  <c r="AR9" i="27"/>
  <c r="AU9" i="27" s="1"/>
  <c r="BC24" i="27"/>
  <c r="AR24" i="27"/>
  <c r="BB24" i="27"/>
  <c r="BC5" i="27"/>
  <c r="BC25" i="27"/>
  <c r="AR25" i="27"/>
  <c r="BB25" i="27"/>
  <c r="AR32" i="27"/>
  <c r="BB18" i="30"/>
  <c r="BC17" i="28"/>
  <c r="BB17" i="28"/>
  <c r="AR20" i="28"/>
  <c r="BB20" i="28"/>
  <c r="BC37" i="28"/>
  <c r="AR37" i="28"/>
  <c r="BB37" i="28"/>
  <c r="BC31" i="28"/>
  <c r="AR31" i="28"/>
  <c r="BB31" i="28"/>
  <c r="BC11" i="28"/>
  <c r="AR11" i="28"/>
  <c r="BB11" i="28"/>
  <c r="AR13" i="28"/>
  <c r="AU13" i="28" s="1"/>
  <c r="BB36" i="28"/>
  <c r="BC7" i="28"/>
  <c r="AR7" i="28"/>
  <c r="AR24" i="28"/>
  <c r="BB24" i="28"/>
  <c r="BC19" i="28"/>
  <c r="BB19" i="28"/>
  <c r="AV37" i="19"/>
  <c r="BB38" i="30"/>
  <c r="BB34" i="30"/>
  <c r="BC18" i="30"/>
  <c r="AR18" i="30"/>
  <c r="BC11" i="31"/>
  <c r="AR19" i="28"/>
  <c r="AU19" i="28" s="1"/>
  <c r="BC34" i="30"/>
  <c r="AR6" i="30"/>
  <c r="AU6" i="30" s="1"/>
  <c r="BB26" i="29"/>
  <c r="BB14" i="29"/>
  <c r="BB30" i="28"/>
  <c r="BB26" i="28"/>
  <c r="AR19" i="26"/>
  <c r="AU19" i="26" s="1"/>
  <c r="BC36" i="32"/>
  <c r="AR36" i="32"/>
  <c r="BB36" i="32"/>
  <c r="BC41" i="32"/>
  <c r="AR41" i="32"/>
  <c r="BB41" i="32"/>
  <c r="BC37" i="32"/>
  <c r="AR37" i="32"/>
  <c r="BB37" i="32"/>
  <c r="BC39" i="32"/>
  <c r="AR39" i="32"/>
  <c r="AR45" i="30"/>
  <c r="BB45" i="30"/>
  <c r="BC39" i="27"/>
  <c r="BC45" i="27"/>
  <c r="BC41" i="26"/>
  <c r="AR37" i="26"/>
  <c r="AR42" i="26"/>
  <c r="AR36" i="26"/>
  <c r="BC25" i="26"/>
  <c r="AR46" i="26"/>
  <c r="BC40" i="26"/>
  <c r="BC45" i="26"/>
  <c r="AR45" i="26"/>
  <c r="BB31" i="26"/>
  <c r="AR31" i="26"/>
  <c r="AR47" i="26"/>
  <c r="AO44" i="19"/>
  <c r="BB39" i="32"/>
  <c r="BC40" i="32"/>
  <c r="AR40" i="32"/>
  <c r="BB40" i="32"/>
  <c r="BC45" i="32"/>
  <c r="AR45" i="32"/>
  <c r="BB45" i="32"/>
  <c r="BC47" i="32"/>
  <c r="AR47" i="32"/>
  <c r="BB47" i="32"/>
  <c r="AR38" i="32"/>
  <c r="BC38" i="32"/>
  <c r="AR46" i="32"/>
  <c r="BC46" i="32"/>
  <c r="BC23" i="31"/>
  <c r="AR23" i="31"/>
  <c r="BB23" i="31"/>
  <c r="BC31" i="31"/>
  <c r="AR31" i="31"/>
  <c r="BB31" i="31"/>
  <c r="BC33" i="31"/>
  <c r="AR33" i="31"/>
  <c r="BB33" i="31"/>
  <c r="BC39" i="31"/>
  <c r="AR39" i="31"/>
  <c r="BB39" i="31"/>
  <c r="BC9" i="31"/>
  <c r="AR9" i="31"/>
  <c r="BB9" i="31"/>
  <c r="BC28" i="31"/>
  <c r="AR28" i="31"/>
  <c r="BB28" i="31"/>
  <c r="BC36" i="31"/>
  <c r="AR36" i="31"/>
  <c r="BB36" i="31"/>
  <c r="BC4" i="31"/>
  <c r="BB4" i="31"/>
  <c r="BB20" i="31"/>
  <c r="BC27" i="31"/>
  <c r="AR27" i="31"/>
  <c r="BB27" i="31"/>
  <c r="BC35" i="31"/>
  <c r="AR35" i="31"/>
  <c r="BB35" i="31"/>
  <c r="BC44" i="31"/>
  <c r="AR44" i="31"/>
  <c r="BB44" i="31"/>
  <c r="BC43" i="31"/>
  <c r="AR43" i="31"/>
  <c r="BB43" i="31"/>
  <c r="BC12" i="31"/>
  <c r="AR12" i="31"/>
  <c r="BB12" i="31"/>
  <c r="AR13" i="31"/>
  <c r="AU13" i="31" s="1"/>
  <c r="BC24" i="31"/>
  <c r="AR24" i="31"/>
  <c r="BB24" i="31"/>
  <c r="BC32" i="31"/>
  <c r="AR32" i="31"/>
  <c r="BB32" i="31"/>
  <c r="BC40" i="31"/>
  <c r="AR40" i="31"/>
  <c r="BB40" i="31"/>
  <c r="BB46" i="31"/>
  <c r="AR14" i="31"/>
  <c r="BC14" i="31"/>
  <c r="BC26" i="31"/>
  <c r="AR34" i="31"/>
  <c r="BC34" i="31"/>
  <c r="AR38" i="31"/>
  <c r="BC38" i="31"/>
  <c r="AR46" i="31"/>
  <c r="BB7" i="31"/>
  <c r="BB11" i="31"/>
  <c r="BB15" i="31"/>
  <c r="AR7" i="31"/>
  <c r="AR11" i="31"/>
  <c r="AR15" i="31"/>
  <c r="BC31" i="30"/>
  <c r="AR31" i="30"/>
  <c r="BB31" i="30"/>
  <c r="BC41" i="30"/>
  <c r="AR41" i="30"/>
  <c r="BB41" i="30"/>
  <c r="BC20" i="30"/>
  <c r="AR20" i="30"/>
  <c r="BB20" i="30"/>
  <c r="BC19" i="30"/>
  <c r="BB19" i="30"/>
  <c r="BC24" i="30"/>
  <c r="AR24" i="30"/>
  <c r="BB24" i="30"/>
  <c r="AR32" i="30"/>
  <c r="BB32" i="30"/>
  <c r="BC16" i="30"/>
  <c r="AR16" i="30"/>
  <c r="BB16" i="30"/>
  <c r="BC23" i="30"/>
  <c r="AR23" i="30"/>
  <c r="BB23" i="30"/>
  <c r="AR11" i="30"/>
  <c r="BC17" i="30"/>
  <c r="BC37" i="30"/>
  <c r="AR37" i="30"/>
  <c r="BB37" i="30"/>
  <c r="BC44" i="30"/>
  <c r="AR44" i="30"/>
  <c r="BB44" i="30"/>
  <c r="BC3" i="30"/>
  <c r="AR3" i="30"/>
  <c r="BB3" i="30"/>
  <c r="BB5" i="30"/>
  <c r="BC7" i="30"/>
  <c r="BC25" i="30"/>
  <c r="AR25" i="30"/>
  <c r="BB25" i="30"/>
  <c r="AR27" i="30"/>
  <c r="AU27" i="30" s="1"/>
  <c r="BC4" i="30"/>
  <c r="BB4" i="30"/>
  <c r="BB9" i="30"/>
  <c r="BC33" i="30"/>
  <c r="AR33" i="30"/>
  <c r="BB33" i="30"/>
  <c r="BC39" i="30"/>
  <c r="AR39" i="30"/>
  <c r="BB39" i="30"/>
  <c r="BC40" i="30"/>
  <c r="AR40" i="30"/>
  <c r="BB40" i="30"/>
  <c r="BC45" i="30"/>
  <c r="AR39" i="27"/>
  <c r="BB45" i="27"/>
  <c r="BB42" i="26"/>
  <c r="BB25" i="26"/>
  <c r="BC13" i="30"/>
  <c r="AR13" i="30"/>
  <c r="BB13" i="30"/>
  <c r="BC15" i="30"/>
  <c r="AR15" i="30"/>
  <c r="BB14" i="30"/>
  <c r="BB46" i="30"/>
  <c r="AR14" i="30"/>
  <c r="AR22" i="30"/>
  <c r="BC22" i="30"/>
  <c r="AR26" i="30"/>
  <c r="BC26" i="30"/>
  <c r="AR30" i="30"/>
  <c r="BC30" i="30"/>
  <c r="AR34" i="30"/>
  <c r="AR38" i="30"/>
  <c r="AR46" i="30"/>
  <c r="AR9" i="29"/>
  <c r="AU9" i="29" s="1"/>
  <c r="AZ9" i="29" s="1"/>
  <c r="BC39" i="29"/>
  <c r="AR39" i="29"/>
  <c r="BB39" i="29"/>
  <c r="BC41" i="29"/>
  <c r="AR41" i="29"/>
  <c r="BB41" i="29"/>
  <c r="AR5" i="29"/>
  <c r="AU5" i="29" s="1"/>
  <c r="AZ5" i="29" s="1"/>
  <c r="BC12" i="29"/>
  <c r="AR12" i="29"/>
  <c r="BB12" i="29"/>
  <c r="BC29" i="29"/>
  <c r="AR29" i="29"/>
  <c r="BB29" i="29"/>
  <c r="BC47" i="29"/>
  <c r="AR47" i="29"/>
  <c r="BB47" i="29"/>
  <c r="BC36" i="29"/>
  <c r="AR36" i="29"/>
  <c r="BB36" i="29"/>
  <c r="AR3" i="29"/>
  <c r="AU3" i="29" s="1"/>
  <c r="BC24" i="29"/>
  <c r="AR24" i="29"/>
  <c r="BB24" i="29"/>
  <c r="BC35" i="29"/>
  <c r="AR35" i="29"/>
  <c r="BB35" i="29"/>
  <c r="BC11" i="29"/>
  <c r="AR11" i="29"/>
  <c r="BB11" i="29"/>
  <c r="AR23" i="29"/>
  <c r="AU23" i="29" s="1"/>
  <c r="BC25" i="29"/>
  <c r="BB43" i="29"/>
  <c r="BC45" i="29"/>
  <c r="AR45" i="29"/>
  <c r="BB45" i="29"/>
  <c r="BC16" i="29"/>
  <c r="AR16" i="29"/>
  <c r="BB16" i="29"/>
  <c r="AR31" i="29"/>
  <c r="AU31" i="29" s="1"/>
  <c r="BC17" i="29"/>
  <c r="BC20" i="29"/>
  <c r="AR20" i="29"/>
  <c r="BB20" i="29"/>
  <c r="BC40" i="29"/>
  <c r="AR40" i="29"/>
  <c r="BB40" i="29"/>
  <c r="AR14" i="29"/>
  <c r="BC14" i="29"/>
  <c r="AR18" i="29"/>
  <c r="BC18" i="29"/>
  <c r="AR26" i="29"/>
  <c r="BC26" i="29"/>
  <c r="AR30" i="29"/>
  <c r="BC30" i="29"/>
  <c r="BC34" i="29"/>
  <c r="AR46" i="29"/>
  <c r="BC46" i="29"/>
  <c r="BC15" i="28"/>
  <c r="BC28" i="28"/>
  <c r="AR28" i="28"/>
  <c r="BB28" i="28"/>
  <c r="BC39" i="28"/>
  <c r="AR39" i="28"/>
  <c r="BB39" i="28"/>
  <c r="BC5" i="28"/>
  <c r="AR5" i="28"/>
  <c r="BB5" i="28"/>
  <c r="BC4" i="28"/>
  <c r="BB4" i="28"/>
  <c r="BB39" i="27"/>
  <c r="AR41" i="26"/>
  <c r="BC37" i="26"/>
  <c r="BB37" i="26"/>
  <c r="BC36" i="26"/>
  <c r="AR25" i="26"/>
  <c r="BC46" i="26"/>
  <c r="BC23" i="28"/>
  <c r="BC44" i="28"/>
  <c r="AR44" i="28"/>
  <c r="BB44" i="28"/>
  <c r="BC43" i="28"/>
  <c r="AR43" i="28"/>
  <c r="BB43" i="28"/>
  <c r="BC45" i="28"/>
  <c r="AR45" i="28"/>
  <c r="BB45" i="28"/>
  <c r="BC40" i="28"/>
  <c r="AR40" i="28"/>
  <c r="BB40" i="28"/>
  <c r="BB14" i="28"/>
  <c r="AR14" i="28"/>
  <c r="AR26" i="28"/>
  <c r="BC26" i="28"/>
  <c r="AR30" i="28"/>
  <c r="BC30" i="28"/>
  <c r="AR38" i="28"/>
  <c r="BC38" i="28"/>
  <c r="BC40" i="27"/>
  <c r="AR40" i="27"/>
  <c r="BB40" i="27"/>
  <c r="BC31" i="27"/>
  <c r="AR31" i="27"/>
  <c r="BB31" i="27"/>
  <c r="BC47" i="27"/>
  <c r="AR47" i="27"/>
  <c r="BB47" i="27"/>
  <c r="BC41" i="27"/>
  <c r="AR41" i="27"/>
  <c r="BB41" i="27"/>
  <c r="BC23" i="27"/>
  <c r="AR23" i="27"/>
  <c r="BB23" i="27"/>
  <c r="AR45" i="27"/>
  <c r="BB41" i="26"/>
  <c r="BC42" i="26"/>
  <c r="BB36" i="26"/>
  <c r="BB46" i="26"/>
  <c r="AR40" i="26"/>
  <c r="BB40" i="26"/>
  <c r="BB45" i="26"/>
  <c r="BB15" i="26"/>
  <c r="AR15" i="26"/>
  <c r="AR4" i="26"/>
  <c r="AU4" i="26" s="1"/>
  <c r="AR6" i="26"/>
  <c r="AU6" i="26" s="1"/>
  <c r="BB18" i="29"/>
  <c r="BC3" i="31"/>
  <c r="AR4" i="31"/>
  <c r="AU4" i="31" s="1"/>
  <c r="BC7" i="31"/>
  <c r="BC7" i="26"/>
  <c r="AR15" i="28"/>
  <c r="BC15" i="26"/>
  <c r="AR10" i="27"/>
  <c r="AU10" i="27" s="1"/>
  <c r="AR13" i="27"/>
  <c r="AU13" i="27" s="1"/>
  <c r="BC18" i="27"/>
  <c r="AR4" i="28"/>
  <c r="AU4" i="28" s="1"/>
  <c r="AR6" i="28"/>
  <c r="AU6" i="28" s="1"/>
  <c r="BC22" i="28"/>
  <c r="AR21" i="29"/>
  <c r="AU21" i="29" s="1"/>
  <c r="BB30" i="29"/>
  <c r="BB11" i="30"/>
  <c r="AR19" i="30"/>
  <c r="AU19" i="30" s="1"/>
  <c r="BB22" i="30"/>
  <c r="BB30" i="30"/>
  <c r="BC20" i="31"/>
  <c r="BB26" i="31"/>
  <c r="BC31" i="26"/>
  <c r="AR6" i="27"/>
  <c r="AU6" i="27" s="1"/>
  <c r="AR10" i="29"/>
  <c r="AU10" i="29" s="1"/>
  <c r="BB26" i="30"/>
  <c r="BC15" i="31"/>
  <c r="BC16" i="31"/>
  <c r="BC37" i="31"/>
  <c r="AR9" i="28"/>
  <c r="AU9" i="28" s="1"/>
  <c r="BC18" i="28"/>
  <c r="AR10" i="30"/>
  <c r="AU10" i="30" s="1"/>
  <c r="BC14" i="30"/>
  <c r="AR10" i="31"/>
  <c r="AU10" i="31" s="1"/>
  <c r="BB14" i="31"/>
  <c r="AR8" i="26"/>
  <c r="BC28" i="27"/>
  <c r="AR10" i="28"/>
  <c r="AU10" i="28" s="1"/>
  <c r="BC14" i="28"/>
  <c r="AR8" i="29"/>
  <c r="AU8" i="29" s="1"/>
  <c r="AR6" i="29"/>
  <c r="AU6" i="29" s="1"/>
  <c r="BB34" i="31"/>
  <c r="AR19" i="31"/>
  <c r="AU19" i="31" s="1"/>
  <c r="BC25" i="31"/>
  <c r="BC5" i="31"/>
  <c r="AR17" i="31"/>
  <c r="AU17" i="31" s="1"/>
  <c r="AR21" i="31"/>
  <c r="AU21" i="31" s="1"/>
  <c r="AR6" i="31"/>
  <c r="AU6" i="31" s="1"/>
  <c r="BC18" i="31"/>
  <c r="BC32" i="30"/>
  <c r="AR17" i="30"/>
  <c r="AU17" i="30" s="1"/>
  <c r="AR21" i="30"/>
  <c r="AU21" i="30" s="1"/>
  <c r="BC5" i="30"/>
  <c r="AR7" i="30"/>
  <c r="BC12" i="30"/>
  <c r="AR4" i="30"/>
  <c r="AU4" i="30" s="1"/>
  <c r="BC9" i="30"/>
  <c r="BC28" i="30"/>
  <c r="BB15" i="30"/>
  <c r="BC35" i="30"/>
  <c r="BC29" i="30"/>
  <c r="AR36" i="30"/>
  <c r="BB34" i="29"/>
  <c r="BC33" i="29"/>
  <c r="BC15" i="29"/>
  <c r="AR17" i="29"/>
  <c r="AU17" i="29" s="1"/>
  <c r="AR19" i="29"/>
  <c r="AU19" i="29" s="1"/>
  <c r="AR25" i="29"/>
  <c r="BC32" i="29"/>
  <c r="BB34" i="28"/>
  <c r="AR12" i="28"/>
  <c r="AR27" i="28"/>
  <c r="AU27" i="28" s="1"/>
  <c r="AR29" i="28"/>
  <c r="AU29" i="28" s="1"/>
  <c r="AR36" i="28"/>
  <c r="BC24" i="28"/>
  <c r="BC25" i="28"/>
  <c r="BC32" i="28"/>
  <c r="BC16" i="28"/>
  <c r="BB33" i="28"/>
  <c r="BB7" i="28"/>
  <c r="AR17" i="28"/>
  <c r="AU17" i="28" s="1"/>
  <c r="AV17" i="28" s="1"/>
  <c r="BC20" i="28"/>
  <c r="BB34" i="27"/>
  <c r="AR27" i="27"/>
  <c r="AU27" i="27" s="1"/>
  <c r="AR35" i="27"/>
  <c r="BC16" i="27"/>
  <c r="BC11" i="27"/>
  <c r="AR29" i="27"/>
  <c r="AU29" i="27" s="1"/>
  <c r="AR3" i="27"/>
  <c r="AU3" i="27" s="1"/>
  <c r="BC7" i="27"/>
  <c r="AR17" i="27"/>
  <c r="AU17" i="27" s="1"/>
  <c r="AR19" i="27"/>
  <c r="AU19" i="27" s="1"/>
  <c r="AZ19" i="27" s="1"/>
  <c r="AR21" i="27"/>
  <c r="AU21" i="27" s="1"/>
  <c r="BC32" i="27"/>
  <c r="AR4" i="27"/>
  <c r="AU4" i="27" s="1"/>
  <c r="AR5" i="27"/>
  <c r="BC33" i="27"/>
  <c r="BC35" i="26"/>
  <c r="BC34" i="26"/>
  <c r="BB30" i="26"/>
  <c r="AR5" i="26"/>
  <c r="BC26" i="26"/>
  <c r="AR17" i="26"/>
  <c r="AU17" i="26" s="1"/>
  <c r="BC28" i="26"/>
  <c r="AR10" i="26"/>
  <c r="AU10" i="26" s="1"/>
  <c r="AR21" i="26"/>
  <c r="AU21" i="26" s="1"/>
  <c r="AZ40" i="19"/>
  <c r="AV22" i="19"/>
  <c r="AO36" i="19"/>
  <c r="AO43" i="19"/>
  <c r="BB43" i="19" s="1"/>
  <c r="AV39" i="19"/>
  <c r="AV30" i="19"/>
  <c r="AV20" i="19"/>
  <c r="AO42" i="19"/>
  <c r="AV38" i="19"/>
  <c r="AV29" i="19"/>
  <c r="AV28" i="19"/>
  <c r="AV36" i="19"/>
  <c r="AV15" i="19"/>
  <c r="AO47" i="19"/>
  <c r="AO41" i="19"/>
  <c r="BB41" i="19" s="1"/>
  <c r="AV14" i="19"/>
  <c r="AO46" i="19"/>
  <c r="AO40" i="19"/>
  <c r="AV13" i="19"/>
  <c r="AO45" i="19"/>
  <c r="AZ47" i="19"/>
  <c r="AV23" i="19"/>
  <c r="AV12" i="19"/>
  <c r="BB3" i="28"/>
  <c r="BC3" i="28"/>
  <c r="BB27" i="28"/>
  <c r="AZ41" i="19"/>
  <c r="AR43" i="29"/>
  <c r="BC11" i="30"/>
  <c r="AO38" i="19"/>
  <c r="BB38" i="19" s="1"/>
  <c r="AR7" i="27"/>
  <c r="BB35" i="27"/>
  <c r="BC3" i="29"/>
  <c r="AR9" i="30"/>
  <c r="AR5" i="30"/>
  <c r="BC36" i="30"/>
  <c r="AR20" i="31"/>
  <c r="AR18" i="27"/>
  <c r="AR26" i="31"/>
  <c r="BC5" i="26"/>
  <c r="BB28" i="27"/>
  <c r="AR22" i="28"/>
  <c r="BB25" i="28"/>
  <c r="BB32" i="29"/>
  <c r="BB29" i="30"/>
  <c r="BB3" i="31"/>
  <c r="BB45" i="31"/>
  <c r="BB18" i="28"/>
  <c r="BB23" i="26"/>
  <c r="AR30" i="26"/>
  <c r="AR28" i="27"/>
  <c r="BB33" i="27"/>
  <c r="AR18" i="28"/>
  <c r="AR25" i="28"/>
  <c r="BB33" i="29"/>
  <c r="AR32" i="29"/>
  <c r="BB35" i="30"/>
  <c r="AR29" i="30"/>
  <c r="AR45" i="31"/>
  <c r="BB16" i="31"/>
  <c r="BB47" i="31"/>
  <c r="BB22" i="28"/>
  <c r="AO35" i="19"/>
  <c r="BB35" i="19" s="1"/>
  <c r="AR35" i="26"/>
  <c r="BC30" i="26"/>
  <c r="AR33" i="27"/>
  <c r="BB16" i="28"/>
  <c r="BB47" i="28"/>
  <c r="AR33" i="29"/>
  <c r="BB7" i="29"/>
  <c r="AR35" i="30"/>
  <c r="BB18" i="31"/>
  <c r="BB37" i="31"/>
  <c r="AR16" i="31"/>
  <c r="AR47" i="31"/>
  <c r="BB44" i="32"/>
  <c r="BC23" i="26"/>
  <c r="AO34" i="19"/>
  <c r="BB18" i="27"/>
  <c r="AR16" i="28"/>
  <c r="BB23" i="28"/>
  <c r="AR47" i="28"/>
  <c r="BB15" i="28"/>
  <c r="AR7" i="29"/>
  <c r="BB7" i="30"/>
  <c r="AR18" i="31"/>
  <c r="AR37" i="31"/>
  <c r="AR44" i="32"/>
  <c r="AO39" i="19"/>
  <c r="AZ42" i="19"/>
  <c r="AZ34" i="19"/>
  <c r="BB32" i="27"/>
  <c r="BC7" i="29"/>
  <c r="AR3" i="31"/>
  <c r="AZ32" i="19"/>
  <c r="AO20" i="19"/>
  <c r="AR20" i="19" s="1"/>
  <c r="AO27" i="19"/>
  <c r="AO15" i="19"/>
  <c r="AO7" i="19"/>
  <c r="AR7" i="19" s="1"/>
  <c r="AO5" i="19"/>
  <c r="BC5" i="19" s="1"/>
  <c r="AZ26" i="19"/>
  <c r="AO28" i="19"/>
  <c r="BB28" i="19" s="1"/>
  <c r="AO4" i="19"/>
  <c r="AO13" i="19"/>
  <c r="AZ16" i="19"/>
  <c r="AO24" i="19"/>
  <c r="AO12" i="19"/>
  <c r="AO23" i="19"/>
  <c r="AO11" i="19"/>
  <c r="AO21" i="19"/>
  <c r="AZ24" i="19"/>
  <c r="AO32" i="19"/>
  <c r="AR32" i="19" s="1"/>
  <c r="BB3" i="26"/>
  <c r="BC3" i="26"/>
  <c r="BB5" i="31"/>
  <c r="AR5" i="31"/>
  <c r="AR8" i="31"/>
  <c r="BB17" i="31"/>
  <c r="BB25" i="31"/>
  <c r="BC17" i="31"/>
  <c r="AR25" i="31"/>
  <c r="BB36" i="30"/>
  <c r="BB28" i="30"/>
  <c r="BB12" i="30"/>
  <c r="AR28" i="30"/>
  <c r="AR12" i="30"/>
  <c r="AR8" i="30"/>
  <c r="AR34" i="29"/>
  <c r="BB17" i="29"/>
  <c r="BB15" i="29"/>
  <c r="AR15" i="29"/>
  <c r="AR27" i="29"/>
  <c r="AU27" i="29" s="1"/>
  <c r="BB25" i="29"/>
  <c r="BC36" i="28"/>
  <c r="BC34" i="28"/>
  <c r="AR34" i="28"/>
  <c r="AR32" i="28"/>
  <c r="BB12" i="28"/>
  <c r="AR8" i="28"/>
  <c r="BC35" i="27"/>
  <c r="BB7" i="27"/>
  <c r="BB11" i="27"/>
  <c r="BB5" i="27"/>
  <c r="AR8" i="27"/>
  <c r="BB35" i="26"/>
  <c r="BB34" i="26"/>
  <c r="AR34" i="26"/>
  <c r="AR13" i="26"/>
  <c r="AU13" i="26" s="1"/>
  <c r="AR28" i="26"/>
  <c r="AR9" i="26"/>
  <c r="AU9" i="26" s="1"/>
  <c r="AY8" i="26"/>
  <c r="BB5" i="26"/>
  <c r="BB17" i="26"/>
  <c r="BC17" i="26"/>
  <c r="BC6" i="31"/>
  <c r="BB6" i="31"/>
  <c r="BC21" i="31"/>
  <c r="BB21" i="31"/>
  <c r="BC10" i="31"/>
  <c r="BB10" i="31"/>
  <c r="BC21" i="30"/>
  <c r="BB21" i="30"/>
  <c r="BB10" i="30"/>
  <c r="BC10" i="30"/>
  <c r="BC6" i="29"/>
  <c r="BB6" i="29"/>
  <c r="BC21" i="29"/>
  <c r="BB21" i="29"/>
  <c r="BC10" i="29"/>
  <c r="BB10" i="29"/>
  <c r="BB10" i="28"/>
  <c r="BC10" i="28"/>
  <c r="BB6" i="28"/>
  <c r="BC6" i="28"/>
  <c r="BC21" i="28"/>
  <c r="BB21" i="28"/>
  <c r="BC21" i="27"/>
  <c r="BB21" i="27"/>
  <c r="BB10" i="27"/>
  <c r="BC21" i="26"/>
  <c r="BB21" i="26"/>
  <c r="BC6" i="26"/>
  <c r="BB6" i="26"/>
  <c r="AO3" i="19"/>
  <c r="AR37" i="19"/>
  <c r="BC37" i="19"/>
  <c r="BB37" i="19"/>
  <c r="AO29" i="19"/>
  <c r="AO26" i="19"/>
  <c r="AR26" i="19" s="1"/>
  <c r="AO33" i="19"/>
  <c r="AO25" i="19"/>
  <c r="AO31" i="19"/>
  <c r="AZ39" i="19"/>
  <c r="AO30" i="19"/>
  <c r="BC30" i="19" s="1"/>
  <c r="AO22" i="19"/>
  <c r="AO18" i="19"/>
  <c r="AO10" i="19"/>
  <c r="AZ18" i="19"/>
  <c r="AO17" i="19"/>
  <c r="AO9" i="19"/>
  <c r="AO19" i="19"/>
  <c r="AO16" i="19"/>
  <c r="AO8" i="19"/>
  <c r="AZ13" i="19"/>
  <c r="AO14" i="19"/>
  <c r="AO6" i="19"/>
  <c r="AR6" i="19" s="1"/>
  <c r="AU6" i="19" s="1"/>
  <c r="AZ23" i="19"/>
  <c r="AZ15" i="19"/>
  <c r="AZ33" i="19"/>
  <c r="AZ25" i="19"/>
  <c r="AU7" i="19"/>
  <c r="AU11" i="19"/>
  <c r="AZ35" i="19"/>
  <c r="AZ9" i="19"/>
  <c r="AZ43" i="19"/>
  <c r="AV43" i="19"/>
  <c r="AV42" i="19"/>
  <c r="AV34" i="19"/>
  <c r="AV26" i="19"/>
  <c r="AV18" i="19"/>
  <c r="AZ46" i="19"/>
  <c r="AZ38" i="19"/>
  <c r="AZ30" i="19"/>
  <c r="AZ22" i="19"/>
  <c r="AZ14" i="19"/>
  <c r="AV41" i="19"/>
  <c r="AV33" i="19"/>
  <c r="AV25" i="19"/>
  <c r="AV9" i="19"/>
  <c r="AZ45" i="19"/>
  <c r="AZ37" i="19"/>
  <c r="AZ29" i="19"/>
  <c r="AV35" i="19"/>
  <c r="AV40" i="19"/>
  <c r="AV32" i="19"/>
  <c r="AV24" i="19"/>
  <c r="AV16" i="19"/>
  <c r="AZ44" i="19"/>
  <c r="AZ36" i="19"/>
  <c r="AZ28" i="19"/>
  <c r="AZ20" i="19"/>
  <c r="AZ12" i="19"/>
  <c r="AZ23" i="26" l="1"/>
  <c r="AZ4" i="29"/>
  <c r="AV4" i="29"/>
  <c r="AV21" i="28"/>
  <c r="AY21" i="28" s="1"/>
  <c r="AV27" i="26"/>
  <c r="AY27" i="26" s="1"/>
  <c r="AV3" i="26"/>
  <c r="BB36" i="19"/>
  <c r="BC36" i="19"/>
  <c r="AR15" i="19"/>
  <c r="BC15" i="19"/>
  <c r="AR44" i="19"/>
  <c r="BB44" i="19"/>
  <c r="BC44" i="19"/>
  <c r="AZ23" i="28"/>
  <c r="AV9" i="27"/>
  <c r="AY9" i="27" s="1"/>
  <c r="BB19" i="31"/>
  <c r="AV19" i="31"/>
  <c r="AZ19" i="31"/>
  <c r="AZ3" i="29"/>
  <c r="AU13" i="29"/>
  <c r="BC5" i="29"/>
  <c r="BB23" i="29"/>
  <c r="AV23" i="29"/>
  <c r="AV31" i="29"/>
  <c r="AY31" i="29" s="1"/>
  <c r="AZ17" i="29"/>
  <c r="AV3" i="28"/>
  <c r="AZ3" i="28"/>
  <c r="AV4" i="26"/>
  <c r="AV29" i="26"/>
  <c r="BB29" i="26"/>
  <c r="AZ4" i="26"/>
  <c r="AZ29" i="26"/>
  <c r="BC29" i="26"/>
  <c r="AZ17" i="26"/>
  <c r="AV6" i="26"/>
  <c r="AY6" i="26" s="1"/>
  <c r="AV10" i="26"/>
  <c r="AY10" i="26" s="1"/>
  <c r="AV21" i="26"/>
  <c r="AY21" i="26" s="1"/>
  <c r="AV3" i="27"/>
  <c r="AZ3" i="27"/>
  <c r="BC3" i="27"/>
  <c r="BB3" i="27"/>
  <c r="AV27" i="27"/>
  <c r="BC27" i="27"/>
  <c r="AZ27" i="27"/>
  <c r="BB27" i="27"/>
  <c r="AV13" i="27"/>
  <c r="BC13" i="27"/>
  <c r="BB13" i="27"/>
  <c r="AZ13" i="27"/>
  <c r="AV19" i="27"/>
  <c r="AV4" i="27"/>
  <c r="BB19" i="27"/>
  <c r="BB29" i="27"/>
  <c r="BC29" i="27"/>
  <c r="AZ29" i="27"/>
  <c r="AV17" i="27"/>
  <c r="AZ17" i="27"/>
  <c r="AV21" i="27"/>
  <c r="AY21" i="27" s="1"/>
  <c r="BC13" i="31"/>
  <c r="AZ13" i="31"/>
  <c r="BB13" i="31"/>
  <c r="AV13" i="31"/>
  <c r="AZ17" i="31"/>
  <c r="AV8" i="29"/>
  <c r="BC13" i="28"/>
  <c r="AV13" i="28"/>
  <c r="BB13" i="28"/>
  <c r="AZ27" i="28"/>
  <c r="AV27" i="28"/>
  <c r="BC27" i="28"/>
  <c r="AZ29" i="28"/>
  <c r="BC29" i="28"/>
  <c r="AV29" i="28"/>
  <c r="BB29" i="28"/>
  <c r="AZ13" i="28"/>
  <c r="AV9" i="28"/>
  <c r="AY9" i="28" s="1"/>
  <c r="BC43" i="19"/>
  <c r="AV17" i="30"/>
  <c r="AZ17" i="30"/>
  <c r="BB6" i="30"/>
  <c r="BC6" i="30"/>
  <c r="AZ19" i="28"/>
  <c r="AV19" i="28"/>
  <c r="AV6" i="30"/>
  <c r="AY6" i="30" s="1"/>
  <c r="AV19" i="26"/>
  <c r="AY19" i="26" s="1"/>
  <c r="BB27" i="30"/>
  <c r="AZ27" i="30"/>
  <c r="BC9" i="29"/>
  <c r="BB9" i="29"/>
  <c r="AV9" i="29"/>
  <c r="BB5" i="29"/>
  <c r="AV5" i="29"/>
  <c r="BB3" i="29"/>
  <c r="AV3" i="29"/>
  <c r="BC23" i="29"/>
  <c r="AZ23" i="29"/>
  <c r="AV4" i="31"/>
  <c r="AZ4" i="31"/>
  <c r="AV10" i="27"/>
  <c r="AY10" i="27" s="1"/>
  <c r="AZ4" i="28"/>
  <c r="AV4" i="28"/>
  <c r="AV6" i="28"/>
  <c r="AY6" i="28" s="1"/>
  <c r="AV21" i="29"/>
  <c r="AY21" i="29" s="1"/>
  <c r="AV19" i="30"/>
  <c r="AZ19" i="30"/>
  <c r="AV6" i="27"/>
  <c r="AY6" i="27" s="1"/>
  <c r="AV10" i="29"/>
  <c r="AY10" i="29" s="1"/>
  <c r="AV10" i="30"/>
  <c r="AY10" i="30" s="1"/>
  <c r="AV10" i="31"/>
  <c r="AY10" i="31" s="1"/>
  <c r="AU8" i="26"/>
  <c r="AV10" i="28"/>
  <c r="AY10" i="28" s="1"/>
  <c r="AV6" i="29"/>
  <c r="AY6" i="29" s="1"/>
  <c r="BC19" i="31"/>
  <c r="AV17" i="31"/>
  <c r="AV21" i="31"/>
  <c r="AY21" i="31" s="1"/>
  <c r="AV6" i="31"/>
  <c r="AY6" i="31" s="1"/>
  <c r="BB17" i="30"/>
  <c r="AV21" i="30"/>
  <c r="AY21" i="30" s="1"/>
  <c r="AV4" i="30"/>
  <c r="AZ4" i="30"/>
  <c r="AV17" i="29"/>
  <c r="AV19" i="29"/>
  <c r="AZ19" i="29"/>
  <c r="BB19" i="29"/>
  <c r="BC19" i="29"/>
  <c r="AZ17" i="28"/>
  <c r="AV29" i="27"/>
  <c r="BC19" i="27"/>
  <c r="AZ4" i="27"/>
  <c r="AV17" i="26"/>
  <c r="BB45" i="19"/>
  <c r="AR42" i="19"/>
  <c r="BC42" i="19"/>
  <c r="BB42" i="19"/>
  <c r="BB47" i="19"/>
  <c r="BC41" i="19"/>
  <c r="AR46" i="19"/>
  <c r="BB46" i="19"/>
  <c r="BC46" i="19"/>
  <c r="BC40" i="19"/>
  <c r="BB40" i="19"/>
  <c r="AR40" i="19"/>
  <c r="BC27" i="30"/>
  <c r="AV27" i="30"/>
  <c r="BB13" i="26"/>
  <c r="AY8" i="29"/>
  <c r="BC35" i="19"/>
  <c r="BB34" i="19"/>
  <c r="BC34" i="19"/>
  <c r="AR34" i="19"/>
  <c r="BB39" i="19"/>
  <c r="AR12" i="19"/>
  <c r="BC12" i="19"/>
  <c r="BB32" i="19"/>
  <c r="AR35" i="19"/>
  <c r="BC27" i="26"/>
  <c r="BB10" i="26"/>
  <c r="BC14" i="19"/>
  <c r="AR8" i="19"/>
  <c r="BB33" i="19"/>
  <c r="BB5" i="19"/>
  <c r="AR13" i="19"/>
  <c r="AR9" i="19"/>
  <c r="AR22" i="19"/>
  <c r="BB29" i="19"/>
  <c r="AR4" i="19"/>
  <c r="AU4" i="19" s="1"/>
  <c r="BC20" i="19"/>
  <c r="BC32" i="19"/>
  <c r="BB30" i="19"/>
  <c r="AR21" i="19"/>
  <c r="AU21" i="19" s="1"/>
  <c r="BC28" i="19"/>
  <c r="AR41" i="19"/>
  <c r="AR27" i="19"/>
  <c r="AU27" i="19" s="1"/>
  <c r="BB15" i="19"/>
  <c r="BC39" i="19"/>
  <c r="AR39" i="19"/>
  <c r="AR11" i="19"/>
  <c r="BC23" i="19"/>
  <c r="AR10" i="19"/>
  <c r="AU10" i="19" s="1"/>
  <c r="AR31" i="19"/>
  <c r="AU31" i="19" s="1"/>
  <c r="AR5" i="19"/>
  <c r="AU5" i="19" s="1"/>
  <c r="AR43" i="19"/>
  <c r="BB23" i="19"/>
  <c r="BB18" i="19"/>
  <c r="AR25" i="19"/>
  <c r="BB12" i="19"/>
  <c r="AR47" i="19"/>
  <c r="BC45" i="19"/>
  <c r="BC24" i="19"/>
  <c r="BC38" i="19"/>
  <c r="AR23" i="19"/>
  <c r="BC7" i="19"/>
  <c r="BB24" i="19"/>
  <c r="BC16" i="19"/>
  <c r="BC26" i="19"/>
  <c r="BC47" i="19"/>
  <c r="AR45" i="19"/>
  <c r="AR36" i="19"/>
  <c r="AR38" i="19"/>
  <c r="AZ13" i="26"/>
  <c r="AV13" i="26"/>
  <c r="BB26" i="19"/>
  <c r="AV27" i="29"/>
  <c r="AY27" i="29" s="1"/>
  <c r="AR14" i="19"/>
  <c r="BC13" i="26"/>
  <c r="BB27" i="26"/>
  <c r="AR16" i="19"/>
  <c r="AV9" i="26"/>
  <c r="AY9" i="26" s="1"/>
  <c r="BB13" i="19"/>
  <c r="BB9" i="19"/>
  <c r="BC13" i="19"/>
  <c r="BC33" i="19"/>
  <c r="BB25" i="19"/>
  <c r="BB14" i="19"/>
  <c r="BB20" i="19"/>
  <c r="AR30" i="19"/>
  <c r="AV6" i="19"/>
  <c r="AY6" i="19" s="1"/>
  <c r="BC29" i="19"/>
  <c r="BB16" i="19"/>
  <c r="AR18" i="19"/>
  <c r="AV7" i="19"/>
  <c r="BC18" i="19"/>
  <c r="AR24" i="19"/>
  <c r="AR3" i="19"/>
  <c r="AU3" i="19" s="1"/>
  <c r="AR28" i="19"/>
  <c r="AU8" i="31"/>
  <c r="AU8" i="30"/>
  <c r="AU8" i="28"/>
  <c r="AU8" i="27"/>
  <c r="BB8" i="26"/>
  <c r="BC8" i="26"/>
  <c r="BB6" i="27"/>
  <c r="BC10" i="26"/>
  <c r="AR33" i="19"/>
  <c r="BC25" i="19"/>
  <c r="BC22" i="19"/>
  <c r="BB22" i="19"/>
  <c r="AR29" i="19"/>
  <c r="AR19" i="19"/>
  <c r="AU19" i="19" s="1"/>
  <c r="AV19" i="19" s="1"/>
  <c r="AR17" i="19"/>
  <c r="AU17" i="19" s="1"/>
  <c r="BB7" i="19"/>
  <c r="BC9" i="19"/>
  <c r="AV11" i="19"/>
  <c r="AY11" i="19" s="1"/>
  <c r="AZ27" i="26" l="1"/>
  <c r="AZ21" i="28"/>
  <c r="AZ9" i="27"/>
  <c r="AV13" i="29"/>
  <c r="AY13" i="29" s="1"/>
  <c r="BB31" i="29"/>
  <c r="BC31" i="29"/>
  <c r="AZ31" i="29"/>
  <c r="AV4" i="19"/>
  <c r="AY4" i="19" s="1"/>
  <c r="AV10" i="19"/>
  <c r="AY10" i="19" s="1"/>
  <c r="AZ31" i="19"/>
  <c r="AZ21" i="26"/>
  <c r="AZ8" i="26"/>
  <c r="AZ6" i="26"/>
  <c r="AZ10" i="26"/>
  <c r="AZ21" i="27"/>
  <c r="BC9" i="27"/>
  <c r="BB9" i="27"/>
  <c r="AZ6" i="31"/>
  <c r="AZ8" i="29"/>
  <c r="BC8" i="29"/>
  <c r="BB8" i="29"/>
  <c r="BC9" i="28"/>
  <c r="BB9" i="28"/>
  <c r="AZ9" i="28"/>
  <c r="AZ19" i="19"/>
  <c r="AZ6" i="30"/>
  <c r="AZ10" i="27"/>
  <c r="AZ6" i="28"/>
  <c r="AZ21" i="29"/>
  <c r="AZ6" i="27"/>
  <c r="AZ10" i="29"/>
  <c r="AZ10" i="30"/>
  <c r="AZ10" i="31"/>
  <c r="AV8" i="26"/>
  <c r="AZ10" i="28"/>
  <c r="AZ6" i="29"/>
  <c r="AZ21" i="31"/>
  <c r="AZ21" i="30"/>
  <c r="AZ27" i="29"/>
  <c r="BB31" i="19"/>
  <c r="AV27" i="19"/>
  <c r="AY27" i="19" s="1"/>
  <c r="AZ19" i="26"/>
  <c r="AU8" i="19"/>
  <c r="AZ5" i="19"/>
  <c r="AV5" i="19"/>
  <c r="AV21" i="19"/>
  <c r="AY21" i="19" s="1"/>
  <c r="BB17" i="19"/>
  <c r="BC19" i="19"/>
  <c r="BC31" i="19"/>
  <c r="AV31" i="19"/>
  <c r="AV3" i="19"/>
  <c r="AY3" i="19" s="1"/>
  <c r="AZ11" i="19"/>
  <c r="AZ6" i="19"/>
  <c r="BC6" i="19" s="1"/>
  <c r="BB19" i="19"/>
  <c r="AZ9" i="26"/>
  <c r="BB4" i="19"/>
  <c r="BC4" i="19"/>
  <c r="AY7" i="19"/>
  <c r="AV17" i="19"/>
  <c r="AZ17" i="19"/>
  <c r="BC17" i="19"/>
  <c r="AV8" i="31"/>
  <c r="AV8" i="30"/>
  <c r="AV8" i="28"/>
  <c r="AV8" i="27"/>
  <c r="BB11" i="19"/>
  <c r="BC11" i="19"/>
  <c r="AZ4" i="19" l="1"/>
  <c r="AZ13" i="29"/>
  <c r="BC13" i="29"/>
  <c r="BB13" i="29"/>
  <c r="BC27" i="29"/>
  <c r="BB27" i="29"/>
  <c r="AZ10" i="19"/>
  <c r="BB19" i="26"/>
  <c r="BC9" i="26"/>
  <c r="AZ27" i="19"/>
  <c r="AV8" i="19"/>
  <c r="BC10" i="27"/>
  <c r="BC6" i="27"/>
  <c r="BC19" i="26"/>
  <c r="BB9" i="26"/>
  <c r="BC10" i="19"/>
  <c r="AZ3" i="19"/>
  <c r="AZ21" i="19"/>
  <c r="BB6" i="19"/>
  <c r="AZ7" i="19"/>
  <c r="BB10" i="19"/>
  <c r="AY8" i="31"/>
  <c r="AY8" i="30"/>
  <c r="AY8" i="28"/>
  <c r="AY8" i="27"/>
  <c r="AY8" i="19" l="1"/>
  <c r="BB27" i="19"/>
  <c r="BC27" i="19"/>
  <c r="BC3" i="19"/>
  <c r="BB21" i="19"/>
  <c r="BC21" i="19"/>
  <c r="BC8" i="31"/>
  <c r="BB8" i="31"/>
  <c r="AZ8" i="31"/>
  <c r="BB8" i="30"/>
  <c r="BC8" i="30"/>
  <c r="AZ8" i="30"/>
  <c r="AZ8" i="28"/>
  <c r="BB8" i="28"/>
  <c r="BC8" i="28"/>
  <c r="BB8" i="27"/>
  <c r="BC8" i="27"/>
  <c r="AZ8" i="27"/>
  <c r="AZ8" i="19" l="1"/>
  <c r="BB8" i="19"/>
  <c r="BC8" i="19"/>
  <c r="BB3" i="19"/>
</calcChain>
</file>

<file path=xl/sharedStrings.xml><?xml version="1.0" encoding="utf-8"?>
<sst xmlns="http://schemas.openxmlformats.org/spreadsheetml/2006/main" count="1489" uniqueCount="157">
  <si>
    <t>P1</t>
  </si>
  <si>
    <t>P2</t>
  </si>
  <si>
    <t>P3</t>
  </si>
  <si>
    <t>P4</t>
  </si>
  <si>
    <t>NOMBRES</t>
  </si>
  <si>
    <t>NO</t>
  </si>
  <si>
    <t>RP1</t>
  </si>
  <si>
    <t>RP2</t>
  </si>
  <si>
    <t>RP3</t>
  </si>
  <si>
    <t>RP4</t>
  </si>
  <si>
    <t>APELLIDOS</t>
  </si>
  <si>
    <t>50% C.F</t>
  </si>
  <si>
    <t>C.E.C.</t>
  </si>
  <si>
    <t>50% C.E.C.</t>
  </si>
  <si>
    <t>30% C.F.</t>
  </si>
  <si>
    <t>C.F</t>
  </si>
  <si>
    <t>A</t>
  </si>
  <si>
    <t>R</t>
  </si>
  <si>
    <t>CE - LE1</t>
  </si>
  <si>
    <t>CE - LE2, LE3</t>
  </si>
  <si>
    <t>CE - LE4, LE6</t>
  </si>
  <si>
    <t>CE - LE5, LE7</t>
  </si>
  <si>
    <t>PCP 1</t>
  </si>
  <si>
    <t>PCP 2</t>
  </si>
  <si>
    <t>PCP 3</t>
  </si>
  <si>
    <t>PCP 4</t>
  </si>
  <si>
    <t>C.C.F</t>
  </si>
  <si>
    <t>C.F.</t>
  </si>
  <si>
    <t>C.E.</t>
  </si>
  <si>
    <t>C.E.EX</t>
  </si>
  <si>
    <t>70% C.E.EX</t>
  </si>
  <si>
    <t>C.EX.F</t>
  </si>
  <si>
    <t>ANDY</t>
  </si>
  <si>
    <t>ALEXANDER</t>
  </si>
  <si>
    <t>DE LA PAZ JOSE</t>
  </si>
  <si>
    <t>ALEXANDRA</t>
  </si>
  <si>
    <t>ANA ANGELA</t>
  </si>
  <si>
    <t>ALMONTE VIDAL</t>
  </si>
  <si>
    <t>ANA JULIA</t>
  </si>
  <si>
    <t>REYES GUZMAN</t>
  </si>
  <si>
    <t>HENRIQUEZ GUERRERO</t>
  </si>
  <si>
    <t>ANGEL LUIS</t>
  </si>
  <si>
    <t>DE LA CRUZ BRAZOBAN</t>
  </si>
  <si>
    <t>CARINA</t>
  </si>
  <si>
    <t xml:space="preserve">DEL ROSARIO </t>
  </si>
  <si>
    <t>CARMEN LUCIA</t>
  </si>
  <si>
    <t>OSCAR HERNANDEZ</t>
  </si>
  <si>
    <t>CRISTIAN LEONARDO</t>
  </si>
  <si>
    <t>SOTO SELMO</t>
  </si>
  <si>
    <t>DANIEL FERNANDO</t>
  </si>
  <si>
    <t>DE WINDT MEDINA</t>
  </si>
  <si>
    <t>DANIELKA</t>
  </si>
  <si>
    <t xml:space="preserve">DE LA CRUZ </t>
  </si>
  <si>
    <t>DARIELA</t>
  </si>
  <si>
    <t>ARCANGEL VASQUEZ</t>
  </si>
  <si>
    <t>DARIHANA</t>
  </si>
  <si>
    <t xml:space="preserve">SORIANO </t>
  </si>
  <si>
    <t>DARLIN</t>
  </si>
  <si>
    <t xml:space="preserve">JIMENEZ </t>
  </si>
  <si>
    <t>DEIRI</t>
  </si>
  <si>
    <t xml:space="preserve">BRUJAN </t>
  </si>
  <si>
    <t>ELBA MARGARITA</t>
  </si>
  <si>
    <t xml:space="preserve">SALAZAR </t>
  </si>
  <si>
    <t>ELIZABETH</t>
  </si>
  <si>
    <t>SOLANO MARTINEZ</t>
  </si>
  <si>
    <t>EMMANUELLA</t>
  </si>
  <si>
    <t>JEAN LOUIS</t>
  </si>
  <si>
    <t>ERZULIA</t>
  </si>
  <si>
    <t xml:space="preserve">NARCISSE </t>
  </si>
  <si>
    <t>GREULY</t>
  </si>
  <si>
    <t>JASINTO DE LA ROSA</t>
  </si>
  <si>
    <t>JOHNNDERY YOENDRIS</t>
  </si>
  <si>
    <t>CUEBA NAVARRO</t>
  </si>
  <si>
    <t>JOSE RAMON</t>
  </si>
  <si>
    <t>CONSTANZA REYES</t>
  </si>
  <si>
    <t>JUAN JOSE</t>
  </si>
  <si>
    <t>PERALTA PANIAGUA</t>
  </si>
  <si>
    <t>LUIS MANUEL</t>
  </si>
  <si>
    <t>RODRIGUEZ FERRAND</t>
  </si>
  <si>
    <t>MERCEDES</t>
  </si>
  <si>
    <t>GIRON GARCIA</t>
  </si>
  <si>
    <t>MEROLIN</t>
  </si>
  <si>
    <t>MORENO JAQUEZ</t>
  </si>
  <si>
    <t>MIRLANDIE</t>
  </si>
  <si>
    <t>MONTREVIL PIERRE</t>
  </si>
  <si>
    <t>ODALI</t>
  </si>
  <si>
    <t>MORA PEREZ</t>
  </si>
  <si>
    <t>OSMEILIN</t>
  </si>
  <si>
    <t>CONSEPCION MARTINEZ</t>
  </si>
  <si>
    <t>PAULINA</t>
  </si>
  <si>
    <t>JACINTO TORIBIO</t>
  </si>
  <si>
    <t>PHALANCIA</t>
  </si>
  <si>
    <t xml:space="preserve">LOUIME </t>
  </si>
  <si>
    <t>ROSMAILIN ALEXANDRA</t>
  </si>
  <si>
    <t>MARIANO MARTE</t>
  </si>
  <si>
    <t>SANDY DE LOS SANTOS</t>
  </si>
  <si>
    <t>PAYANO LOPEZ</t>
  </si>
  <si>
    <t>SAUL</t>
  </si>
  <si>
    <t>DIAZ DE LA ROSA</t>
  </si>
  <si>
    <t>YONATHAN JR</t>
  </si>
  <si>
    <t>VILLAR FRIAS</t>
  </si>
  <si>
    <t>YUDITH AILYN</t>
  </si>
  <si>
    <t xml:space="preserve">RONDON </t>
  </si>
  <si>
    <t>FRANK MANUEL</t>
  </si>
  <si>
    <t>GUZMAN ARAUJO</t>
  </si>
  <si>
    <t>ALTIDOR</t>
  </si>
  <si>
    <t xml:space="preserve">CASH </t>
  </si>
  <si>
    <t>JORDANY</t>
  </si>
  <si>
    <t>MORENO GIRON</t>
  </si>
  <si>
    <t>FRANDY YADIEL</t>
  </si>
  <si>
    <t>MEDINA  MARTINEZ</t>
  </si>
  <si>
    <t>ID</t>
  </si>
  <si>
    <t>3A-A-01</t>
  </si>
  <si>
    <t>3A-A-02</t>
  </si>
  <si>
    <t>3A-A-03</t>
  </si>
  <si>
    <t>3A-A-04</t>
  </si>
  <si>
    <t>3A-A-05</t>
  </si>
  <si>
    <t>3A-A-06</t>
  </si>
  <si>
    <t>3A-A-07</t>
  </si>
  <si>
    <t>3A-A-08</t>
  </si>
  <si>
    <t>3A-A-09</t>
  </si>
  <si>
    <t>3A-A-10</t>
  </si>
  <si>
    <t>3A-A-11</t>
  </si>
  <si>
    <t>3A-A-12</t>
  </si>
  <si>
    <t>3A-A-13</t>
  </si>
  <si>
    <t>3A-A-14</t>
  </si>
  <si>
    <t>3A-A-15</t>
  </si>
  <si>
    <t>3A-A-16</t>
  </si>
  <si>
    <t>3A-A-17</t>
  </si>
  <si>
    <t>3A-A-18</t>
  </si>
  <si>
    <t>3A-A-19</t>
  </si>
  <si>
    <t>3A-A-20</t>
  </si>
  <si>
    <t>3A-A-21</t>
  </si>
  <si>
    <t>3A-A-22</t>
  </si>
  <si>
    <t>3A-A-23</t>
  </si>
  <si>
    <t>3A-A-24</t>
  </si>
  <si>
    <t>3A-A-25</t>
  </si>
  <si>
    <t>3A-A-26</t>
  </si>
  <si>
    <t>3A-A-27</t>
  </si>
  <si>
    <t>3A-A-28</t>
  </si>
  <si>
    <t>3A-A-29</t>
  </si>
  <si>
    <t>3A-A-30</t>
  </si>
  <si>
    <t>3A-A-31</t>
  </si>
  <si>
    <t>3A-A-32</t>
  </si>
  <si>
    <t>3A-A-33</t>
  </si>
  <si>
    <t>3A-A-34</t>
  </si>
  <si>
    <t>3A-A-35</t>
  </si>
  <si>
    <t>3A-A-36</t>
  </si>
  <si>
    <t>3A-A-37</t>
  </si>
  <si>
    <t>3A-A-38</t>
  </si>
  <si>
    <t>3A-A-39</t>
  </si>
  <si>
    <t>3A-A-40</t>
  </si>
  <si>
    <t>3A-A-41</t>
  </si>
  <si>
    <t>3A-A-42</t>
  </si>
  <si>
    <t>3A-A-43</t>
  </si>
  <si>
    <t>3A-A-44</t>
  </si>
  <si>
    <t>3A-A-45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</si>
</sst>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;;@"/>
    <numFmt numFmtId="165" formatCode="0;0;;@"/>
    <numFmt numFmtId="166" formatCode="0;0;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color theme="1"/>
      <name val="Times New Roman"/>
      <family val="1"/>
    </font>
    <font>
      <sz val="8"/>
      <color theme="1"/>
      <name val="Arial"/>
      <family val="2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rgb="FFFFFFCC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144">
    <xf numFmtId="0" fontId="0" fillId="0" borderId="0" xfId="0"/>
    <xf numFmtId="0" fontId="0" fillId="0" borderId="20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1" fillId="4" borderId="26" xfId="0" applyFont="1" applyFill="1" applyBorder="1" applyAlignment="1" applyProtection="1">
      <alignment horizontal="center"/>
      <protection locked="0"/>
    </xf>
    <xf numFmtId="0" fontId="1" fillId="7" borderId="8" xfId="0" applyFont="1" applyFill="1" applyBorder="1" applyAlignment="1" applyProtection="1">
      <alignment horizontal="center"/>
      <protection locked="0"/>
    </xf>
    <xf numFmtId="0" fontId="1" fillId="7" borderId="11" xfId="0" applyFont="1" applyFill="1" applyBorder="1" applyAlignment="1" applyProtection="1">
      <alignment horizontal="center"/>
      <protection locked="0"/>
    </xf>
    <xf numFmtId="0" fontId="1" fillId="9" borderId="16" xfId="0" applyFont="1" applyFill="1" applyBorder="1" applyAlignment="1" applyProtection="1">
      <alignment horizontal="center"/>
      <protection locked="0"/>
    </xf>
    <xf numFmtId="0" fontId="1" fillId="9" borderId="17" xfId="0" applyFont="1" applyFill="1" applyBorder="1" applyAlignment="1" applyProtection="1">
      <alignment horizontal="center"/>
      <protection locked="0"/>
    </xf>
    <xf numFmtId="0" fontId="1" fillId="9" borderId="18" xfId="0" applyFont="1" applyFill="1" applyBorder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3" borderId="7" xfId="0" applyFont="1" applyFill="1" applyBorder="1" applyAlignment="1" applyProtection="1">
      <alignment horizontal="center"/>
      <protection locked="0"/>
    </xf>
    <xf numFmtId="0" fontId="1" fillId="3" borderId="8" xfId="0" applyFont="1" applyFill="1" applyBorder="1" applyAlignment="1" applyProtection="1">
      <alignment horizontal="center"/>
      <protection locked="0"/>
    </xf>
    <xf numFmtId="0" fontId="1" fillId="3" borderId="9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11" xfId="0" applyFont="1" applyFill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1" fillId="2" borderId="14" xfId="0" applyFont="1" applyFill="1" applyBorder="1" applyAlignment="1" applyProtection="1">
      <alignment horizontal="center"/>
      <protection locked="0"/>
    </xf>
    <xf numFmtId="0" fontId="1" fillId="2" borderId="15" xfId="0" applyFont="1" applyFill="1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64" fontId="1" fillId="0" borderId="25" xfId="0" applyNumberFormat="1" applyFont="1" applyBorder="1" applyAlignment="1" applyProtection="1">
      <alignment horizontal="center"/>
      <protection locked="0"/>
    </xf>
    <xf numFmtId="1" fontId="3" fillId="8" borderId="1" xfId="0" applyNumberFormat="1" applyFont="1" applyFill="1" applyBorder="1" applyAlignment="1" applyProtection="1">
      <alignment horizontal="center" vertical="center"/>
      <protection locked="0"/>
    </xf>
    <xf numFmtId="1" fontId="3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35" xfId="0" applyNumberFormat="1" applyFont="1" applyBorder="1" applyAlignment="1" applyProtection="1">
      <alignment horizontal="center"/>
      <protection locked="0"/>
    </xf>
    <xf numFmtId="164" fontId="1" fillId="0" borderId="36" xfId="0" applyNumberFormat="1" applyFont="1" applyBorder="1" applyAlignment="1" applyProtection="1">
      <alignment horizontal="center"/>
      <protection locked="0"/>
    </xf>
    <xf numFmtId="164" fontId="1" fillId="3" borderId="2" xfId="0" applyNumberFormat="1" applyFont="1" applyFill="1" applyBorder="1" applyAlignment="1">
      <alignment horizontal="center"/>
    </xf>
    <xf numFmtId="164" fontId="1" fillId="7" borderId="3" xfId="0" applyNumberFormat="1" applyFont="1" applyFill="1" applyBorder="1" applyAlignment="1">
      <alignment horizontal="center"/>
    </xf>
    <xf numFmtId="164" fontId="1" fillId="9" borderId="3" xfId="0" applyNumberFormat="1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164" fontId="1" fillId="5" borderId="4" xfId="0" applyNumberFormat="1" applyFont="1" applyFill="1" applyBorder="1" applyAlignment="1">
      <alignment horizontal="center"/>
    </xf>
    <xf numFmtId="164" fontId="1" fillId="3" borderId="5" xfId="0" applyNumberFormat="1" applyFont="1" applyFill="1" applyBorder="1" applyAlignment="1">
      <alignment horizontal="center"/>
    </xf>
    <xf numFmtId="164" fontId="1" fillId="7" borderId="1" xfId="0" applyNumberFormat="1" applyFont="1" applyFill="1" applyBorder="1" applyAlignment="1">
      <alignment horizontal="center"/>
    </xf>
    <xf numFmtId="164" fontId="1" fillId="9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1" fillId="5" borderId="6" xfId="0" applyNumberFormat="1" applyFon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9" borderId="8" xfId="0" applyNumberFormat="1" applyFont="1" applyFill="1" applyBorder="1" applyAlignment="1">
      <alignment horizontal="center"/>
    </xf>
    <xf numFmtId="164" fontId="1" fillId="4" borderId="8" xfId="0" applyNumberFormat="1" applyFont="1" applyFill="1" applyBorder="1" applyAlignment="1">
      <alignment horizontal="center"/>
    </xf>
    <xf numFmtId="164" fontId="1" fillId="5" borderId="9" xfId="0" applyNumberFormat="1" applyFont="1" applyFill="1" applyBorder="1" applyAlignment="1">
      <alignment horizontal="center"/>
    </xf>
    <xf numFmtId="164" fontId="3" fillId="6" borderId="5" xfId="0" applyNumberFormat="1" applyFont="1" applyFill="1" applyBorder="1" applyAlignment="1">
      <alignment horizontal="center" vertical="center"/>
    </xf>
    <xf numFmtId="164" fontId="3" fillId="6" borderId="7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4" fontId="3" fillId="6" borderId="6" xfId="0" applyNumberFormat="1" applyFont="1" applyFill="1" applyBorder="1" applyAlignment="1">
      <alignment horizontal="center" vertical="center"/>
    </xf>
    <xf numFmtId="164" fontId="3" fillId="6" borderId="8" xfId="0" applyNumberFormat="1" applyFont="1" applyFill="1" applyBorder="1" applyAlignment="1">
      <alignment horizontal="center" vertical="center"/>
    </xf>
    <xf numFmtId="164" fontId="3" fillId="6" borderId="9" xfId="0" applyNumberFormat="1" applyFont="1" applyFill="1" applyBorder="1" applyAlignment="1">
      <alignment horizontal="center" vertical="center"/>
    </xf>
    <xf numFmtId="164" fontId="3" fillId="6" borderId="12" xfId="0" applyNumberFormat="1" applyFont="1" applyFill="1" applyBorder="1" applyAlignment="1">
      <alignment horizontal="center" vertical="center"/>
    </xf>
    <xf numFmtId="164" fontId="3" fillId="6" borderId="11" xfId="0" applyNumberFormat="1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horizontal="center"/>
    </xf>
    <xf numFmtId="1" fontId="1" fillId="6" borderId="6" xfId="0" applyNumberFormat="1" applyFont="1" applyFill="1" applyBorder="1" applyAlignment="1">
      <alignment horizontal="center"/>
    </xf>
    <xf numFmtId="165" fontId="1" fillId="6" borderId="6" xfId="0" applyNumberFormat="1" applyFont="1" applyFill="1" applyBorder="1" applyAlignment="1">
      <alignment horizontal="center"/>
    </xf>
    <xf numFmtId="1" fontId="1" fillId="6" borderId="7" xfId="0" applyNumberFormat="1" applyFont="1" applyFill="1" applyBorder="1" applyAlignment="1">
      <alignment horizontal="center"/>
    </xf>
    <xf numFmtId="165" fontId="1" fillId="6" borderId="9" xfId="0" applyNumberFormat="1" applyFont="1" applyFill="1" applyBorder="1" applyAlignment="1">
      <alignment horizontal="center"/>
    </xf>
    <xf numFmtId="0" fontId="4" fillId="10" borderId="1" xfId="0" applyFont="1" applyFill="1" applyBorder="1" applyAlignment="1" applyProtection="1">
      <alignment vertical="center" wrapText="1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5" fillId="11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Border="1" applyAlignment="1" applyProtection="1">
      <alignment vertical="center" wrapText="1"/>
      <protection locked="0"/>
    </xf>
    <xf numFmtId="0" fontId="6" fillId="11" borderId="1" xfId="0" applyFont="1" applyFill="1" applyBorder="1" applyAlignment="1" applyProtection="1">
      <alignment vertical="center" wrapText="1"/>
      <protection locked="0"/>
    </xf>
    <xf numFmtId="0" fontId="7" fillId="11" borderId="1" xfId="0" applyFont="1" applyFill="1" applyBorder="1" applyAlignment="1" applyProtection="1">
      <alignment vertical="center" wrapText="1"/>
      <protection locked="0"/>
    </xf>
    <xf numFmtId="0" fontId="0" fillId="0" borderId="31" xfId="0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1" fillId="9" borderId="7" xfId="0" applyFont="1" applyFill="1" applyBorder="1" applyAlignment="1" applyProtection="1">
      <alignment horizontal="center"/>
      <protection locked="0"/>
    </xf>
    <xf numFmtId="0" fontId="1" fillId="9" borderId="8" xfId="0" applyFont="1" applyFill="1" applyBorder="1" applyAlignment="1" applyProtection="1">
      <alignment horizontal="center"/>
      <protection locked="0"/>
    </xf>
    <xf numFmtId="0" fontId="1" fillId="9" borderId="9" xfId="0" applyFont="1" applyFill="1" applyBorder="1" applyAlignment="1" applyProtection="1">
      <alignment horizontal="center"/>
      <protection locked="0"/>
    </xf>
    <xf numFmtId="0" fontId="8" fillId="0" borderId="37" xfId="0" applyFont="1" applyBorder="1" applyAlignment="1">
      <alignment horizontal="center"/>
    </xf>
    <xf numFmtId="0" fontId="8" fillId="0" borderId="38" xfId="0" applyFont="1" applyBorder="1" applyAlignment="1">
      <alignment horizontal="center"/>
    </xf>
    <xf numFmtId="0" fontId="8" fillId="0" borderId="39" xfId="0" applyFont="1" applyBorder="1" applyAlignment="1">
      <alignment horizontal="center"/>
    </xf>
    <xf numFmtId="166" fontId="9" fillId="12" borderId="37" xfId="0" applyNumberFormat="1" applyFont="1" applyFill="1" applyBorder="1" applyAlignment="1">
      <alignment horizontal="center"/>
    </xf>
    <xf numFmtId="166" fontId="9" fillId="13" borderId="38" xfId="0" applyNumberFormat="1" applyFont="1" applyFill="1" applyBorder="1" applyAlignment="1">
      <alignment horizontal="center"/>
    </xf>
    <xf numFmtId="166" fontId="9" fillId="14" borderId="38" xfId="0" applyNumberFormat="1" applyFont="1" applyFill="1" applyBorder="1" applyAlignment="1">
      <alignment horizontal="center"/>
    </xf>
    <xf numFmtId="166" fontId="9" fillId="15" borderId="38" xfId="0" applyNumberFormat="1" applyFont="1" applyFill="1" applyBorder="1" applyAlignment="1">
      <alignment horizontal="center"/>
    </xf>
    <xf numFmtId="166" fontId="9" fillId="16" borderId="39" xfId="0" applyNumberFormat="1" applyFont="1" applyFill="1" applyBorder="1" applyAlignment="1">
      <alignment horizontal="center"/>
    </xf>
    <xf numFmtId="0" fontId="11" fillId="0" borderId="37" xfId="1" applyFont="1" applyBorder="1" applyAlignment="1" applyProtection="1">
      <alignment horizontal="center"/>
      <protection locked="0"/>
    </xf>
    <xf numFmtId="0" fontId="11" fillId="0" borderId="38" xfId="1" applyFont="1" applyBorder="1" applyAlignment="1" applyProtection="1">
      <alignment horizontal="center"/>
      <protection locked="0"/>
    </xf>
    <xf numFmtId="0" fontId="11" fillId="0" borderId="39" xfId="1" applyFont="1" applyBorder="1" applyAlignment="1" applyProtection="1">
      <alignment horizontal="center"/>
      <protection locked="0"/>
    </xf>
    <xf numFmtId="0" fontId="11" fillId="0" borderId="40" xfId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49" fontId="2" fillId="8" borderId="17" xfId="0" applyNumberFormat="1" applyFont="1" applyFill="1" applyBorder="1" applyAlignment="1" applyProtection="1">
      <alignment horizontal="center" vertical="center" wrapText="1"/>
      <protection locked="0"/>
    </xf>
    <xf numFmtId="49" fontId="2" fillId="8" borderId="22" xfId="0" applyNumberFormat="1" applyFont="1" applyFill="1" applyBorder="1" applyAlignment="1" applyProtection="1">
      <alignment horizontal="center" vertical="center" wrapText="1"/>
      <protection locked="0"/>
    </xf>
    <xf numFmtId="49" fontId="2" fillId="6" borderId="17" xfId="0" applyNumberFormat="1" applyFont="1" applyFill="1" applyBorder="1" applyAlignment="1">
      <alignment horizontal="center" vertical="center" wrapText="1"/>
    </xf>
    <xf numFmtId="49" fontId="2" fillId="6" borderId="22" xfId="0" applyNumberFormat="1" applyFont="1" applyFill="1" applyBorder="1" applyAlignment="1">
      <alignment horizontal="center" vertical="center" wrapText="1"/>
    </xf>
    <xf numFmtId="49" fontId="2" fillId="6" borderId="18" xfId="0" applyNumberFormat="1" applyFont="1" applyFill="1" applyBorder="1" applyAlignment="1">
      <alignment horizontal="center" vertical="center" wrapText="1"/>
    </xf>
    <xf numFmtId="49" fontId="2" fillId="6" borderId="32" xfId="0" applyNumberFormat="1" applyFont="1" applyFill="1" applyBorder="1" applyAlignment="1">
      <alignment horizontal="center" vertical="center" wrapText="1"/>
    </xf>
    <xf numFmtId="49" fontId="2" fillId="6" borderId="16" xfId="0" applyNumberFormat="1" applyFont="1" applyFill="1" applyBorder="1" applyAlignment="1">
      <alignment horizontal="center" vertical="center" wrapText="1"/>
    </xf>
    <xf numFmtId="49" fontId="2" fillId="6" borderId="3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7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center" vertical="center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/>
      <protection locked="0"/>
    </xf>
    <xf numFmtId="0" fontId="1" fillId="3" borderId="3" xfId="0" applyFont="1" applyFill="1" applyBorder="1" applyAlignment="1" applyProtection="1">
      <alignment horizontal="center"/>
      <protection locked="0"/>
    </xf>
    <xf numFmtId="0" fontId="1" fillId="3" borderId="4" xfId="0" applyFont="1" applyFill="1" applyBorder="1" applyAlignment="1" applyProtection="1">
      <alignment horizontal="center"/>
      <protection locked="0"/>
    </xf>
    <xf numFmtId="0" fontId="1" fillId="2" borderId="41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164" fontId="1" fillId="5" borderId="33" xfId="0" applyNumberFormat="1" applyFont="1" applyFill="1" applyBorder="1" applyAlignment="1">
      <alignment horizontal="center" vertical="center"/>
    </xf>
    <xf numFmtId="164" fontId="1" fillId="5" borderId="42" xfId="0" applyNumberFormat="1" applyFont="1" applyFill="1" applyBorder="1" applyAlignment="1">
      <alignment horizontal="center" vertical="center"/>
    </xf>
    <xf numFmtId="0" fontId="1" fillId="0" borderId="28" xfId="0" applyFont="1" applyBorder="1" applyAlignment="1" applyProtection="1">
      <alignment horizontal="center" vertical="center" textRotation="90" wrapText="1"/>
      <protection locked="0"/>
    </xf>
    <xf numFmtId="0" fontId="1" fillId="0" borderId="29" xfId="0" applyFont="1" applyBorder="1" applyAlignment="1" applyProtection="1">
      <alignment horizontal="center" vertical="center" textRotation="90" wrapText="1"/>
      <protection locked="0"/>
    </xf>
    <xf numFmtId="0" fontId="1" fillId="7" borderId="2" xfId="0" applyFont="1" applyFill="1" applyBorder="1" applyAlignment="1" applyProtection="1">
      <alignment horizontal="center"/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1" fillId="7" borderId="10" xfId="0" applyFont="1" applyFill="1" applyBorder="1" applyAlignment="1" applyProtection="1">
      <alignment horizontal="center"/>
      <protection locked="0"/>
    </xf>
    <xf numFmtId="0" fontId="1" fillId="4" borderId="24" xfId="0" applyFont="1" applyFill="1" applyBorder="1" applyAlignment="1" applyProtection="1">
      <alignment horizontal="center"/>
      <protection locked="0"/>
    </xf>
    <xf numFmtId="0" fontId="1" fillId="4" borderId="3" xfId="0" applyFont="1" applyFill="1" applyBorder="1" applyAlignment="1" applyProtection="1">
      <alignment horizontal="center"/>
      <protection locked="0"/>
    </xf>
    <xf numFmtId="0" fontId="1" fillId="4" borderId="10" xfId="0" applyFont="1" applyFill="1" applyBorder="1" applyAlignment="1" applyProtection="1">
      <alignment horizontal="center"/>
      <protection locked="0"/>
    </xf>
    <xf numFmtId="0" fontId="1" fillId="3" borderId="27" xfId="0" applyFont="1" applyFill="1" applyBorder="1" applyAlignment="1" applyProtection="1">
      <alignment horizontal="center" vertical="center"/>
      <protection locked="0"/>
    </xf>
    <xf numFmtId="0" fontId="1" fillId="3" borderId="29" xfId="0" applyFont="1" applyFill="1" applyBorder="1" applyAlignment="1" applyProtection="1">
      <alignment horizontal="center" vertical="center"/>
      <protection locked="0"/>
    </xf>
    <xf numFmtId="0" fontId="1" fillId="7" borderId="27" xfId="0" applyFont="1" applyFill="1" applyBorder="1" applyAlignment="1" applyProtection="1">
      <alignment horizontal="center" vertical="center"/>
      <protection locked="0"/>
    </xf>
    <xf numFmtId="0" fontId="1" fillId="7" borderId="29" xfId="0" applyFont="1" applyFill="1" applyBorder="1" applyAlignment="1" applyProtection="1">
      <alignment horizontal="center" vertical="center"/>
      <protection locked="0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/>
      <protection locked="0"/>
    </xf>
    <xf numFmtId="0" fontId="1" fillId="9" borderId="3" xfId="0" applyFont="1" applyFill="1" applyBorder="1" applyAlignment="1" applyProtection="1">
      <alignment horizontal="center"/>
      <protection locked="0"/>
    </xf>
    <xf numFmtId="0" fontId="1" fillId="9" borderId="4" xfId="0" applyFont="1" applyFill="1" applyBorder="1" applyAlignment="1" applyProtection="1">
      <alignment horizontal="center"/>
      <protection locked="0"/>
    </xf>
    <xf numFmtId="0" fontId="1" fillId="9" borderId="33" xfId="0" applyFont="1" applyFill="1" applyBorder="1" applyAlignment="1" applyProtection="1">
      <alignment horizontal="center" vertical="center"/>
      <protection locked="0"/>
    </xf>
    <xf numFmtId="0" fontId="1" fillId="9" borderId="34" xfId="0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6" borderId="6" xfId="0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 wrapText="1"/>
    </xf>
    <xf numFmtId="49" fontId="2" fillId="6" borderId="19" xfId="0" applyNumberFormat="1" applyFont="1" applyFill="1" applyBorder="1" applyAlignment="1">
      <alignment horizontal="center" vertical="center" wrapText="1"/>
    </xf>
    <xf numFmtId="0" fontId="1" fillId="5" borderId="14" xfId="0" applyFont="1" applyFill="1" applyBorder="1" applyAlignment="1" applyProtection="1">
      <alignment horizontal="center" vertical="center" textRotation="90" wrapText="1"/>
      <protection locked="0"/>
    </xf>
    <xf numFmtId="0" fontId="1" fillId="5" borderId="30" xfId="0" applyFont="1" applyFill="1" applyBorder="1" applyAlignment="1" applyProtection="1">
      <alignment horizontal="center" vertical="center" textRotation="90" wrapText="1"/>
      <protection locked="0"/>
    </xf>
    <xf numFmtId="0" fontId="1" fillId="2" borderId="43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2D7EC844-6F26-42B0-B6EE-C43F91CA557C}"/>
  </cellStyles>
  <dxfs count="107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  <fill>
        <patternFill patternType="none"/>
      </fill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B379-54B9-4858-80C3-F410E31893CD}">
  <dimension ref="A1:BI47"/>
  <sheetViews>
    <sheetView topLeftCell="Q1" zoomScale="110" zoomScaleNormal="110" workbookViewId="0">
      <selection activeCell="AJ6" sqref="AJ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33203125" style="13" customWidth="1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13" t="s">
        <v>15</v>
      </c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77" t="s">
        <v>0</v>
      </c>
      <c r="V2" s="78" t="s">
        <v>6</v>
      </c>
      <c r="W2" s="78" t="s">
        <v>1</v>
      </c>
      <c r="X2" s="78" t="s">
        <v>8</v>
      </c>
      <c r="Y2" s="78" t="s">
        <v>2</v>
      </c>
      <c r="Z2" s="78" t="s">
        <v>9</v>
      </c>
      <c r="AA2" s="78" t="s">
        <v>3</v>
      </c>
      <c r="AB2" s="79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14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/>
      <c r="F3" s="20"/>
      <c r="G3" s="20"/>
      <c r="H3" s="20"/>
      <c r="I3" s="20"/>
      <c r="J3" s="20"/>
      <c r="K3" s="20"/>
      <c r="L3" s="21"/>
      <c r="M3" s="19"/>
      <c r="N3" s="20"/>
      <c r="O3" s="20"/>
      <c r="P3" s="20"/>
      <c r="Q3" s="20"/>
      <c r="R3" s="20"/>
      <c r="S3" s="20"/>
      <c r="T3" s="21"/>
      <c r="U3" s="74"/>
      <c r="V3" s="75"/>
      <c r="W3" s="75"/>
      <c r="X3" s="75"/>
      <c r="Y3" s="75"/>
      <c r="Z3" s="75"/>
      <c r="AA3" s="75"/>
      <c r="AB3" s="76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95</v>
      </c>
      <c r="F4" s="20"/>
      <c r="G4" s="20">
        <v>89</v>
      </c>
      <c r="H4" s="20"/>
      <c r="I4" s="20">
        <v>90</v>
      </c>
      <c r="J4" s="20"/>
      <c r="K4" s="20">
        <v>90</v>
      </c>
      <c r="L4" s="21"/>
      <c r="M4" s="19">
        <v>90</v>
      </c>
      <c r="N4" s="20"/>
      <c r="O4" s="20">
        <v>87</v>
      </c>
      <c r="P4" s="20"/>
      <c r="Q4" s="20">
        <v>90</v>
      </c>
      <c r="R4" s="20"/>
      <c r="S4" s="20">
        <v>90</v>
      </c>
      <c r="T4" s="21"/>
      <c r="U4" s="19">
        <v>95</v>
      </c>
      <c r="V4" s="20"/>
      <c r="W4" s="20">
        <v>90</v>
      </c>
      <c r="X4" s="20"/>
      <c r="Y4" s="20">
        <v>90</v>
      </c>
      <c r="Z4" s="20"/>
      <c r="AA4" s="20">
        <v>90</v>
      </c>
      <c r="AB4" s="21"/>
      <c r="AC4" s="19">
        <v>89</v>
      </c>
      <c r="AD4" s="20"/>
      <c r="AE4" s="20">
        <v>88</v>
      </c>
      <c r="AF4" s="20"/>
      <c r="AG4" s="20">
        <v>90</v>
      </c>
      <c r="AH4" s="20"/>
      <c r="AI4" s="20">
        <v>100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91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89.25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91.25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91.75</v>
      </c>
      <c r="AO4" s="49">
        <f t="shared" ref="AO4:AO47" si="8">AVERAGE(AK4:AN4)</f>
        <v>90.8125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90.8125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92.25</v>
      </c>
      <c r="BF4" s="20">
        <f t="shared" si="1"/>
        <v>88.5</v>
      </c>
      <c r="BG4" s="93">
        <f t="shared" si="2"/>
        <v>90</v>
      </c>
      <c r="BH4" s="20">
        <f t="shared" si="3"/>
        <v>92.5</v>
      </c>
      <c r="BI4" s="20">
        <f>AVERAGE(BE4:BH4)</f>
        <v>90.8125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85</v>
      </c>
      <c r="F5" s="20"/>
      <c r="G5" s="20">
        <v>75</v>
      </c>
      <c r="H5" s="20"/>
      <c r="I5" s="20">
        <v>76</v>
      </c>
      <c r="J5" s="20"/>
      <c r="K5" s="20">
        <v>75</v>
      </c>
      <c r="L5" s="21"/>
      <c r="M5" s="19">
        <v>86</v>
      </c>
      <c r="N5" s="20"/>
      <c r="O5" s="20">
        <v>74</v>
      </c>
      <c r="P5" s="20"/>
      <c r="Q5" s="20">
        <v>75</v>
      </c>
      <c r="R5" s="20"/>
      <c r="S5" s="20">
        <v>76</v>
      </c>
      <c r="T5" s="21"/>
      <c r="U5" s="19">
        <v>86</v>
      </c>
      <c r="V5" s="20"/>
      <c r="W5" s="20">
        <v>75</v>
      </c>
      <c r="X5" s="20"/>
      <c r="Y5" s="20">
        <v>75</v>
      </c>
      <c r="Z5" s="20"/>
      <c r="AA5" s="20">
        <v>76</v>
      </c>
      <c r="AB5" s="21"/>
      <c r="AC5" s="19">
        <v>90</v>
      </c>
      <c r="AD5" s="20"/>
      <c r="AE5" s="20">
        <v>79</v>
      </c>
      <c r="AF5" s="20"/>
      <c r="AG5" s="20">
        <v>78</v>
      </c>
      <c r="AH5" s="20"/>
      <c r="AI5" s="20">
        <v>77</v>
      </c>
      <c r="AJ5" s="3"/>
      <c r="AK5" s="45">
        <f t="shared" si="4"/>
        <v>77.75</v>
      </c>
      <c r="AL5" s="46">
        <f t="shared" si="5"/>
        <v>77.75</v>
      </c>
      <c r="AM5" s="47">
        <f t="shared" si="6"/>
        <v>78</v>
      </c>
      <c r="AN5" s="48">
        <f t="shared" si="7"/>
        <v>81</v>
      </c>
      <c r="AO5" s="49">
        <f t="shared" si="8"/>
        <v>78.625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78.625</v>
      </c>
      <c r="BC5" s="65" t="str">
        <f t="shared" si="17"/>
        <v/>
      </c>
      <c r="BE5" s="20">
        <f>SUM(E5+M5+U5+AC5)/4</f>
        <v>86.75</v>
      </c>
      <c r="BF5" s="20">
        <f>SUM(G5+O5+W5+AE5)/4</f>
        <v>75.75</v>
      </c>
      <c r="BG5" s="93">
        <f>SUM(I5+Q5+Y5+AG5)/4</f>
        <v>76</v>
      </c>
      <c r="BH5" s="20">
        <f>SUM(K5+S5+AA5+AI5)/4</f>
        <v>76</v>
      </c>
      <c r="BI5" s="20">
        <f>AVERAGE(BE5:BH5)</f>
        <v>78.625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89</v>
      </c>
      <c r="H6" s="20"/>
      <c r="I6" s="20">
        <v>88</v>
      </c>
      <c r="J6" s="20"/>
      <c r="K6" s="20">
        <v>76</v>
      </c>
      <c r="L6" s="21"/>
      <c r="M6" s="19">
        <v>89</v>
      </c>
      <c r="N6" s="20"/>
      <c r="O6" s="20">
        <v>90</v>
      </c>
      <c r="P6" s="20"/>
      <c r="Q6" s="20">
        <v>89</v>
      </c>
      <c r="R6" s="20"/>
      <c r="S6" s="20">
        <v>79</v>
      </c>
      <c r="T6" s="21"/>
      <c r="U6" s="19">
        <v>89</v>
      </c>
      <c r="V6" s="20"/>
      <c r="W6" s="20">
        <v>88</v>
      </c>
      <c r="X6" s="20"/>
      <c r="Y6" s="20">
        <v>90</v>
      </c>
      <c r="Z6" s="20"/>
      <c r="AA6" s="20">
        <v>80</v>
      </c>
      <c r="AB6" s="21"/>
      <c r="AC6" s="19">
        <v>88</v>
      </c>
      <c r="AD6" s="20"/>
      <c r="AE6" s="20">
        <v>90</v>
      </c>
      <c r="AF6" s="20"/>
      <c r="AG6" s="20">
        <v>90</v>
      </c>
      <c r="AH6" s="20"/>
      <c r="AI6" s="20">
        <v>85</v>
      </c>
      <c r="AJ6" s="3"/>
      <c r="AK6" s="45">
        <f t="shared" si="4"/>
        <v>85.75</v>
      </c>
      <c r="AL6" s="46">
        <f t="shared" si="5"/>
        <v>86.75</v>
      </c>
      <c r="AM6" s="47">
        <f t="shared" si="6"/>
        <v>86.75</v>
      </c>
      <c r="AN6" s="48">
        <f t="shared" si="7"/>
        <v>88.25</v>
      </c>
      <c r="AO6" s="49">
        <f t="shared" si="8"/>
        <v>86.875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86.875</v>
      </c>
      <c r="BC6" s="65" t="str">
        <f t="shared" si="17"/>
        <v/>
      </c>
      <c r="BE6" s="20">
        <f t="shared" ref="BE6:BE47" si="18">SUM(E6+M6+U6+AC6)/4</f>
        <v>89</v>
      </c>
      <c r="BF6" s="20">
        <f t="shared" ref="BF6:BF47" si="19">SUM(G6+O6+W6+AE6)/4</f>
        <v>89.25</v>
      </c>
      <c r="BG6" s="93">
        <f t="shared" ref="BG6:BG47" si="20">SUM(I6+Q6+Y6+AG6)/4</f>
        <v>89.25</v>
      </c>
      <c r="BH6" s="20">
        <f t="shared" ref="BH6:BH47" si="21">SUM(K6+S6+AA6+AI6)/4</f>
        <v>80</v>
      </c>
      <c r="BI6" s="20">
        <f t="shared" ref="BI6:BI47" si="22">AVERAGE(BE6:BH6)</f>
        <v>86.875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96</v>
      </c>
      <c r="F7" s="20"/>
      <c r="G7" s="20">
        <v>97</v>
      </c>
      <c r="H7" s="20"/>
      <c r="I7" s="20">
        <v>98</v>
      </c>
      <c r="J7" s="20"/>
      <c r="K7" s="20">
        <v>99</v>
      </c>
      <c r="L7" s="21"/>
      <c r="M7" s="19">
        <v>99</v>
      </c>
      <c r="N7" s="20"/>
      <c r="O7" s="20">
        <v>98</v>
      </c>
      <c r="P7" s="20"/>
      <c r="Q7" s="20">
        <v>99</v>
      </c>
      <c r="R7" s="20"/>
      <c r="S7" s="20">
        <v>98</v>
      </c>
      <c r="T7" s="21"/>
      <c r="U7" s="19">
        <v>98</v>
      </c>
      <c r="V7" s="20"/>
      <c r="W7" s="20">
        <v>99</v>
      </c>
      <c r="X7" s="20"/>
      <c r="Y7" s="20">
        <v>100</v>
      </c>
      <c r="Z7" s="20"/>
      <c r="AA7" s="20">
        <v>99</v>
      </c>
      <c r="AB7" s="21"/>
      <c r="AC7" s="19">
        <v>99</v>
      </c>
      <c r="AD7" s="20"/>
      <c r="AE7" s="20">
        <v>99</v>
      </c>
      <c r="AF7" s="20"/>
      <c r="AG7" s="20">
        <v>100</v>
      </c>
      <c r="AH7" s="20"/>
      <c r="AI7" s="20">
        <v>98</v>
      </c>
      <c r="AJ7" s="3"/>
      <c r="AK7" s="45">
        <f t="shared" si="4"/>
        <v>97.5</v>
      </c>
      <c r="AL7" s="46">
        <f t="shared" si="5"/>
        <v>98.5</v>
      </c>
      <c r="AM7" s="47">
        <f t="shared" si="6"/>
        <v>99</v>
      </c>
      <c r="AN7" s="48">
        <f t="shared" si="7"/>
        <v>99</v>
      </c>
      <c r="AO7" s="49">
        <f t="shared" si="8"/>
        <v>98.5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98.5</v>
      </c>
      <c r="BC7" s="65" t="str">
        <f t="shared" si="17"/>
        <v/>
      </c>
      <c r="BE7" s="20">
        <f t="shared" si="18"/>
        <v>98</v>
      </c>
      <c r="BF7" s="20">
        <f t="shared" si="19"/>
        <v>98.25</v>
      </c>
      <c r="BG7" s="93">
        <f t="shared" si="20"/>
        <v>99.25</v>
      </c>
      <c r="BH7" s="20">
        <f t="shared" si="21"/>
        <v>98.5</v>
      </c>
      <c r="BI7" s="20">
        <f t="shared" si="22"/>
        <v>98.5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78</v>
      </c>
      <c r="H8" s="20"/>
      <c r="I8" s="20">
        <v>83</v>
      </c>
      <c r="J8" s="20"/>
      <c r="K8" s="20">
        <v>84</v>
      </c>
      <c r="L8" s="21"/>
      <c r="M8" s="19">
        <v>84</v>
      </c>
      <c r="N8" s="20"/>
      <c r="O8" s="20">
        <v>79</v>
      </c>
      <c r="P8" s="20"/>
      <c r="Q8" s="20">
        <v>76</v>
      </c>
      <c r="R8" s="20"/>
      <c r="S8" s="20">
        <v>85</v>
      </c>
      <c r="T8" s="21"/>
      <c r="U8" s="19">
        <v>76</v>
      </c>
      <c r="V8" s="20"/>
      <c r="W8" s="20">
        <v>80</v>
      </c>
      <c r="X8" s="20"/>
      <c r="Y8" s="20">
        <v>79</v>
      </c>
      <c r="Z8" s="20"/>
      <c r="AA8" s="20">
        <v>86</v>
      </c>
      <c r="AB8" s="21"/>
      <c r="AC8" s="19">
        <v>75</v>
      </c>
      <c r="AD8" s="20"/>
      <c r="AE8" s="20">
        <v>76</v>
      </c>
      <c r="AF8" s="20"/>
      <c r="AG8" s="20">
        <v>85</v>
      </c>
      <c r="AH8" s="20"/>
      <c r="AI8" s="20">
        <v>88</v>
      </c>
      <c r="AJ8" s="3"/>
      <c r="AK8" s="45">
        <f t="shared" si="4"/>
        <v>81.25</v>
      </c>
      <c r="AL8" s="46">
        <f t="shared" si="5"/>
        <v>81</v>
      </c>
      <c r="AM8" s="47">
        <f t="shared" si="6"/>
        <v>80.25</v>
      </c>
      <c r="AN8" s="48">
        <f t="shared" si="7"/>
        <v>81</v>
      </c>
      <c r="AO8" s="49">
        <f t="shared" si="8"/>
        <v>80.875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80.875</v>
      </c>
      <c r="BC8" s="65" t="str">
        <f t="shared" si="17"/>
        <v/>
      </c>
      <c r="BE8" s="20">
        <f t="shared" si="18"/>
        <v>78.75</v>
      </c>
      <c r="BF8" s="20">
        <f t="shared" si="19"/>
        <v>78.25</v>
      </c>
      <c r="BG8" s="93">
        <f t="shared" si="20"/>
        <v>80.75</v>
      </c>
      <c r="BH8" s="20">
        <f t="shared" si="21"/>
        <v>85.75</v>
      </c>
      <c r="BI8" s="20">
        <f t="shared" si="22"/>
        <v>80.875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80</v>
      </c>
      <c r="F9" s="20"/>
      <c r="G9" s="20">
        <v>85</v>
      </c>
      <c r="H9" s="20"/>
      <c r="I9" s="20">
        <v>89</v>
      </c>
      <c r="J9" s="20"/>
      <c r="K9" s="20">
        <v>90</v>
      </c>
      <c r="L9" s="21"/>
      <c r="M9" s="19">
        <v>80</v>
      </c>
      <c r="N9" s="20"/>
      <c r="O9" s="20">
        <v>90</v>
      </c>
      <c r="P9" s="20"/>
      <c r="Q9" s="20">
        <v>89</v>
      </c>
      <c r="R9" s="20"/>
      <c r="S9" s="20">
        <v>91</v>
      </c>
      <c r="T9" s="21"/>
      <c r="U9" s="19">
        <v>85</v>
      </c>
      <c r="V9" s="20"/>
      <c r="W9" s="20">
        <v>87</v>
      </c>
      <c r="X9" s="20"/>
      <c r="Y9" s="20">
        <v>89</v>
      </c>
      <c r="Z9" s="20"/>
      <c r="AA9" s="20">
        <v>94</v>
      </c>
      <c r="AB9" s="21"/>
      <c r="AC9" s="19">
        <v>84</v>
      </c>
      <c r="AD9" s="20"/>
      <c r="AE9" s="20">
        <v>88</v>
      </c>
      <c r="AF9" s="20"/>
      <c r="AG9" s="20">
        <v>90</v>
      </c>
      <c r="AH9" s="20"/>
      <c r="AI9" s="20">
        <v>90</v>
      </c>
      <c r="AJ9" s="3"/>
      <c r="AK9" s="45">
        <f t="shared" si="4"/>
        <v>86</v>
      </c>
      <c r="AL9" s="46">
        <f t="shared" si="5"/>
        <v>87.5</v>
      </c>
      <c r="AM9" s="47">
        <f t="shared" si="6"/>
        <v>88.75</v>
      </c>
      <c r="AN9" s="48">
        <f t="shared" si="7"/>
        <v>88</v>
      </c>
      <c r="AO9" s="49">
        <f t="shared" si="8"/>
        <v>87.5625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87.5625</v>
      </c>
      <c r="BC9" s="65" t="str">
        <f t="shared" si="17"/>
        <v/>
      </c>
      <c r="BE9" s="20">
        <f t="shared" si="18"/>
        <v>82.25</v>
      </c>
      <c r="BF9" s="20">
        <f t="shared" si="19"/>
        <v>87.5</v>
      </c>
      <c r="BG9" s="93">
        <f t="shared" si="20"/>
        <v>89.25</v>
      </c>
      <c r="BH9" s="20">
        <f t="shared" si="21"/>
        <v>91.25</v>
      </c>
      <c r="BI9" s="20">
        <f t="shared" si="22"/>
        <v>87.5625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73</v>
      </c>
      <c r="H10" s="20"/>
      <c r="I10" s="20">
        <v>74</v>
      </c>
      <c r="J10" s="20"/>
      <c r="K10" s="20">
        <v>74</v>
      </c>
      <c r="L10" s="21"/>
      <c r="M10" s="19">
        <v>75</v>
      </c>
      <c r="N10" s="20"/>
      <c r="O10" s="20">
        <v>76</v>
      </c>
      <c r="P10" s="20"/>
      <c r="Q10" s="20">
        <v>74</v>
      </c>
      <c r="R10" s="20"/>
      <c r="S10" s="20">
        <v>74</v>
      </c>
      <c r="T10" s="21"/>
      <c r="U10" s="19">
        <v>76</v>
      </c>
      <c r="V10" s="20"/>
      <c r="W10" s="20">
        <v>78</v>
      </c>
      <c r="X10" s="20"/>
      <c r="Y10" s="20">
        <v>79</v>
      </c>
      <c r="Z10" s="20"/>
      <c r="AA10" s="20">
        <v>76</v>
      </c>
      <c r="AB10" s="21"/>
      <c r="AC10" s="19">
        <v>76</v>
      </c>
      <c r="AD10" s="20"/>
      <c r="AE10" s="20">
        <v>75</v>
      </c>
      <c r="AF10" s="20"/>
      <c r="AG10" s="20">
        <v>76</v>
      </c>
      <c r="AH10" s="20"/>
      <c r="AI10" s="20">
        <v>79</v>
      </c>
      <c r="AJ10" s="3"/>
      <c r="AK10" s="45">
        <f t="shared" si="4"/>
        <v>74</v>
      </c>
      <c r="AL10" s="46">
        <f t="shared" si="5"/>
        <v>74.75</v>
      </c>
      <c r="AM10" s="47">
        <f t="shared" si="6"/>
        <v>77.25</v>
      </c>
      <c r="AN10" s="48">
        <f t="shared" si="7"/>
        <v>76.5</v>
      </c>
      <c r="AO10" s="49">
        <f t="shared" si="8"/>
        <v>75.625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75.625</v>
      </c>
      <c r="BC10" s="65" t="str">
        <f t="shared" si="17"/>
        <v/>
      </c>
      <c r="BE10" s="20">
        <f t="shared" si="18"/>
        <v>75.5</v>
      </c>
      <c r="BF10" s="20">
        <f t="shared" si="19"/>
        <v>75.5</v>
      </c>
      <c r="BG10" s="93">
        <f t="shared" si="20"/>
        <v>75.75</v>
      </c>
      <c r="BH10" s="20">
        <f t="shared" si="21"/>
        <v>75.75</v>
      </c>
      <c r="BI10" s="20">
        <f t="shared" si="22"/>
        <v>75.625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75</v>
      </c>
      <c r="F11" s="20"/>
      <c r="G11" s="20">
        <v>76</v>
      </c>
      <c r="H11" s="20"/>
      <c r="I11" s="20">
        <v>80</v>
      </c>
      <c r="J11" s="20"/>
      <c r="K11" s="20">
        <v>84</v>
      </c>
      <c r="L11" s="21"/>
      <c r="M11" s="19">
        <v>76</v>
      </c>
      <c r="N11" s="20"/>
      <c r="O11" s="20">
        <v>79</v>
      </c>
      <c r="P11" s="20"/>
      <c r="Q11" s="20">
        <v>78</v>
      </c>
      <c r="R11" s="20"/>
      <c r="S11" s="20">
        <v>79</v>
      </c>
      <c r="T11" s="21"/>
      <c r="U11" s="19">
        <v>74</v>
      </c>
      <c r="V11" s="20"/>
      <c r="W11" s="20">
        <v>79</v>
      </c>
      <c r="X11" s="20"/>
      <c r="Y11" s="20">
        <v>78</v>
      </c>
      <c r="Z11" s="20"/>
      <c r="AA11" s="20">
        <v>80</v>
      </c>
      <c r="AB11" s="21"/>
      <c r="AC11" s="19">
        <v>76</v>
      </c>
      <c r="AD11" s="20"/>
      <c r="AE11" s="20">
        <v>79</v>
      </c>
      <c r="AF11" s="20"/>
      <c r="AG11" s="20">
        <v>80</v>
      </c>
      <c r="AH11" s="20"/>
      <c r="AI11" s="20">
        <v>84</v>
      </c>
      <c r="AJ11" s="3"/>
      <c r="AK11" s="45">
        <f t="shared" si="4"/>
        <v>78.75</v>
      </c>
      <c r="AL11" s="46">
        <f t="shared" si="5"/>
        <v>78</v>
      </c>
      <c r="AM11" s="47">
        <f t="shared" si="6"/>
        <v>77.75</v>
      </c>
      <c r="AN11" s="48">
        <f t="shared" si="7"/>
        <v>79.75</v>
      </c>
      <c r="AO11" s="49">
        <f t="shared" si="8"/>
        <v>78.5625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78.5625</v>
      </c>
      <c r="BC11" s="65" t="str">
        <f t="shared" si="17"/>
        <v/>
      </c>
      <c r="BE11" s="20">
        <f t="shared" si="18"/>
        <v>75.25</v>
      </c>
      <c r="BF11" s="20">
        <f t="shared" si="19"/>
        <v>78.25</v>
      </c>
      <c r="BG11" s="93">
        <f t="shared" si="20"/>
        <v>79</v>
      </c>
      <c r="BH11" s="20">
        <f t="shared" si="21"/>
        <v>81.75</v>
      </c>
      <c r="BI11" s="20">
        <f t="shared" si="22"/>
        <v>78.5625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>
        <v>0</v>
      </c>
      <c r="F12" s="20"/>
      <c r="G12" s="20">
        <v>0</v>
      </c>
      <c r="H12" s="20"/>
      <c r="I12" s="20">
        <v>0</v>
      </c>
      <c r="J12" s="20"/>
      <c r="K12" s="20">
        <v>0</v>
      </c>
      <c r="L12" s="21"/>
      <c r="M12" s="19">
        <v>0</v>
      </c>
      <c r="N12" s="20"/>
      <c r="O12" s="20">
        <v>0</v>
      </c>
      <c r="P12" s="20"/>
      <c r="Q12" s="20">
        <v>0</v>
      </c>
      <c r="R12" s="20"/>
      <c r="S12" s="20">
        <v>0</v>
      </c>
      <c r="T12" s="21"/>
      <c r="U12" s="19">
        <v>0</v>
      </c>
      <c r="V12" s="20"/>
      <c r="W12" s="20">
        <v>0</v>
      </c>
      <c r="X12" s="20"/>
      <c r="Y12" s="20">
        <v>0</v>
      </c>
      <c r="Z12" s="20"/>
      <c r="AA12" s="20">
        <v>0</v>
      </c>
      <c r="AB12" s="21"/>
      <c r="AC12" s="19">
        <v>0</v>
      </c>
      <c r="AD12" s="20"/>
      <c r="AE12" s="20">
        <v>0</v>
      </c>
      <c r="AF12" s="20"/>
      <c r="AG12" s="20">
        <v>0</v>
      </c>
      <c r="AH12" s="20"/>
      <c r="AI12" s="20">
        <v>0</v>
      </c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75</v>
      </c>
      <c r="F13" s="20"/>
      <c r="G13" s="20">
        <v>0</v>
      </c>
      <c r="H13" s="20"/>
      <c r="I13" s="20">
        <v>0</v>
      </c>
      <c r="J13" s="20"/>
      <c r="K13" s="20">
        <v>0</v>
      </c>
      <c r="L13" s="21"/>
      <c r="M13" s="19">
        <v>0</v>
      </c>
      <c r="N13" s="20"/>
      <c r="O13" s="20">
        <v>0</v>
      </c>
      <c r="P13" s="20"/>
      <c r="Q13" s="20">
        <v>0</v>
      </c>
      <c r="R13" s="20"/>
      <c r="S13" s="20">
        <v>0</v>
      </c>
      <c r="T13" s="21"/>
      <c r="U13" s="19">
        <v>0</v>
      </c>
      <c r="V13" s="20"/>
      <c r="W13" s="20">
        <v>0</v>
      </c>
      <c r="X13" s="20"/>
      <c r="Y13" s="20">
        <v>0</v>
      </c>
      <c r="Z13" s="20"/>
      <c r="AA13" s="20">
        <v>0</v>
      </c>
      <c r="AB13" s="21"/>
      <c r="AC13" s="19">
        <v>0</v>
      </c>
      <c r="AD13" s="20"/>
      <c r="AE13" s="20">
        <v>0</v>
      </c>
      <c r="AF13" s="20">
        <v>0</v>
      </c>
      <c r="AG13" s="20">
        <v>0</v>
      </c>
      <c r="AH13" s="20"/>
      <c r="AI13" s="20">
        <v>0</v>
      </c>
      <c r="AJ13" s="3"/>
      <c r="AK13" s="45">
        <f t="shared" si="4"/>
        <v>18.75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4.6875</v>
      </c>
      <c r="AP13" s="38"/>
      <c r="AR13" s="55">
        <f t="shared" si="9"/>
        <v>2.34375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4.6875</v>
      </c>
      <c r="BE13" s="20">
        <f t="shared" si="18"/>
        <v>18.75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4.6875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89</v>
      </c>
      <c r="H14" s="20"/>
      <c r="I14" s="20">
        <v>80</v>
      </c>
      <c r="J14" s="20"/>
      <c r="K14" s="20">
        <v>84</v>
      </c>
      <c r="L14" s="21"/>
      <c r="M14" s="19">
        <v>93</v>
      </c>
      <c r="N14" s="20"/>
      <c r="O14" s="20">
        <v>88</v>
      </c>
      <c r="P14" s="20"/>
      <c r="Q14" s="20">
        <v>89</v>
      </c>
      <c r="R14" s="20"/>
      <c r="S14" s="20">
        <v>86</v>
      </c>
      <c r="T14" s="21"/>
      <c r="U14" s="19">
        <v>94</v>
      </c>
      <c r="V14" s="20"/>
      <c r="W14" s="20">
        <v>86</v>
      </c>
      <c r="X14" s="20"/>
      <c r="Y14" s="20">
        <v>89</v>
      </c>
      <c r="Z14" s="20"/>
      <c r="AA14" s="20">
        <v>83</v>
      </c>
      <c r="AB14" s="21"/>
      <c r="AC14" s="19">
        <v>90</v>
      </c>
      <c r="AD14" s="20"/>
      <c r="AE14" s="20">
        <v>89</v>
      </c>
      <c r="AF14" s="20"/>
      <c r="AG14" s="20">
        <v>85</v>
      </c>
      <c r="AH14" s="20"/>
      <c r="AI14" s="20">
        <v>89</v>
      </c>
      <c r="AJ14" s="3"/>
      <c r="AK14" s="45">
        <f t="shared" si="4"/>
        <v>85.75</v>
      </c>
      <c r="AL14" s="46">
        <f t="shared" si="5"/>
        <v>89</v>
      </c>
      <c r="AM14" s="47">
        <f t="shared" si="6"/>
        <v>88</v>
      </c>
      <c r="AN14" s="48">
        <f t="shared" si="7"/>
        <v>88.25</v>
      </c>
      <c r="AO14" s="49">
        <f t="shared" si="8"/>
        <v>87.75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87.75</v>
      </c>
      <c r="BC14" s="65" t="str">
        <f t="shared" si="17"/>
        <v/>
      </c>
      <c r="BE14" s="20">
        <f t="shared" si="18"/>
        <v>91.75</v>
      </c>
      <c r="BF14" s="20">
        <f t="shared" si="19"/>
        <v>88</v>
      </c>
      <c r="BG14" s="93">
        <f t="shared" si="20"/>
        <v>85.75</v>
      </c>
      <c r="BH14" s="20">
        <f t="shared" si="21"/>
        <v>85.5</v>
      </c>
      <c r="BI14" s="20">
        <f t="shared" si="22"/>
        <v>87.75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75</v>
      </c>
      <c r="F15" s="20"/>
      <c r="G15" s="20">
        <v>78</v>
      </c>
      <c r="H15" s="20"/>
      <c r="I15" s="20">
        <v>75</v>
      </c>
      <c r="J15" s="20"/>
      <c r="K15" s="20">
        <v>74</v>
      </c>
      <c r="L15" s="21"/>
      <c r="M15" s="19">
        <v>74</v>
      </c>
      <c r="N15" s="20"/>
      <c r="O15" s="20">
        <v>79</v>
      </c>
      <c r="P15" s="20"/>
      <c r="Q15" s="20">
        <v>78</v>
      </c>
      <c r="R15" s="20"/>
      <c r="S15" s="20">
        <v>75</v>
      </c>
      <c r="T15" s="21"/>
      <c r="U15" s="19">
        <v>73</v>
      </c>
      <c r="V15" s="20"/>
      <c r="W15" s="20">
        <v>79</v>
      </c>
      <c r="X15" s="20"/>
      <c r="Y15" s="20">
        <v>78</v>
      </c>
      <c r="Z15" s="20"/>
      <c r="AA15" s="20">
        <v>76</v>
      </c>
      <c r="AB15" s="21"/>
      <c r="AC15" s="19">
        <v>75</v>
      </c>
      <c r="AD15" s="20"/>
      <c r="AE15" s="20">
        <v>79</v>
      </c>
      <c r="AF15" s="20"/>
      <c r="AG15" s="20">
        <v>80</v>
      </c>
      <c r="AH15" s="20"/>
      <c r="AI15" s="20">
        <v>86</v>
      </c>
      <c r="AJ15" s="3"/>
      <c r="AK15" s="45">
        <f t="shared" si="4"/>
        <v>75.5</v>
      </c>
      <c r="AL15" s="46">
        <f t="shared" si="5"/>
        <v>76.5</v>
      </c>
      <c r="AM15" s="47">
        <f t="shared" si="6"/>
        <v>76.5</v>
      </c>
      <c r="AN15" s="48">
        <f t="shared" si="7"/>
        <v>80</v>
      </c>
      <c r="AO15" s="49">
        <f t="shared" si="8"/>
        <v>77.125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77.125</v>
      </c>
      <c r="BC15" s="65" t="str">
        <f t="shared" si="17"/>
        <v/>
      </c>
      <c r="BE15" s="20">
        <f t="shared" si="18"/>
        <v>74.25</v>
      </c>
      <c r="BF15" s="20">
        <f t="shared" si="19"/>
        <v>78.75</v>
      </c>
      <c r="BG15" s="93">
        <f t="shared" si="20"/>
        <v>77.75</v>
      </c>
      <c r="BH15" s="20">
        <f t="shared" si="21"/>
        <v>77.75</v>
      </c>
      <c r="BI15" s="20">
        <f t="shared" si="22"/>
        <v>77.125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>
        <v>0</v>
      </c>
      <c r="F16" s="20"/>
      <c r="G16" s="20">
        <v>0</v>
      </c>
      <c r="H16" s="20"/>
      <c r="I16" s="20">
        <v>0</v>
      </c>
      <c r="J16" s="20"/>
      <c r="K16" s="20">
        <v>0</v>
      </c>
      <c r="L16" s="21"/>
      <c r="M16" s="19">
        <v>0</v>
      </c>
      <c r="N16" s="20"/>
      <c r="O16" s="20">
        <v>0</v>
      </c>
      <c r="P16" s="20"/>
      <c r="Q16" s="20">
        <v>0</v>
      </c>
      <c r="R16" s="20"/>
      <c r="S16" s="20">
        <v>0</v>
      </c>
      <c r="T16" s="21"/>
      <c r="U16" s="19">
        <v>0</v>
      </c>
      <c r="V16" s="20"/>
      <c r="W16" s="20">
        <v>0</v>
      </c>
      <c r="X16" s="20"/>
      <c r="Y16" s="20">
        <v>0</v>
      </c>
      <c r="Z16" s="20"/>
      <c r="AA16" s="20">
        <v>0</v>
      </c>
      <c r="AB16" s="21"/>
      <c r="AC16" s="19">
        <v>0</v>
      </c>
      <c r="AD16" s="20"/>
      <c r="AE16" s="20">
        <v>0</v>
      </c>
      <c r="AF16" s="20"/>
      <c r="AG16" s="20">
        <v>0</v>
      </c>
      <c r="AH16" s="20"/>
      <c r="AI16" s="20">
        <v>0</v>
      </c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75</v>
      </c>
      <c r="F17" s="20"/>
      <c r="G17" s="20">
        <v>74</v>
      </c>
      <c r="H17" s="20"/>
      <c r="I17" s="20">
        <v>76</v>
      </c>
      <c r="J17" s="20"/>
      <c r="K17" s="20">
        <v>75</v>
      </c>
      <c r="L17" s="21"/>
      <c r="M17" s="19">
        <v>75</v>
      </c>
      <c r="N17" s="20"/>
      <c r="O17" s="20">
        <v>73</v>
      </c>
      <c r="P17" s="20"/>
      <c r="Q17" s="20">
        <v>74</v>
      </c>
      <c r="R17" s="20"/>
      <c r="S17" s="20">
        <v>75</v>
      </c>
      <c r="T17" s="21"/>
      <c r="U17" s="19">
        <v>74</v>
      </c>
      <c r="V17" s="20"/>
      <c r="W17" s="20">
        <v>74</v>
      </c>
      <c r="X17" s="20"/>
      <c r="Y17" s="20">
        <v>74</v>
      </c>
      <c r="Z17" s="20"/>
      <c r="AA17" s="20">
        <v>74</v>
      </c>
      <c r="AB17" s="21"/>
      <c r="AC17" s="19">
        <v>74</v>
      </c>
      <c r="AD17" s="20"/>
      <c r="AE17" s="20">
        <v>75</v>
      </c>
      <c r="AF17" s="20"/>
      <c r="AG17" s="20">
        <v>73</v>
      </c>
      <c r="AH17" s="20"/>
      <c r="AI17" s="20">
        <v>75</v>
      </c>
      <c r="AJ17" s="3"/>
      <c r="AK17" s="45">
        <f t="shared" si="4"/>
        <v>75</v>
      </c>
      <c r="AL17" s="46">
        <f t="shared" si="5"/>
        <v>74.25</v>
      </c>
      <c r="AM17" s="47">
        <f t="shared" si="6"/>
        <v>74</v>
      </c>
      <c r="AN17" s="48">
        <f t="shared" si="7"/>
        <v>74.25</v>
      </c>
      <c r="AO17" s="49">
        <f t="shared" si="8"/>
        <v>74.375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74.375</v>
      </c>
      <c r="BC17" s="65" t="str">
        <f t="shared" si="17"/>
        <v/>
      </c>
      <c r="BE17" s="20">
        <f t="shared" si="18"/>
        <v>74.5</v>
      </c>
      <c r="BF17" s="20">
        <f t="shared" si="19"/>
        <v>74</v>
      </c>
      <c r="BG17" s="93">
        <f t="shared" si="20"/>
        <v>74.25</v>
      </c>
      <c r="BH17" s="20">
        <f t="shared" si="21"/>
        <v>74.75</v>
      </c>
      <c r="BI17" s="20">
        <f t="shared" si="22"/>
        <v>74.375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89</v>
      </c>
      <c r="H18" s="20"/>
      <c r="I18" s="20">
        <v>94</v>
      </c>
      <c r="J18" s="20"/>
      <c r="K18" s="20">
        <v>96</v>
      </c>
      <c r="L18" s="21"/>
      <c r="M18" s="19">
        <v>90</v>
      </c>
      <c r="N18" s="20"/>
      <c r="O18" s="20">
        <v>89</v>
      </c>
      <c r="P18" s="20"/>
      <c r="Q18" s="20">
        <v>90</v>
      </c>
      <c r="R18" s="20"/>
      <c r="S18" s="20">
        <v>91</v>
      </c>
      <c r="T18" s="21"/>
      <c r="U18" s="19">
        <v>95</v>
      </c>
      <c r="V18" s="20"/>
      <c r="W18" s="20">
        <v>96</v>
      </c>
      <c r="X18" s="20"/>
      <c r="Y18" s="20">
        <v>95</v>
      </c>
      <c r="Z18" s="20"/>
      <c r="AA18" s="20">
        <v>96</v>
      </c>
      <c r="AB18" s="21"/>
      <c r="AC18" s="19">
        <v>98</v>
      </c>
      <c r="AD18" s="20"/>
      <c r="AE18" s="20">
        <v>97</v>
      </c>
      <c r="AF18" s="20"/>
      <c r="AG18" s="20">
        <v>98</v>
      </c>
      <c r="AH18" s="20"/>
      <c r="AI18" s="20">
        <v>97</v>
      </c>
      <c r="AJ18" s="3"/>
      <c r="AK18" s="45">
        <f t="shared" si="4"/>
        <v>92.25</v>
      </c>
      <c r="AL18" s="46">
        <f t="shared" si="5"/>
        <v>90</v>
      </c>
      <c r="AM18" s="47">
        <f t="shared" si="6"/>
        <v>95.5</v>
      </c>
      <c r="AN18" s="48">
        <f t="shared" si="7"/>
        <v>97.5</v>
      </c>
      <c r="AO18" s="49">
        <f t="shared" si="8"/>
        <v>93.8125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93.8125</v>
      </c>
      <c r="BC18" s="65" t="str">
        <f t="shared" si="17"/>
        <v/>
      </c>
      <c r="BE18" s="20">
        <f t="shared" si="18"/>
        <v>93.25</v>
      </c>
      <c r="BF18" s="20">
        <f t="shared" si="19"/>
        <v>92.75</v>
      </c>
      <c r="BG18" s="93">
        <f t="shared" si="20"/>
        <v>94.25</v>
      </c>
      <c r="BH18" s="20">
        <f t="shared" si="21"/>
        <v>95</v>
      </c>
      <c r="BI18" s="20">
        <f t="shared" si="22"/>
        <v>93.8125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90</v>
      </c>
      <c r="F19" s="20"/>
      <c r="G19" s="20">
        <v>90</v>
      </c>
      <c r="H19" s="20"/>
      <c r="I19" s="20">
        <v>85</v>
      </c>
      <c r="J19" s="20"/>
      <c r="K19" s="20">
        <v>89</v>
      </c>
      <c r="L19" s="21"/>
      <c r="M19" s="19">
        <v>89</v>
      </c>
      <c r="N19" s="20"/>
      <c r="O19" s="20">
        <v>89</v>
      </c>
      <c r="P19" s="20"/>
      <c r="Q19" s="20">
        <v>88</v>
      </c>
      <c r="R19" s="20"/>
      <c r="S19" s="20">
        <v>88</v>
      </c>
      <c r="T19" s="21"/>
      <c r="U19" s="19">
        <v>84</v>
      </c>
      <c r="V19" s="20"/>
      <c r="W19" s="20">
        <v>87</v>
      </c>
      <c r="X19" s="20"/>
      <c r="Y19" s="20">
        <v>86</v>
      </c>
      <c r="Z19" s="20"/>
      <c r="AA19" s="20">
        <v>85</v>
      </c>
      <c r="AB19" s="21"/>
      <c r="AC19" s="19">
        <v>83</v>
      </c>
      <c r="AD19" s="20"/>
      <c r="AE19" s="20">
        <v>89</v>
      </c>
      <c r="AF19" s="20"/>
      <c r="AG19" s="20">
        <v>90</v>
      </c>
      <c r="AH19" s="20"/>
      <c r="AI19" s="20">
        <v>90</v>
      </c>
      <c r="AJ19" s="3"/>
      <c r="AK19" s="45">
        <f t="shared" si="4"/>
        <v>88.5</v>
      </c>
      <c r="AL19" s="46">
        <f t="shared" si="5"/>
        <v>88.5</v>
      </c>
      <c r="AM19" s="47">
        <f t="shared" si="6"/>
        <v>85.5</v>
      </c>
      <c r="AN19" s="48">
        <f t="shared" si="7"/>
        <v>88</v>
      </c>
      <c r="AO19" s="49">
        <f t="shared" si="8"/>
        <v>87.625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87.625</v>
      </c>
      <c r="BC19" s="65" t="str">
        <f t="shared" si="17"/>
        <v/>
      </c>
      <c r="BE19" s="20">
        <f t="shared" si="18"/>
        <v>86.5</v>
      </c>
      <c r="BF19" s="20">
        <f t="shared" si="19"/>
        <v>88.75</v>
      </c>
      <c r="BG19" s="93">
        <f t="shared" si="20"/>
        <v>87.25</v>
      </c>
      <c r="BH19" s="20">
        <f t="shared" si="21"/>
        <v>88</v>
      </c>
      <c r="BI19" s="20">
        <f t="shared" si="22"/>
        <v>87.625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76</v>
      </c>
      <c r="F20" s="20"/>
      <c r="G20" s="20">
        <v>79</v>
      </c>
      <c r="H20" s="20"/>
      <c r="I20" s="20">
        <v>76</v>
      </c>
      <c r="J20" s="20"/>
      <c r="K20" s="20">
        <v>75</v>
      </c>
      <c r="L20" s="21"/>
      <c r="M20" s="19">
        <v>78</v>
      </c>
      <c r="N20" s="20"/>
      <c r="O20" s="20">
        <v>79</v>
      </c>
      <c r="P20" s="20"/>
      <c r="Q20" s="20">
        <v>78</v>
      </c>
      <c r="R20" s="20"/>
      <c r="S20" s="20">
        <v>76</v>
      </c>
      <c r="T20" s="21"/>
      <c r="U20" s="19">
        <v>80</v>
      </c>
      <c r="V20" s="20"/>
      <c r="W20" s="20">
        <v>80</v>
      </c>
      <c r="X20" s="20"/>
      <c r="Y20" s="20">
        <v>79</v>
      </c>
      <c r="Z20" s="20"/>
      <c r="AA20" s="20">
        <v>79</v>
      </c>
      <c r="AB20" s="21"/>
      <c r="AC20" s="19">
        <v>79</v>
      </c>
      <c r="AD20" s="20"/>
      <c r="AE20" s="20">
        <v>79</v>
      </c>
      <c r="AF20" s="20"/>
      <c r="AG20" s="20">
        <v>80</v>
      </c>
      <c r="AH20" s="20"/>
      <c r="AI20" s="20">
        <v>79</v>
      </c>
      <c r="AJ20" s="3"/>
      <c r="AK20" s="45">
        <f t="shared" si="4"/>
        <v>76.5</v>
      </c>
      <c r="AL20" s="46">
        <f t="shared" si="5"/>
        <v>77.75</v>
      </c>
      <c r="AM20" s="47">
        <f t="shared" si="6"/>
        <v>79.5</v>
      </c>
      <c r="AN20" s="48">
        <f t="shared" si="7"/>
        <v>79.25</v>
      </c>
      <c r="AO20" s="49">
        <f t="shared" si="8"/>
        <v>78.25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78.25</v>
      </c>
      <c r="BC20" s="65" t="str">
        <f t="shared" si="17"/>
        <v/>
      </c>
      <c r="BE20" s="20">
        <f t="shared" si="18"/>
        <v>78.25</v>
      </c>
      <c r="BF20" s="20">
        <f t="shared" si="19"/>
        <v>79.25</v>
      </c>
      <c r="BG20" s="93">
        <f t="shared" si="20"/>
        <v>78.25</v>
      </c>
      <c r="BH20" s="20">
        <f t="shared" si="21"/>
        <v>77.25</v>
      </c>
      <c r="BI20" s="20">
        <f t="shared" si="22"/>
        <v>78.25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76</v>
      </c>
      <c r="F21" s="20"/>
      <c r="G21" s="20">
        <v>85</v>
      </c>
      <c r="H21" s="20"/>
      <c r="I21" s="20">
        <v>89</v>
      </c>
      <c r="J21" s="20"/>
      <c r="K21" s="20">
        <v>90</v>
      </c>
      <c r="L21" s="21"/>
      <c r="M21" s="19">
        <v>78</v>
      </c>
      <c r="N21" s="20"/>
      <c r="O21" s="20">
        <v>84</v>
      </c>
      <c r="P21" s="20"/>
      <c r="Q21" s="20">
        <v>85</v>
      </c>
      <c r="R21" s="20"/>
      <c r="S21" s="20">
        <v>89</v>
      </c>
      <c r="T21" s="21"/>
      <c r="U21" s="19">
        <v>76</v>
      </c>
      <c r="V21" s="20"/>
      <c r="W21" s="20">
        <v>85</v>
      </c>
      <c r="X21" s="20"/>
      <c r="Y21" s="20">
        <v>86</v>
      </c>
      <c r="Z21" s="20"/>
      <c r="AA21" s="20">
        <v>90</v>
      </c>
      <c r="AB21" s="21"/>
      <c r="AC21" s="19">
        <v>78</v>
      </c>
      <c r="AD21" s="20"/>
      <c r="AE21" s="20">
        <v>85</v>
      </c>
      <c r="AF21" s="20"/>
      <c r="AG21" s="20">
        <v>86</v>
      </c>
      <c r="AH21" s="20"/>
      <c r="AI21" s="20">
        <v>89</v>
      </c>
      <c r="AJ21" s="3"/>
      <c r="AK21" s="45">
        <f t="shared" si="4"/>
        <v>85</v>
      </c>
      <c r="AL21" s="46">
        <f t="shared" si="5"/>
        <v>84</v>
      </c>
      <c r="AM21" s="47">
        <f t="shared" si="6"/>
        <v>84.25</v>
      </c>
      <c r="AN21" s="48">
        <f t="shared" si="7"/>
        <v>84.5</v>
      </c>
      <c r="AO21" s="49">
        <f t="shared" si="8"/>
        <v>84.4375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84.4375</v>
      </c>
      <c r="BC21" s="65" t="str">
        <f t="shared" si="17"/>
        <v/>
      </c>
      <c r="BE21" s="20">
        <f t="shared" si="18"/>
        <v>77</v>
      </c>
      <c r="BF21" s="20">
        <f t="shared" si="19"/>
        <v>84.75</v>
      </c>
      <c r="BG21" s="93">
        <f t="shared" si="20"/>
        <v>86.5</v>
      </c>
      <c r="BH21" s="20">
        <f t="shared" si="21"/>
        <v>89.5</v>
      </c>
      <c r="BI21" s="20">
        <f t="shared" si="22"/>
        <v>84.4375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76</v>
      </c>
      <c r="F22" s="20"/>
      <c r="G22" s="20">
        <v>79</v>
      </c>
      <c r="H22" s="20"/>
      <c r="I22" s="20">
        <v>80</v>
      </c>
      <c r="J22" s="20"/>
      <c r="K22" s="20">
        <v>85</v>
      </c>
      <c r="L22" s="21"/>
      <c r="M22" s="19">
        <v>77</v>
      </c>
      <c r="N22" s="20"/>
      <c r="O22" s="20">
        <v>80</v>
      </c>
      <c r="P22" s="20"/>
      <c r="Q22" s="20">
        <v>79</v>
      </c>
      <c r="R22" s="20"/>
      <c r="S22" s="20">
        <v>81</v>
      </c>
      <c r="T22" s="21"/>
      <c r="U22" s="19">
        <v>76</v>
      </c>
      <c r="V22" s="20"/>
      <c r="W22" s="20">
        <v>80</v>
      </c>
      <c r="X22" s="20"/>
      <c r="Y22" s="20">
        <v>79</v>
      </c>
      <c r="Z22" s="20"/>
      <c r="AA22" s="20">
        <v>80</v>
      </c>
      <c r="AB22" s="21"/>
      <c r="AC22" s="19">
        <v>75</v>
      </c>
      <c r="AD22" s="20"/>
      <c r="AE22" s="20">
        <v>79</v>
      </c>
      <c r="AF22" s="20"/>
      <c r="AG22" s="20">
        <v>84</v>
      </c>
      <c r="AH22" s="20"/>
      <c r="AI22" s="20">
        <v>83</v>
      </c>
      <c r="AJ22" s="3"/>
      <c r="AK22" s="45">
        <f t="shared" si="4"/>
        <v>80</v>
      </c>
      <c r="AL22" s="46">
        <f t="shared" si="5"/>
        <v>79.25</v>
      </c>
      <c r="AM22" s="47">
        <f t="shared" si="6"/>
        <v>78.75</v>
      </c>
      <c r="AN22" s="48">
        <f t="shared" si="7"/>
        <v>80.25</v>
      </c>
      <c r="AO22" s="49">
        <f t="shared" si="8"/>
        <v>79.5625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79.5625</v>
      </c>
      <c r="BC22" s="65" t="str">
        <f t="shared" si="17"/>
        <v/>
      </c>
      <c r="BE22" s="20">
        <f t="shared" si="18"/>
        <v>76</v>
      </c>
      <c r="BF22" s="20">
        <f t="shared" si="19"/>
        <v>79.5</v>
      </c>
      <c r="BG22" s="93">
        <f t="shared" si="20"/>
        <v>80.5</v>
      </c>
      <c r="BH22" s="20">
        <f t="shared" si="21"/>
        <v>82.25</v>
      </c>
      <c r="BI22" s="20">
        <f t="shared" si="22"/>
        <v>79.5625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>
        <v>0</v>
      </c>
      <c r="F23" s="20"/>
      <c r="G23" s="20">
        <v>0</v>
      </c>
      <c r="H23" s="20"/>
      <c r="I23" s="20">
        <v>0</v>
      </c>
      <c r="J23" s="20"/>
      <c r="K23" s="20">
        <v>0</v>
      </c>
      <c r="L23" s="21"/>
      <c r="M23" s="19">
        <v>0</v>
      </c>
      <c r="N23" s="20"/>
      <c r="O23" s="20">
        <v>0</v>
      </c>
      <c r="P23" s="20"/>
      <c r="Q23" s="20">
        <v>0</v>
      </c>
      <c r="R23" s="20"/>
      <c r="S23" s="20">
        <v>0</v>
      </c>
      <c r="T23" s="21"/>
      <c r="U23" s="19">
        <v>0</v>
      </c>
      <c r="V23" s="20"/>
      <c r="W23" s="20">
        <v>0</v>
      </c>
      <c r="X23" s="20"/>
      <c r="Y23" s="20">
        <v>0</v>
      </c>
      <c r="Z23" s="20"/>
      <c r="AA23" s="20">
        <v>0</v>
      </c>
      <c r="AB23" s="21"/>
      <c r="AC23" s="19">
        <v>0</v>
      </c>
      <c r="AD23" s="20"/>
      <c r="AE23" s="20">
        <v>0</v>
      </c>
      <c r="AF23" s="20"/>
      <c r="AG23" s="20">
        <v>0</v>
      </c>
      <c r="AH23" s="20"/>
      <c r="AI23" s="20">
        <v>0</v>
      </c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>
        <v>0</v>
      </c>
      <c r="F24" s="20"/>
      <c r="G24" s="20">
        <v>0</v>
      </c>
      <c r="H24" s="20"/>
      <c r="I24" s="20">
        <v>0</v>
      </c>
      <c r="J24" s="20"/>
      <c r="K24" s="20">
        <v>0</v>
      </c>
      <c r="L24" s="21"/>
      <c r="M24" s="19">
        <v>0</v>
      </c>
      <c r="N24" s="20"/>
      <c r="O24" s="20">
        <v>0</v>
      </c>
      <c r="P24" s="20"/>
      <c r="Q24" s="20">
        <v>0</v>
      </c>
      <c r="R24" s="20"/>
      <c r="S24" s="20">
        <v>0</v>
      </c>
      <c r="T24" s="21"/>
      <c r="U24" s="19">
        <v>0</v>
      </c>
      <c r="V24" s="20"/>
      <c r="W24" s="20">
        <v>0</v>
      </c>
      <c r="X24" s="20"/>
      <c r="Y24" s="20">
        <v>0</v>
      </c>
      <c r="Z24" s="20"/>
      <c r="AA24" s="20">
        <v>0</v>
      </c>
      <c r="AB24" s="21"/>
      <c r="AC24" s="19">
        <v>0</v>
      </c>
      <c r="AD24" s="20"/>
      <c r="AE24" s="20">
        <v>0</v>
      </c>
      <c r="AF24" s="20"/>
      <c r="AG24" s="20">
        <v>0</v>
      </c>
      <c r="AH24" s="20"/>
      <c r="AI24" s="20">
        <v>0</v>
      </c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79</v>
      </c>
      <c r="F25" s="20"/>
      <c r="G25" s="20">
        <v>78</v>
      </c>
      <c r="H25" s="20"/>
      <c r="I25" s="20">
        <v>80</v>
      </c>
      <c r="J25" s="20"/>
      <c r="K25" s="20">
        <v>89</v>
      </c>
      <c r="L25" s="21"/>
      <c r="M25" s="19">
        <v>84</v>
      </c>
      <c r="N25" s="20"/>
      <c r="O25" s="20">
        <v>79</v>
      </c>
      <c r="P25" s="20"/>
      <c r="Q25" s="20">
        <v>84</v>
      </c>
      <c r="R25" s="20"/>
      <c r="S25" s="20">
        <v>88</v>
      </c>
      <c r="T25" s="21"/>
      <c r="U25" s="19">
        <v>80</v>
      </c>
      <c r="V25" s="20"/>
      <c r="W25" s="20">
        <v>79</v>
      </c>
      <c r="X25" s="20"/>
      <c r="Y25" s="20">
        <v>80</v>
      </c>
      <c r="Z25" s="20"/>
      <c r="AA25" s="20">
        <v>84</v>
      </c>
      <c r="AB25" s="21"/>
      <c r="AC25" s="19">
        <v>79</v>
      </c>
      <c r="AD25" s="20"/>
      <c r="AE25" s="20">
        <v>79</v>
      </c>
      <c r="AF25" s="20"/>
      <c r="AG25" s="20">
        <v>84</v>
      </c>
      <c r="AH25" s="20"/>
      <c r="AI25" s="20">
        <v>86</v>
      </c>
      <c r="AJ25" s="3"/>
      <c r="AK25" s="45">
        <f t="shared" si="4"/>
        <v>81.5</v>
      </c>
      <c r="AL25" s="46">
        <f t="shared" si="5"/>
        <v>83.75</v>
      </c>
      <c r="AM25" s="47">
        <f t="shared" si="6"/>
        <v>80.75</v>
      </c>
      <c r="AN25" s="48">
        <f t="shared" si="7"/>
        <v>82</v>
      </c>
      <c r="AO25" s="49">
        <f t="shared" si="8"/>
        <v>82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82</v>
      </c>
      <c r="BC25" s="65" t="str">
        <f t="shared" si="17"/>
        <v/>
      </c>
      <c r="BE25" s="20">
        <f t="shared" si="18"/>
        <v>80.5</v>
      </c>
      <c r="BF25" s="20">
        <f t="shared" si="19"/>
        <v>78.75</v>
      </c>
      <c r="BG25" s="93">
        <f t="shared" si="20"/>
        <v>82</v>
      </c>
      <c r="BH25" s="20">
        <f t="shared" si="21"/>
        <v>86.75</v>
      </c>
      <c r="BI25" s="20">
        <f t="shared" si="22"/>
        <v>82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77</v>
      </c>
      <c r="J26" s="20"/>
      <c r="K26" s="20">
        <v>78</v>
      </c>
      <c r="L26" s="21"/>
      <c r="M26" s="19">
        <v>76</v>
      </c>
      <c r="N26" s="20"/>
      <c r="O26" s="20">
        <v>78</v>
      </c>
      <c r="P26" s="20"/>
      <c r="Q26" s="20">
        <v>77</v>
      </c>
      <c r="R26" s="20"/>
      <c r="S26" s="20">
        <v>76</v>
      </c>
      <c r="T26" s="21"/>
      <c r="U26" s="19">
        <v>73</v>
      </c>
      <c r="V26" s="20"/>
      <c r="W26" s="20">
        <v>76</v>
      </c>
      <c r="X26" s="20"/>
      <c r="Y26" s="20">
        <v>77</v>
      </c>
      <c r="Z26" s="20"/>
      <c r="AA26" s="20">
        <v>78</v>
      </c>
      <c r="AB26" s="21"/>
      <c r="AC26" s="19">
        <v>74</v>
      </c>
      <c r="AD26" s="20"/>
      <c r="AE26" s="20">
        <v>76</v>
      </c>
      <c r="AF26" s="20"/>
      <c r="AG26" s="20">
        <v>77</v>
      </c>
      <c r="AH26" s="20"/>
      <c r="AI26" s="20">
        <v>73</v>
      </c>
      <c r="AJ26" s="3"/>
      <c r="AK26" s="45">
        <f t="shared" si="4"/>
        <v>76.5</v>
      </c>
      <c r="AL26" s="46">
        <f t="shared" si="5"/>
        <v>76.75</v>
      </c>
      <c r="AM26" s="47">
        <f t="shared" si="6"/>
        <v>76</v>
      </c>
      <c r="AN26" s="48">
        <f t="shared" si="7"/>
        <v>75</v>
      </c>
      <c r="AO26" s="49">
        <f t="shared" si="8"/>
        <v>76.0625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76.0625</v>
      </c>
      <c r="BC26" s="65" t="str">
        <f t="shared" si="17"/>
        <v/>
      </c>
      <c r="BE26" s="20">
        <f t="shared" si="18"/>
        <v>74.5</v>
      </c>
      <c r="BF26" s="20">
        <f t="shared" si="19"/>
        <v>76.5</v>
      </c>
      <c r="BG26" s="93">
        <f t="shared" si="20"/>
        <v>77</v>
      </c>
      <c r="BH26" s="20">
        <f t="shared" si="21"/>
        <v>76.25</v>
      </c>
      <c r="BI26" s="20">
        <f t="shared" si="22"/>
        <v>76.0625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0</v>
      </c>
      <c r="F27" s="20"/>
      <c r="G27" s="20">
        <v>0</v>
      </c>
      <c r="H27" s="20"/>
      <c r="I27" s="20">
        <v>0</v>
      </c>
      <c r="J27" s="20"/>
      <c r="K27" s="20">
        <v>0</v>
      </c>
      <c r="L27" s="21"/>
      <c r="M27" s="19">
        <v>0</v>
      </c>
      <c r="N27" s="20"/>
      <c r="O27" s="20">
        <v>0</v>
      </c>
      <c r="P27" s="20"/>
      <c r="Q27" s="20">
        <v>0</v>
      </c>
      <c r="R27" s="20"/>
      <c r="S27" s="20">
        <v>0</v>
      </c>
      <c r="T27" s="21"/>
      <c r="U27" s="19">
        <v>0</v>
      </c>
      <c r="V27" s="20"/>
      <c r="W27" s="20">
        <v>0</v>
      </c>
      <c r="X27" s="20"/>
      <c r="Y27" s="20">
        <v>0</v>
      </c>
      <c r="Z27" s="20"/>
      <c r="AA27" s="20">
        <v>0</v>
      </c>
      <c r="AB27" s="21"/>
      <c r="AC27" s="19">
        <v>0</v>
      </c>
      <c r="AD27" s="20"/>
      <c r="AE27" s="20">
        <v>0</v>
      </c>
      <c r="AF27" s="20"/>
      <c r="AG27" s="20">
        <v>0</v>
      </c>
      <c r="AH27" s="20"/>
      <c r="AI27" s="20">
        <v>0</v>
      </c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89</v>
      </c>
      <c r="F28" s="20"/>
      <c r="G28" s="20">
        <v>95</v>
      </c>
      <c r="H28" s="20"/>
      <c r="I28" s="20">
        <v>97</v>
      </c>
      <c r="J28" s="20"/>
      <c r="K28" s="20">
        <v>96</v>
      </c>
      <c r="L28" s="21"/>
      <c r="M28" s="19">
        <v>90</v>
      </c>
      <c r="N28" s="20"/>
      <c r="O28" s="20">
        <v>94</v>
      </c>
      <c r="P28" s="20"/>
      <c r="Q28" s="20">
        <v>95</v>
      </c>
      <c r="R28" s="20"/>
      <c r="S28" s="20">
        <v>96</v>
      </c>
      <c r="T28" s="21"/>
      <c r="U28" s="19">
        <v>95</v>
      </c>
      <c r="V28" s="20"/>
      <c r="W28" s="20">
        <v>94</v>
      </c>
      <c r="X28" s="20"/>
      <c r="Y28" s="20">
        <v>94</v>
      </c>
      <c r="Z28" s="20"/>
      <c r="AA28" s="20">
        <v>96</v>
      </c>
      <c r="AB28" s="21"/>
      <c r="AC28" s="19">
        <v>94</v>
      </c>
      <c r="AD28" s="20"/>
      <c r="AE28" s="20">
        <v>96</v>
      </c>
      <c r="AF28" s="20"/>
      <c r="AG28" s="20">
        <v>96</v>
      </c>
      <c r="AH28" s="20"/>
      <c r="AI28" s="20">
        <v>97</v>
      </c>
      <c r="AJ28" s="3"/>
      <c r="AK28" s="45">
        <f t="shared" si="4"/>
        <v>94.25</v>
      </c>
      <c r="AL28" s="46">
        <f t="shared" si="5"/>
        <v>93.75</v>
      </c>
      <c r="AM28" s="47">
        <f t="shared" si="6"/>
        <v>94.75</v>
      </c>
      <c r="AN28" s="48">
        <f t="shared" si="7"/>
        <v>95.75</v>
      </c>
      <c r="AO28" s="49">
        <f t="shared" si="8"/>
        <v>94.625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94.625</v>
      </c>
      <c r="BC28" s="65" t="str">
        <f t="shared" si="17"/>
        <v/>
      </c>
      <c r="BE28" s="20">
        <f t="shared" si="18"/>
        <v>92</v>
      </c>
      <c r="BF28" s="20">
        <f t="shared" si="19"/>
        <v>94.75</v>
      </c>
      <c r="BG28" s="93">
        <f t="shared" si="20"/>
        <v>95.5</v>
      </c>
      <c r="BH28" s="20">
        <f t="shared" si="21"/>
        <v>96.25</v>
      </c>
      <c r="BI28" s="20">
        <f t="shared" si="22"/>
        <v>94.625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85</v>
      </c>
      <c r="F29" s="20"/>
      <c r="G29" s="20">
        <v>86</v>
      </c>
      <c r="H29" s="20"/>
      <c r="I29" s="20">
        <v>89</v>
      </c>
      <c r="J29" s="20"/>
      <c r="K29" s="20">
        <v>88</v>
      </c>
      <c r="L29" s="21"/>
      <c r="M29" s="19">
        <v>80</v>
      </c>
      <c r="N29" s="20"/>
      <c r="O29" s="20">
        <v>87</v>
      </c>
      <c r="P29" s="20"/>
      <c r="Q29" s="20">
        <v>88</v>
      </c>
      <c r="R29" s="20"/>
      <c r="S29" s="20">
        <v>89</v>
      </c>
      <c r="T29" s="21"/>
      <c r="U29" s="19">
        <v>89</v>
      </c>
      <c r="V29" s="20"/>
      <c r="W29" s="20">
        <v>88</v>
      </c>
      <c r="X29" s="20"/>
      <c r="Y29" s="20">
        <v>90</v>
      </c>
      <c r="Z29" s="20"/>
      <c r="AA29" s="20">
        <v>85</v>
      </c>
      <c r="AB29" s="21"/>
      <c r="AC29" s="19">
        <v>84</v>
      </c>
      <c r="AD29" s="20"/>
      <c r="AE29" s="20">
        <v>87</v>
      </c>
      <c r="AF29" s="20"/>
      <c r="AG29" s="20">
        <v>89</v>
      </c>
      <c r="AH29" s="20"/>
      <c r="AI29" s="20">
        <v>90</v>
      </c>
      <c r="AJ29" s="3"/>
      <c r="AK29" s="45">
        <f t="shared" si="4"/>
        <v>87</v>
      </c>
      <c r="AL29" s="46">
        <f t="shared" si="5"/>
        <v>86</v>
      </c>
      <c r="AM29" s="47">
        <f t="shared" si="6"/>
        <v>88</v>
      </c>
      <c r="AN29" s="48">
        <f t="shared" si="7"/>
        <v>87.5</v>
      </c>
      <c r="AO29" s="49">
        <f t="shared" si="8"/>
        <v>87.125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87.125</v>
      </c>
      <c r="BC29" s="65" t="str">
        <f t="shared" si="17"/>
        <v/>
      </c>
      <c r="BE29" s="20">
        <f t="shared" si="18"/>
        <v>84.5</v>
      </c>
      <c r="BF29" s="20">
        <f t="shared" si="19"/>
        <v>87</v>
      </c>
      <c r="BG29" s="93">
        <f t="shared" si="20"/>
        <v>89</v>
      </c>
      <c r="BH29" s="20">
        <f t="shared" si="21"/>
        <v>88</v>
      </c>
      <c r="BI29" s="20">
        <f t="shared" si="22"/>
        <v>87.125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88</v>
      </c>
      <c r="F30" s="20"/>
      <c r="G30" s="20">
        <v>89</v>
      </c>
      <c r="H30" s="20"/>
      <c r="I30" s="20">
        <v>90</v>
      </c>
      <c r="J30" s="20"/>
      <c r="K30" s="20">
        <v>94</v>
      </c>
      <c r="L30" s="21"/>
      <c r="M30" s="19">
        <v>89</v>
      </c>
      <c r="N30" s="20"/>
      <c r="O30" s="20">
        <v>88</v>
      </c>
      <c r="P30" s="20"/>
      <c r="Q30" s="20">
        <v>90</v>
      </c>
      <c r="R30" s="20"/>
      <c r="S30" s="20">
        <v>90</v>
      </c>
      <c r="T30" s="21"/>
      <c r="U30" s="19">
        <v>90</v>
      </c>
      <c r="V30" s="20"/>
      <c r="W30" s="20">
        <v>89</v>
      </c>
      <c r="X30" s="20"/>
      <c r="Y30" s="20">
        <v>88</v>
      </c>
      <c r="Z30" s="20"/>
      <c r="AA30" s="20">
        <v>90</v>
      </c>
      <c r="AB30" s="21"/>
      <c r="AC30" s="19">
        <v>89</v>
      </c>
      <c r="AD30" s="20"/>
      <c r="AE30" s="20">
        <v>94</v>
      </c>
      <c r="AF30" s="20"/>
      <c r="AG30" s="20">
        <v>93</v>
      </c>
      <c r="AH30" s="20"/>
      <c r="AI30" s="20">
        <v>95</v>
      </c>
      <c r="AJ30" s="3"/>
      <c r="AK30" s="45">
        <f t="shared" si="4"/>
        <v>90.25</v>
      </c>
      <c r="AL30" s="46">
        <f t="shared" si="5"/>
        <v>89.25</v>
      </c>
      <c r="AM30" s="47">
        <f t="shared" si="6"/>
        <v>89.25</v>
      </c>
      <c r="AN30" s="48">
        <f t="shared" si="7"/>
        <v>92.75</v>
      </c>
      <c r="AO30" s="49">
        <f t="shared" si="8"/>
        <v>90.375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90.375</v>
      </c>
      <c r="BC30" s="65" t="str">
        <f t="shared" si="17"/>
        <v/>
      </c>
      <c r="BE30" s="20">
        <f t="shared" si="18"/>
        <v>89</v>
      </c>
      <c r="BF30" s="20">
        <f t="shared" si="19"/>
        <v>90</v>
      </c>
      <c r="BG30" s="93">
        <f t="shared" si="20"/>
        <v>90.25</v>
      </c>
      <c r="BH30" s="20">
        <f t="shared" si="21"/>
        <v>92.25</v>
      </c>
      <c r="BI30" s="20">
        <f t="shared" si="22"/>
        <v>90.375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>
        <v>0</v>
      </c>
      <c r="F31" s="20"/>
      <c r="G31" s="20">
        <v>0</v>
      </c>
      <c r="H31" s="20"/>
      <c r="I31" s="20">
        <v>0</v>
      </c>
      <c r="J31" s="20"/>
      <c r="K31" s="20">
        <v>0</v>
      </c>
      <c r="L31" s="21"/>
      <c r="M31" s="19">
        <v>0</v>
      </c>
      <c r="N31" s="20"/>
      <c r="O31" s="20">
        <v>0</v>
      </c>
      <c r="P31" s="20"/>
      <c r="Q31" s="20">
        <v>0</v>
      </c>
      <c r="R31" s="20"/>
      <c r="S31" s="20">
        <v>0</v>
      </c>
      <c r="T31" s="21"/>
      <c r="U31" s="19">
        <v>0</v>
      </c>
      <c r="V31" s="20"/>
      <c r="W31" s="20">
        <v>0</v>
      </c>
      <c r="X31" s="20"/>
      <c r="Y31" s="20">
        <v>0</v>
      </c>
      <c r="Z31" s="20"/>
      <c r="AA31" s="20">
        <v>0</v>
      </c>
      <c r="AB31" s="21"/>
      <c r="AC31" s="19">
        <v>0</v>
      </c>
      <c r="AD31" s="20"/>
      <c r="AE31" s="20">
        <v>0</v>
      </c>
      <c r="AF31" s="20"/>
      <c r="AG31" s="20">
        <v>0</v>
      </c>
      <c r="AH31" s="20"/>
      <c r="AI31" s="20">
        <v>0</v>
      </c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75</v>
      </c>
      <c r="F32" s="20"/>
      <c r="G32" s="20">
        <v>76</v>
      </c>
      <c r="H32" s="20"/>
      <c r="I32" s="20">
        <v>74</v>
      </c>
      <c r="J32" s="20"/>
      <c r="K32" s="20">
        <v>75</v>
      </c>
      <c r="L32" s="21"/>
      <c r="M32" s="19">
        <v>74</v>
      </c>
      <c r="N32" s="20"/>
      <c r="O32" s="20">
        <v>73</v>
      </c>
      <c r="P32" s="20"/>
      <c r="Q32" s="20">
        <v>74</v>
      </c>
      <c r="R32" s="20"/>
      <c r="S32" s="20">
        <v>73</v>
      </c>
      <c r="T32" s="21"/>
      <c r="U32" s="19">
        <v>73</v>
      </c>
      <c r="V32" s="20"/>
      <c r="W32" s="20">
        <v>74</v>
      </c>
      <c r="X32" s="20"/>
      <c r="Y32" s="20">
        <v>75</v>
      </c>
      <c r="Z32" s="20"/>
      <c r="AA32" s="20">
        <v>73</v>
      </c>
      <c r="AB32" s="21"/>
      <c r="AC32" s="19">
        <v>74</v>
      </c>
      <c r="AD32" s="20"/>
      <c r="AE32" s="20">
        <v>75</v>
      </c>
      <c r="AF32" s="20"/>
      <c r="AG32" s="20">
        <v>74</v>
      </c>
      <c r="AH32" s="20"/>
      <c r="AI32" s="20">
        <v>75</v>
      </c>
      <c r="AJ32" s="3"/>
      <c r="AK32" s="45">
        <f t="shared" si="4"/>
        <v>75</v>
      </c>
      <c r="AL32" s="46">
        <f t="shared" si="5"/>
        <v>73.5</v>
      </c>
      <c r="AM32" s="47">
        <f t="shared" si="6"/>
        <v>73.75</v>
      </c>
      <c r="AN32" s="48">
        <f t="shared" si="7"/>
        <v>74.5</v>
      </c>
      <c r="AO32" s="49">
        <f t="shared" si="8"/>
        <v>74.1875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74.1875</v>
      </c>
      <c r="BC32" s="65" t="str">
        <f t="shared" si="17"/>
        <v/>
      </c>
      <c r="BE32" s="20">
        <f t="shared" si="18"/>
        <v>74</v>
      </c>
      <c r="BF32" s="20">
        <f t="shared" si="19"/>
        <v>74.5</v>
      </c>
      <c r="BG32" s="93">
        <f t="shared" si="20"/>
        <v>74.25</v>
      </c>
      <c r="BH32" s="20">
        <f t="shared" si="21"/>
        <v>74</v>
      </c>
      <c r="BI32" s="20">
        <f t="shared" si="22"/>
        <v>74.1875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79</v>
      </c>
      <c r="F33" s="20"/>
      <c r="G33" s="20">
        <v>80</v>
      </c>
      <c r="H33" s="20"/>
      <c r="I33" s="20">
        <v>76</v>
      </c>
      <c r="J33" s="20"/>
      <c r="K33" s="20">
        <v>75</v>
      </c>
      <c r="L33" s="21"/>
      <c r="M33" s="19">
        <v>79</v>
      </c>
      <c r="N33" s="20"/>
      <c r="O33" s="20">
        <v>78</v>
      </c>
      <c r="P33" s="20"/>
      <c r="Q33" s="20">
        <v>80</v>
      </c>
      <c r="R33" s="20"/>
      <c r="S33" s="20">
        <v>75</v>
      </c>
      <c r="T33" s="21"/>
      <c r="U33" s="19">
        <v>79</v>
      </c>
      <c r="V33" s="20"/>
      <c r="W33" s="20">
        <v>80</v>
      </c>
      <c r="X33" s="20"/>
      <c r="Y33" s="20">
        <v>83</v>
      </c>
      <c r="Z33" s="20"/>
      <c r="AA33" s="20">
        <v>76</v>
      </c>
      <c r="AB33" s="21"/>
      <c r="AC33" s="19">
        <v>80</v>
      </c>
      <c r="AD33" s="20"/>
      <c r="AE33" s="20">
        <v>84</v>
      </c>
      <c r="AF33" s="20"/>
      <c r="AG33" s="20">
        <v>83</v>
      </c>
      <c r="AH33" s="20"/>
      <c r="AI33" s="20">
        <v>76</v>
      </c>
      <c r="AJ33" s="3"/>
      <c r="AK33" s="45">
        <f t="shared" si="4"/>
        <v>77.5</v>
      </c>
      <c r="AL33" s="46">
        <f t="shared" si="5"/>
        <v>78</v>
      </c>
      <c r="AM33" s="47">
        <f t="shared" si="6"/>
        <v>79.5</v>
      </c>
      <c r="AN33" s="48">
        <f t="shared" si="7"/>
        <v>80.75</v>
      </c>
      <c r="AO33" s="49">
        <f t="shared" si="8"/>
        <v>78.9375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78.9375</v>
      </c>
      <c r="BC33" s="65" t="str">
        <f t="shared" si="17"/>
        <v/>
      </c>
      <c r="BE33" s="20">
        <f t="shared" si="18"/>
        <v>79.25</v>
      </c>
      <c r="BF33" s="20">
        <f t="shared" si="19"/>
        <v>80.5</v>
      </c>
      <c r="BG33" s="93">
        <f t="shared" si="20"/>
        <v>80.5</v>
      </c>
      <c r="BH33" s="20">
        <f t="shared" si="21"/>
        <v>75.5</v>
      </c>
      <c r="BI33" s="20">
        <f t="shared" si="22"/>
        <v>78.9375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79</v>
      </c>
      <c r="F34" s="20"/>
      <c r="G34" s="20">
        <v>80</v>
      </c>
      <c r="H34" s="20"/>
      <c r="I34" s="20">
        <v>75</v>
      </c>
      <c r="J34" s="20"/>
      <c r="K34" s="20">
        <v>76</v>
      </c>
      <c r="L34" s="21"/>
      <c r="M34" s="19">
        <v>75</v>
      </c>
      <c r="N34" s="20"/>
      <c r="O34" s="20">
        <v>76</v>
      </c>
      <c r="P34" s="20"/>
      <c r="Q34" s="20">
        <v>77</v>
      </c>
      <c r="R34" s="20"/>
      <c r="S34" s="20">
        <v>75</v>
      </c>
      <c r="T34" s="21"/>
      <c r="U34" s="19">
        <v>80</v>
      </c>
      <c r="V34" s="20"/>
      <c r="W34" s="20">
        <v>73</v>
      </c>
      <c r="X34" s="20"/>
      <c r="Y34" s="20">
        <v>79</v>
      </c>
      <c r="Z34" s="20"/>
      <c r="AA34" s="20">
        <v>78</v>
      </c>
      <c r="AB34" s="21"/>
      <c r="AC34" s="19">
        <v>80</v>
      </c>
      <c r="AD34" s="20"/>
      <c r="AE34" s="20">
        <v>80</v>
      </c>
      <c r="AF34" s="20"/>
      <c r="AG34" s="20">
        <v>81</v>
      </c>
      <c r="AH34" s="20"/>
      <c r="AI34" s="20">
        <v>83</v>
      </c>
      <c r="AJ34" s="3"/>
      <c r="AK34" s="45">
        <f t="shared" si="4"/>
        <v>77.5</v>
      </c>
      <c r="AL34" s="46">
        <f t="shared" si="5"/>
        <v>75.75</v>
      </c>
      <c r="AM34" s="47">
        <f t="shared" si="6"/>
        <v>77.5</v>
      </c>
      <c r="AN34" s="48">
        <f t="shared" si="7"/>
        <v>81</v>
      </c>
      <c r="AO34" s="49">
        <f t="shared" si="8"/>
        <v>77.9375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77.9375</v>
      </c>
      <c r="BC34" s="65" t="str">
        <f t="shared" si="17"/>
        <v/>
      </c>
      <c r="BE34" s="20">
        <f t="shared" si="18"/>
        <v>78.5</v>
      </c>
      <c r="BF34" s="20">
        <f t="shared" si="19"/>
        <v>77.25</v>
      </c>
      <c r="BG34" s="93">
        <f t="shared" si="20"/>
        <v>78</v>
      </c>
      <c r="BH34" s="20">
        <f t="shared" si="21"/>
        <v>78</v>
      </c>
      <c r="BI34" s="20">
        <f t="shared" si="22"/>
        <v>77.9375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88</v>
      </c>
      <c r="H35" s="20"/>
      <c r="I35" s="20">
        <v>87</v>
      </c>
      <c r="J35" s="20"/>
      <c r="K35" s="20">
        <v>78</v>
      </c>
      <c r="L35" s="21"/>
      <c r="M35" s="19">
        <v>90</v>
      </c>
      <c r="N35" s="20"/>
      <c r="O35" s="20">
        <v>86</v>
      </c>
      <c r="P35" s="20"/>
      <c r="Q35" s="20">
        <v>80</v>
      </c>
      <c r="R35" s="20"/>
      <c r="S35" s="20">
        <v>76</v>
      </c>
      <c r="T35" s="21"/>
      <c r="U35" s="19">
        <v>80</v>
      </c>
      <c r="V35" s="20"/>
      <c r="W35" s="20">
        <v>84</v>
      </c>
      <c r="X35" s="20"/>
      <c r="Y35" s="20">
        <v>82</v>
      </c>
      <c r="Z35" s="20"/>
      <c r="AA35" s="20">
        <v>76</v>
      </c>
      <c r="AB35" s="21"/>
      <c r="AC35" s="19">
        <v>80</v>
      </c>
      <c r="AD35" s="20"/>
      <c r="AE35" s="20">
        <v>80</v>
      </c>
      <c r="AF35" s="20"/>
      <c r="AG35" s="20">
        <v>80</v>
      </c>
      <c r="AH35" s="20"/>
      <c r="AI35" s="20">
        <v>76</v>
      </c>
      <c r="AJ35" s="3"/>
      <c r="AK35" s="45">
        <f t="shared" si="4"/>
        <v>85.75</v>
      </c>
      <c r="AL35" s="46">
        <f t="shared" si="5"/>
        <v>83</v>
      </c>
      <c r="AM35" s="47">
        <f t="shared" si="6"/>
        <v>80.5</v>
      </c>
      <c r="AN35" s="48">
        <f t="shared" si="7"/>
        <v>79</v>
      </c>
      <c r="AO35" s="49">
        <f t="shared" si="8"/>
        <v>82.0625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82.0625</v>
      </c>
      <c r="BC35" s="65" t="str">
        <f t="shared" si="17"/>
        <v/>
      </c>
      <c r="BE35" s="20">
        <f t="shared" si="18"/>
        <v>85</v>
      </c>
      <c r="BF35" s="20">
        <f t="shared" si="19"/>
        <v>84.5</v>
      </c>
      <c r="BG35" s="93">
        <f t="shared" si="20"/>
        <v>82.25</v>
      </c>
      <c r="BH35" s="20">
        <f t="shared" si="21"/>
        <v>76.5</v>
      </c>
      <c r="BI35" s="20">
        <f t="shared" si="22"/>
        <v>82.0625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0</v>
      </c>
      <c r="F36" s="20"/>
      <c r="G36" s="20">
        <v>0</v>
      </c>
      <c r="H36" s="20"/>
      <c r="I36" s="20">
        <v>0</v>
      </c>
      <c r="J36" s="20"/>
      <c r="K36" s="20">
        <v>0</v>
      </c>
      <c r="L36" s="21"/>
      <c r="M36" s="19">
        <v>0</v>
      </c>
      <c r="N36" s="20"/>
      <c r="O36" s="20">
        <v>0</v>
      </c>
      <c r="P36" s="20"/>
      <c r="Q36" s="20">
        <v>0</v>
      </c>
      <c r="R36" s="20"/>
      <c r="S36" s="20">
        <v>0</v>
      </c>
      <c r="T36" s="21"/>
      <c r="U36" s="19">
        <v>0</v>
      </c>
      <c r="V36" s="20"/>
      <c r="W36" s="20">
        <v>0</v>
      </c>
      <c r="X36" s="20"/>
      <c r="Y36" s="20">
        <v>0</v>
      </c>
      <c r="Z36" s="20"/>
      <c r="AA36" s="20">
        <v>0</v>
      </c>
      <c r="AB36" s="21"/>
      <c r="AC36" s="19">
        <v>0</v>
      </c>
      <c r="AD36" s="20"/>
      <c r="AE36" s="20">
        <v>0</v>
      </c>
      <c r="AF36" s="20"/>
      <c r="AG36" s="20">
        <v>0</v>
      </c>
      <c r="AH36" s="20"/>
      <c r="AI36" s="20">
        <v>0</v>
      </c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70</v>
      </c>
      <c r="F37" s="20"/>
      <c r="G37" s="20">
        <v>79</v>
      </c>
      <c r="H37" s="20"/>
      <c r="I37" s="20">
        <v>80</v>
      </c>
      <c r="J37" s="20"/>
      <c r="K37" s="20">
        <v>85</v>
      </c>
      <c r="L37" s="21"/>
      <c r="M37" s="19">
        <v>70</v>
      </c>
      <c r="N37" s="20"/>
      <c r="O37" s="20">
        <v>80</v>
      </c>
      <c r="P37" s="20"/>
      <c r="Q37" s="20">
        <v>85</v>
      </c>
      <c r="R37" s="20"/>
      <c r="S37" s="20">
        <v>80</v>
      </c>
      <c r="T37" s="21"/>
      <c r="U37" s="19">
        <v>73</v>
      </c>
      <c r="V37" s="20"/>
      <c r="W37" s="20">
        <v>83</v>
      </c>
      <c r="X37" s="20"/>
      <c r="Y37" s="20">
        <v>85</v>
      </c>
      <c r="Z37" s="20"/>
      <c r="AA37" s="20">
        <v>83</v>
      </c>
      <c r="AB37" s="21"/>
      <c r="AC37" s="19">
        <v>70</v>
      </c>
      <c r="AD37" s="20"/>
      <c r="AE37" s="20">
        <v>80</v>
      </c>
      <c r="AF37" s="20"/>
      <c r="AG37" s="20">
        <v>79</v>
      </c>
      <c r="AH37" s="20"/>
      <c r="AI37" s="20">
        <v>84</v>
      </c>
      <c r="AJ37" s="3"/>
      <c r="AK37" s="45">
        <f t="shared" si="4"/>
        <v>78.5</v>
      </c>
      <c r="AL37" s="46">
        <f t="shared" si="5"/>
        <v>78.75</v>
      </c>
      <c r="AM37" s="47">
        <f t="shared" si="6"/>
        <v>81</v>
      </c>
      <c r="AN37" s="48">
        <f t="shared" si="7"/>
        <v>78.25</v>
      </c>
      <c r="AO37" s="49">
        <f t="shared" si="8"/>
        <v>79.125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79.125</v>
      </c>
      <c r="BC37" s="65" t="str">
        <f t="shared" si="17"/>
        <v/>
      </c>
      <c r="BE37" s="20">
        <f t="shared" si="18"/>
        <v>70.75</v>
      </c>
      <c r="BF37" s="20">
        <f t="shared" si="19"/>
        <v>80.5</v>
      </c>
      <c r="BG37" s="93">
        <f t="shared" si="20"/>
        <v>82.25</v>
      </c>
      <c r="BH37" s="20">
        <f t="shared" si="21"/>
        <v>83</v>
      </c>
      <c r="BI37" s="20">
        <f t="shared" si="22"/>
        <v>79.125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79</v>
      </c>
      <c r="F38" s="20"/>
      <c r="G38" s="20">
        <v>80</v>
      </c>
      <c r="H38" s="20"/>
      <c r="I38" s="20">
        <v>76</v>
      </c>
      <c r="J38" s="20"/>
      <c r="K38" s="20">
        <v>75</v>
      </c>
      <c r="L38" s="21"/>
      <c r="M38" s="19">
        <v>79</v>
      </c>
      <c r="N38" s="20"/>
      <c r="O38" s="20">
        <v>78</v>
      </c>
      <c r="P38" s="20"/>
      <c r="Q38" s="20">
        <v>80</v>
      </c>
      <c r="R38" s="20"/>
      <c r="S38" s="20">
        <v>75</v>
      </c>
      <c r="T38" s="21"/>
      <c r="U38" s="19">
        <v>79</v>
      </c>
      <c r="V38" s="20"/>
      <c r="W38" s="20">
        <v>80</v>
      </c>
      <c r="X38" s="20"/>
      <c r="Y38" s="20">
        <v>83</v>
      </c>
      <c r="Z38" s="20"/>
      <c r="AA38" s="20">
        <v>76</v>
      </c>
      <c r="AB38" s="21"/>
      <c r="AC38" s="19">
        <v>80</v>
      </c>
      <c r="AD38" s="20"/>
      <c r="AE38" s="20">
        <v>84</v>
      </c>
      <c r="AF38" s="20"/>
      <c r="AG38" s="20">
        <v>83</v>
      </c>
      <c r="AH38" s="20"/>
      <c r="AI38" s="20">
        <v>76</v>
      </c>
      <c r="AJ38" s="3"/>
      <c r="AK38" s="45">
        <f t="shared" si="4"/>
        <v>77.5</v>
      </c>
      <c r="AL38" s="46">
        <f t="shared" si="5"/>
        <v>78</v>
      </c>
      <c r="AM38" s="47">
        <f t="shared" si="6"/>
        <v>79.5</v>
      </c>
      <c r="AN38" s="48">
        <f t="shared" si="7"/>
        <v>80.75</v>
      </c>
      <c r="AO38" s="49">
        <f t="shared" si="8"/>
        <v>78.9375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78.9375</v>
      </c>
      <c r="BC38" s="65" t="str">
        <f t="shared" si="17"/>
        <v/>
      </c>
      <c r="BE38" s="20">
        <f t="shared" si="18"/>
        <v>79.25</v>
      </c>
      <c r="BF38" s="20">
        <f t="shared" si="19"/>
        <v>80.5</v>
      </c>
      <c r="BG38" s="93">
        <f t="shared" si="20"/>
        <v>80.5</v>
      </c>
      <c r="BH38" s="20">
        <f t="shared" si="21"/>
        <v>75.5</v>
      </c>
      <c r="BI38" s="20">
        <f t="shared" si="22"/>
        <v>78.9375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79</v>
      </c>
      <c r="F39" s="20"/>
      <c r="G39" s="20">
        <v>80</v>
      </c>
      <c r="H39" s="20"/>
      <c r="I39" s="20">
        <v>75</v>
      </c>
      <c r="J39" s="20"/>
      <c r="K39" s="20">
        <v>76</v>
      </c>
      <c r="L39" s="21"/>
      <c r="M39" s="19">
        <v>75</v>
      </c>
      <c r="N39" s="20"/>
      <c r="O39" s="20">
        <v>76</v>
      </c>
      <c r="P39" s="20"/>
      <c r="Q39" s="20">
        <v>77</v>
      </c>
      <c r="R39" s="20"/>
      <c r="S39" s="20">
        <v>75</v>
      </c>
      <c r="T39" s="21"/>
      <c r="U39" s="19">
        <v>80</v>
      </c>
      <c r="V39" s="20"/>
      <c r="W39" s="20">
        <v>73</v>
      </c>
      <c r="X39" s="20"/>
      <c r="Y39" s="20">
        <v>79</v>
      </c>
      <c r="Z39" s="20"/>
      <c r="AA39" s="20">
        <v>78</v>
      </c>
      <c r="AB39" s="21"/>
      <c r="AC39" s="19">
        <v>80</v>
      </c>
      <c r="AD39" s="20"/>
      <c r="AE39" s="20">
        <v>80</v>
      </c>
      <c r="AF39" s="20"/>
      <c r="AG39" s="20">
        <v>81</v>
      </c>
      <c r="AH39" s="20"/>
      <c r="AI39" s="20">
        <v>83</v>
      </c>
      <c r="AJ39" s="3"/>
      <c r="AK39" s="45">
        <f t="shared" si="4"/>
        <v>77.5</v>
      </c>
      <c r="AL39" s="46">
        <f t="shared" si="5"/>
        <v>75.75</v>
      </c>
      <c r="AM39" s="47">
        <f t="shared" si="6"/>
        <v>77.5</v>
      </c>
      <c r="AN39" s="48">
        <f t="shared" si="7"/>
        <v>81</v>
      </c>
      <c r="AO39" s="49">
        <f t="shared" si="8"/>
        <v>77.9375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77.9375</v>
      </c>
      <c r="BC39" s="65" t="str">
        <f t="shared" si="17"/>
        <v/>
      </c>
      <c r="BE39" s="20">
        <f t="shared" si="18"/>
        <v>78.5</v>
      </c>
      <c r="BF39" s="20">
        <f t="shared" si="19"/>
        <v>77.25</v>
      </c>
      <c r="BG39" s="93">
        <f t="shared" si="20"/>
        <v>78</v>
      </c>
      <c r="BH39" s="20">
        <f t="shared" si="21"/>
        <v>78</v>
      </c>
      <c r="BI39" s="20">
        <f t="shared" si="22"/>
        <v>77.9375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90</v>
      </c>
      <c r="F40" s="20"/>
      <c r="G40" s="20">
        <v>88</v>
      </c>
      <c r="H40" s="20"/>
      <c r="I40" s="20">
        <v>87</v>
      </c>
      <c r="J40" s="20"/>
      <c r="K40" s="20">
        <v>78</v>
      </c>
      <c r="L40" s="21"/>
      <c r="M40" s="19">
        <v>90</v>
      </c>
      <c r="N40" s="20"/>
      <c r="O40" s="20">
        <v>86</v>
      </c>
      <c r="P40" s="20"/>
      <c r="Q40" s="20">
        <v>80</v>
      </c>
      <c r="R40" s="20"/>
      <c r="S40" s="20">
        <v>76</v>
      </c>
      <c r="T40" s="21"/>
      <c r="U40" s="19">
        <v>80</v>
      </c>
      <c r="V40" s="20"/>
      <c r="W40" s="20">
        <v>84</v>
      </c>
      <c r="X40" s="20"/>
      <c r="Y40" s="20">
        <v>82</v>
      </c>
      <c r="Z40" s="20"/>
      <c r="AA40" s="20">
        <v>76</v>
      </c>
      <c r="AB40" s="21"/>
      <c r="AC40" s="19">
        <v>80</v>
      </c>
      <c r="AD40" s="20"/>
      <c r="AE40" s="20">
        <v>80</v>
      </c>
      <c r="AF40" s="20"/>
      <c r="AG40" s="20">
        <v>80</v>
      </c>
      <c r="AH40" s="20"/>
      <c r="AI40" s="20">
        <v>76</v>
      </c>
      <c r="AJ40" s="3"/>
      <c r="AK40" s="45">
        <f t="shared" si="4"/>
        <v>85.75</v>
      </c>
      <c r="AL40" s="46">
        <f t="shared" si="5"/>
        <v>83</v>
      </c>
      <c r="AM40" s="47">
        <f t="shared" si="6"/>
        <v>80.5</v>
      </c>
      <c r="AN40" s="48">
        <f t="shared" si="7"/>
        <v>79</v>
      </c>
      <c r="AO40" s="49">
        <f t="shared" si="8"/>
        <v>82.0625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82.0625</v>
      </c>
      <c r="BC40" s="65" t="str">
        <f t="shared" si="17"/>
        <v/>
      </c>
      <c r="BE40" s="20">
        <f t="shared" si="18"/>
        <v>85</v>
      </c>
      <c r="BF40" s="20">
        <f t="shared" si="19"/>
        <v>84.5</v>
      </c>
      <c r="BG40" s="93">
        <f t="shared" si="20"/>
        <v>82.25</v>
      </c>
      <c r="BH40" s="20">
        <f t="shared" si="21"/>
        <v>76.5</v>
      </c>
      <c r="BI40" s="20">
        <f t="shared" si="22"/>
        <v>82.0625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0</v>
      </c>
      <c r="F41" s="20"/>
      <c r="G41" s="20">
        <v>0</v>
      </c>
      <c r="H41" s="20"/>
      <c r="I41" s="20">
        <v>0</v>
      </c>
      <c r="J41" s="20"/>
      <c r="K41" s="20">
        <v>0</v>
      </c>
      <c r="L41" s="21"/>
      <c r="M41" s="19">
        <v>0</v>
      </c>
      <c r="N41" s="20"/>
      <c r="O41" s="20">
        <v>0</v>
      </c>
      <c r="P41" s="20"/>
      <c r="Q41" s="20">
        <v>0</v>
      </c>
      <c r="R41" s="20"/>
      <c r="S41" s="20">
        <v>0</v>
      </c>
      <c r="T41" s="21"/>
      <c r="U41" s="19">
        <v>0</v>
      </c>
      <c r="V41" s="20"/>
      <c r="W41" s="20">
        <v>0</v>
      </c>
      <c r="X41" s="20"/>
      <c r="Y41" s="20">
        <v>0</v>
      </c>
      <c r="Z41" s="20"/>
      <c r="AA41" s="20">
        <v>0</v>
      </c>
      <c r="AB41" s="21"/>
      <c r="AC41" s="19">
        <v>0</v>
      </c>
      <c r="AD41" s="20"/>
      <c r="AE41" s="20">
        <v>0</v>
      </c>
      <c r="AF41" s="20"/>
      <c r="AG41" s="20">
        <v>0</v>
      </c>
      <c r="AH41" s="20"/>
      <c r="AI41" s="20">
        <v>0</v>
      </c>
      <c r="AJ41" s="3"/>
      <c r="AK41" s="45">
        <f t="shared" si="4"/>
        <v>0</v>
      </c>
      <c r="AL41" s="46">
        <f t="shared" si="5"/>
        <v>0</v>
      </c>
      <c r="AM41" s="47">
        <f t="shared" si="6"/>
        <v>0</v>
      </c>
      <c r="AN41" s="48">
        <f t="shared" si="7"/>
        <v>0</v>
      </c>
      <c r="AO41" s="49">
        <f t="shared" si="8"/>
        <v>0</v>
      </c>
      <c r="AP41" s="38"/>
      <c r="AR41" s="55">
        <f t="shared" si="9"/>
        <v>0</v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 t="str">
        <f t="shared" si="16"/>
        <v/>
      </c>
      <c r="BC41" s="65">
        <f t="shared" si="17"/>
        <v>0</v>
      </c>
      <c r="BE41" s="20">
        <f t="shared" si="18"/>
        <v>0</v>
      </c>
      <c r="BF41" s="20">
        <f t="shared" si="19"/>
        <v>0</v>
      </c>
      <c r="BG41" s="93">
        <f t="shared" si="20"/>
        <v>0</v>
      </c>
      <c r="BH41" s="20">
        <f t="shared" si="21"/>
        <v>0</v>
      </c>
      <c r="BI41" s="20">
        <f t="shared" si="22"/>
        <v>0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70</v>
      </c>
      <c r="F42" s="20"/>
      <c r="G42" s="20">
        <v>79</v>
      </c>
      <c r="H42" s="20"/>
      <c r="I42" s="20">
        <v>80</v>
      </c>
      <c r="J42" s="20"/>
      <c r="K42" s="20">
        <v>85</v>
      </c>
      <c r="L42" s="21"/>
      <c r="M42" s="19">
        <v>70</v>
      </c>
      <c r="N42" s="20"/>
      <c r="O42" s="20">
        <v>80</v>
      </c>
      <c r="P42" s="20"/>
      <c r="Q42" s="20">
        <v>85</v>
      </c>
      <c r="R42" s="20"/>
      <c r="S42" s="20">
        <v>80</v>
      </c>
      <c r="T42" s="21"/>
      <c r="U42" s="19">
        <v>73</v>
      </c>
      <c r="V42" s="20"/>
      <c r="W42" s="20">
        <v>83</v>
      </c>
      <c r="X42" s="20"/>
      <c r="Y42" s="20">
        <v>85</v>
      </c>
      <c r="Z42" s="20"/>
      <c r="AA42" s="20">
        <v>83</v>
      </c>
      <c r="AB42" s="21"/>
      <c r="AC42" s="19">
        <v>70</v>
      </c>
      <c r="AD42" s="20"/>
      <c r="AE42" s="20">
        <v>80</v>
      </c>
      <c r="AF42" s="20"/>
      <c r="AG42" s="20">
        <v>79</v>
      </c>
      <c r="AH42" s="20"/>
      <c r="AI42" s="20">
        <v>84</v>
      </c>
      <c r="AJ42" s="3"/>
      <c r="AK42" s="45">
        <f t="shared" si="4"/>
        <v>78.5</v>
      </c>
      <c r="AL42" s="46">
        <f t="shared" si="5"/>
        <v>78.75</v>
      </c>
      <c r="AM42" s="47">
        <f t="shared" si="6"/>
        <v>81</v>
      </c>
      <c r="AN42" s="48">
        <f t="shared" si="7"/>
        <v>78.25</v>
      </c>
      <c r="AO42" s="49">
        <f t="shared" si="8"/>
        <v>79.125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79.125</v>
      </c>
      <c r="BC42" s="65" t="str">
        <f t="shared" si="17"/>
        <v/>
      </c>
      <c r="BE42" s="20">
        <f t="shared" si="18"/>
        <v>70.75</v>
      </c>
      <c r="BF42" s="20">
        <f t="shared" si="19"/>
        <v>80.5</v>
      </c>
      <c r="BG42" s="93">
        <f t="shared" si="20"/>
        <v>82.25</v>
      </c>
      <c r="BH42" s="20">
        <f t="shared" si="21"/>
        <v>83</v>
      </c>
      <c r="BI42" s="20">
        <f t="shared" si="22"/>
        <v>79.125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BB1:BB2"/>
    <mergeCell ref="BC1:BC2"/>
    <mergeCell ref="AX1:AX2"/>
    <mergeCell ref="AY1:AY2"/>
    <mergeCell ref="AW1:AW2"/>
    <mergeCell ref="AN1:AN2"/>
    <mergeCell ref="U1:AB1"/>
    <mergeCell ref="AM1:AM2"/>
    <mergeCell ref="AZ1:AZ2"/>
    <mergeCell ref="BA1:BA2"/>
    <mergeCell ref="AS1:AS2"/>
    <mergeCell ref="AT1:AT2"/>
    <mergeCell ref="AU1:AU2"/>
    <mergeCell ref="AV1:AV2"/>
    <mergeCell ref="A1:A2"/>
    <mergeCell ref="C1:C2"/>
    <mergeCell ref="D1:D2"/>
    <mergeCell ref="E1:L1"/>
    <mergeCell ref="AR1:AR2"/>
    <mergeCell ref="B1:B2"/>
    <mergeCell ref="AO1:AO2"/>
    <mergeCell ref="AP1:AP2"/>
    <mergeCell ref="M1:T1"/>
    <mergeCell ref="AC1:AJ1"/>
    <mergeCell ref="AK1:AK2"/>
    <mergeCell ref="AL1:AL2"/>
  </mergeCells>
  <conditionalFormatting sqref="E4:F33 M4:N33 AC4:AD33 E34:AJ37 E38:F38 M38:N38 AC38:AD38 AJ38:AJ42 E39:AI42 E43:AJ47">
    <cfRule type="cellIs" dxfId="106" priority="9" operator="lessThan">
      <formula>70</formula>
    </cfRule>
  </conditionalFormatting>
  <conditionalFormatting sqref="E3:AI3">
    <cfRule type="cellIs" dxfId="105" priority="5" operator="lessThan">
      <formula>70</formula>
    </cfRule>
  </conditionalFormatting>
  <conditionalFormatting sqref="G4:L33">
    <cfRule type="cellIs" dxfId="104" priority="8" operator="lessThan">
      <formula>70</formula>
    </cfRule>
  </conditionalFormatting>
  <conditionalFormatting sqref="G38:L38">
    <cfRule type="cellIs" dxfId="103" priority="3" operator="lessThan">
      <formula>70</formula>
    </cfRule>
  </conditionalFormatting>
  <conditionalFormatting sqref="O4:AB33">
    <cfRule type="cellIs" dxfId="102" priority="7" operator="lessThan">
      <formula>70</formula>
    </cfRule>
  </conditionalFormatting>
  <conditionalFormatting sqref="O38:AB38">
    <cfRule type="cellIs" dxfId="101" priority="2" operator="lessThan">
      <formula>70</formula>
    </cfRule>
  </conditionalFormatting>
  <conditionalFormatting sqref="AE4:AI33">
    <cfRule type="cellIs" dxfId="100" priority="6" operator="lessThan">
      <formula>70</formula>
    </cfRule>
  </conditionalFormatting>
  <conditionalFormatting sqref="AE38:AI38">
    <cfRule type="cellIs" dxfId="99" priority="1" operator="lessThan">
      <formula>70</formula>
    </cfRule>
  </conditionalFormatting>
  <conditionalFormatting sqref="AJ3:AJ33">
    <cfRule type="cellIs" dxfId="98" priority="13" operator="lessThan">
      <formula>70</formula>
    </cfRule>
  </conditionalFormatting>
  <conditionalFormatting sqref="AK3:AP47">
    <cfRule type="cellIs" dxfId="97" priority="36" operator="lessThan">
      <formula>70</formula>
    </cfRule>
  </conditionalFormatting>
  <conditionalFormatting sqref="AO1">
    <cfRule type="cellIs" dxfId="96" priority="4" operator="lessThan">
      <formula>70</formula>
    </cfRule>
  </conditionalFormatting>
  <conditionalFormatting sqref="AR3:AR47">
    <cfRule type="cellIs" dxfId="95" priority="34" operator="lessThan">
      <formula>70</formula>
    </cfRule>
  </conditionalFormatting>
  <conditionalFormatting sqref="AR3:AY47">
    <cfRule type="cellIs" dxfId="94" priority="35" operator="lessThan">
      <formula>70</formula>
    </cfRule>
  </conditionalFormatting>
  <conditionalFormatting sqref="AZ3:AZ47">
    <cfRule type="cellIs" dxfId="93" priority="17" operator="lessThan">
      <formula>70</formula>
    </cfRule>
  </conditionalFormatting>
  <dataValidations count="1">
    <dataValidation type="custom" allowBlank="1" showInputMessage="1" showErrorMessage="1" sqref="E3:AI42" xr:uid="{CA8F2509-6BAB-4EF5-B0DB-11849EC6EE31}">
      <formula1>ISNUMBER(E3:E52)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56DAC-8382-4636-BBA1-C59F9634AE0B}">
  <dimension ref="A1:BI47"/>
  <sheetViews>
    <sheetView zoomScaleNormal="100" workbookViewId="0">
      <selection activeCell="AD16" sqref="AD1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89</v>
      </c>
      <c r="F4" s="20"/>
      <c r="G4" s="20">
        <v>92</v>
      </c>
      <c r="H4" s="20"/>
      <c r="I4" s="20">
        <v>90</v>
      </c>
      <c r="J4" s="20"/>
      <c r="K4" s="20">
        <v>80</v>
      </c>
      <c r="L4" s="21"/>
      <c r="M4" s="19">
        <v>90</v>
      </c>
      <c r="N4" s="20"/>
      <c r="O4" s="20">
        <v>94</v>
      </c>
      <c r="P4" s="20"/>
      <c r="Q4" s="20">
        <v>90</v>
      </c>
      <c r="R4" s="20"/>
      <c r="S4" s="20">
        <v>80</v>
      </c>
      <c r="T4" s="21"/>
      <c r="U4" s="19">
        <v>92</v>
      </c>
      <c r="V4" s="20"/>
      <c r="W4" s="20">
        <v>90</v>
      </c>
      <c r="X4" s="20"/>
      <c r="Y4" s="20">
        <v>90</v>
      </c>
      <c r="Z4" s="20"/>
      <c r="AA4" s="20">
        <v>80</v>
      </c>
      <c r="AB4" s="21"/>
      <c r="AC4" s="1">
        <v>92</v>
      </c>
      <c r="AD4" s="20"/>
      <c r="AE4" s="20">
        <v>94</v>
      </c>
      <c r="AF4" s="20"/>
      <c r="AG4" s="20">
        <v>80</v>
      </c>
      <c r="AH4" s="20"/>
      <c r="AI4" s="20">
        <v>80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87.75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88.5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88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86.5</v>
      </c>
      <c r="AO4" s="49">
        <f t="shared" ref="AO4:AO47" si="8">AVERAGE(AK4:AN4)</f>
        <v>87.6875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87.6875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90.75</v>
      </c>
      <c r="BF4" s="20">
        <f t="shared" si="1"/>
        <v>92.5</v>
      </c>
      <c r="BG4" s="93">
        <f t="shared" si="2"/>
        <v>87.5</v>
      </c>
      <c r="BH4" s="20">
        <f t="shared" si="3"/>
        <v>80</v>
      </c>
      <c r="BI4" s="20">
        <f>AVERAGE(BE4:BH4)</f>
        <v>87.6875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86</v>
      </c>
      <c r="F5" s="20"/>
      <c r="G5" s="20">
        <v>94</v>
      </c>
      <c r="H5" s="20"/>
      <c r="I5" s="20">
        <v>91</v>
      </c>
      <c r="J5" s="20"/>
      <c r="K5" s="20">
        <v>93</v>
      </c>
      <c r="L5" s="21"/>
      <c r="M5" s="19">
        <v>90</v>
      </c>
      <c r="N5" s="20"/>
      <c r="O5" s="20">
        <v>92</v>
      </c>
      <c r="P5" s="20"/>
      <c r="Q5" s="20">
        <v>88</v>
      </c>
      <c r="R5" s="20"/>
      <c r="S5" s="20">
        <v>90</v>
      </c>
      <c r="T5" s="21"/>
      <c r="U5" s="19">
        <v>90</v>
      </c>
      <c r="V5" s="20"/>
      <c r="W5" s="20">
        <v>94</v>
      </c>
      <c r="X5" s="20"/>
      <c r="Y5" s="20">
        <v>92</v>
      </c>
      <c r="Z5" s="20"/>
      <c r="AA5" s="20">
        <v>92</v>
      </c>
      <c r="AB5" s="21"/>
      <c r="AC5" s="1">
        <v>90</v>
      </c>
      <c r="AD5" s="20"/>
      <c r="AE5" s="20">
        <v>92</v>
      </c>
      <c r="AF5" s="20"/>
      <c r="AG5" s="20">
        <v>94</v>
      </c>
      <c r="AH5" s="20"/>
      <c r="AI5" s="20">
        <v>94</v>
      </c>
      <c r="AJ5" s="3"/>
      <c r="AK5" s="45">
        <f t="shared" si="4"/>
        <v>91</v>
      </c>
      <c r="AL5" s="46">
        <f t="shared" si="5"/>
        <v>90</v>
      </c>
      <c r="AM5" s="47">
        <f t="shared" si="6"/>
        <v>92</v>
      </c>
      <c r="AN5" s="48">
        <f t="shared" si="7"/>
        <v>92.5</v>
      </c>
      <c r="AO5" s="49">
        <f t="shared" si="8"/>
        <v>91.375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91.375</v>
      </c>
      <c r="BC5" s="65" t="str">
        <f t="shared" si="17"/>
        <v/>
      </c>
      <c r="BE5" s="20">
        <f>SUM(E5+M5+U5+AC5)/4</f>
        <v>89</v>
      </c>
      <c r="BF5" s="20">
        <f>SUM(G5+O5+W5+AE5)/4</f>
        <v>93</v>
      </c>
      <c r="BG5" s="93">
        <f>SUM(I5+Q5+Y5+AG5)/4</f>
        <v>91.25</v>
      </c>
      <c r="BH5" s="20">
        <f>SUM(K5+S5+AA5+AI5)/4</f>
        <v>92.25</v>
      </c>
      <c r="BI5" s="20">
        <f>AVERAGE(BE5:BH5)</f>
        <v>91.375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92</v>
      </c>
      <c r="F6" s="20"/>
      <c r="G6" s="20">
        <v>90</v>
      </c>
      <c r="H6" s="20"/>
      <c r="I6" s="20">
        <v>91</v>
      </c>
      <c r="J6" s="20"/>
      <c r="K6" s="20">
        <v>91</v>
      </c>
      <c r="L6" s="21"/>
      <c r="M6" s="19">
        <v>89</v>
      </c>
      <c r="N6" s="20"/>
      <c r="O6" s="20">
        <v>91</v>
      </c>
      <c r="P6" s="20"/>
      <c r="Q6" s="20">
        <v>89</v>
      </c>
      <c r="R6" s="20"/>
      <c r="S6" s="20">
        <v>91</v>
      </c>
      <c r="T6" s="21"/>
      <c r="U6" s="19">
        <v>89</v>
      </c>
      <c r="V6" s="20"/>
      <c r="W6" s="20">
        <v>91</v>
      </c>
      <c r="X6" s="20"/>
      <c r="Y6" s="20">
        <v>92</v>
      </c>
      <c r="Z6" s="20"/>
      <c r="AA6" s="20">
        <v>90</v>
      </c>
      <c r="AB6" s="21"/>
      <c r="AC6" s="1">
        <v>96</v>
      </c>
      <c r="AD6" s="20"/>
      <c r="AE6" s="20">
        <v>96</v>
      </c>
      <c r="AF6" s="20"/>
      <c r="AG6" s="20">
        <v>93</v>
      </c>
      <c r="AH6" s="20"/>
      <c r="AI6" s="20">
        <v>96</v>
      </c>
      <c r="AJ6" s="3"/>
      <c r="AK6" s="45">
        <f t="shared" si="4"/>
        <v>91</v>
      </c>
      <c r="AL6" s="46">
        <f t="shared" si="5"/>
        <v>90</v>
      </c>
      <c r="AM6" s="47">
        <f t="shared" si="6"/>
        <v>90.5</v>
      </c>
      <c r="AN6" s="48">
        <f t="shared" si="7"/>
        <v>95.25</v>
      </c>
      <c r="AO6" s="49">
        <f t="shared" si="8"/>
        <v>91.6875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91.6875</v>
      </c>
      <c r="BC6" s="65" t="str">
        <f t="shared" si="17"/>
        <v/>
      </c>
      <c r="BE6" s="20">
        <f t="shared" ref="BE6:BE47" si="18">SUM(E6+M6+U6+AC6)/4</f>
        <v>91.5</v>
      </c>
      <c r="BF6" s="20">
        <f t="shared" ref="BF6:BF47" si="19">SUM(G6+O6+W6+AE6)/4</f>
        <v>92</v>
      </c>
      <c r="BG6" s="93">
        <f t="shared" ref="BG6:BG47" si="20">SUM(I6+Q6+Y6+AG6)/4</f>
        <v>91.25</v>
      </c>
      <c r="BH6" s="20">
        <f t="shared" ref="BH6:BH47" si="21">SUM(K6+S6+AA6+AI6)/4</f>
        <v>92</v>
      </c>
      <c r="BI6" s="20">
        <f t="shared" ref="BI6:BI47" si="22">AVERAGE(BE6:BH6)</f>
        <v>91.6875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95</v>
      </c>
      <c r="F7" s="20"/>
      <c r="G7" s="20">
        <v>96</v>
      </c>
      <c r="H7" s="20"/>
      <c r="I7" s="20">
        <v>94</v>
      </c>
      <c r="J7" s="20"/>
      <c r="K7" s="20">
        <v>95</v>
      </c>
      <c r="L7" s="21"/>
      <c r="M7" s="19">
        <v>93</v>
      </c>
      <c r="N7" s="20"/>
      <c r="O7" s="20">
        <v>96</v>
      </c>
      <c r="P7" s="20"/>
      <c r="Q7" s="20">
        <v>90</v>
      </c>
      <c r="R7" s="20"/>
      <c r="S7" s="20">
        <v>93</v>
      </c>
      <c r="T7" s="21"/>
      <c r="U7" s="19">
        <v>94</v>
      </c>
      <c r="V7" s="20"/>
      <c r="W7" s="20">
        <v>90</v>
      </c>
      <c r="X7" s="20"/>
      <c r="Y7" s="20">
        <v>91</v>
      </c>
      <c r="Z7" s="20"/>
      <c r="AA7" s="20">
        <v>92</v>
      </c>
      <c r="AB7" s="21"/>
      <c r="AC7" s="1">
        <v>89</v>
      </c>
      <c r="AD7" s="20"/>
      <c r="AE7" s="20">
        <v>92</v>
      </c>
      <c r="AF7" s="20"/>
      <c r="AG7" s="20">
        <v>90</v>
      </c>
      <c r="AH7" s="20"/>
      <c r="AI7" s="20">
        <v>90</v>
      </c>
      <c r="AJ7" s="3"/>
      <c r="AK7" s="45">
        <f t="shared" si="4"/>
        <v>95</v>
      </c>
      <c r="AL7" s="46">
        <f t="shared" si="5"/>
        <v>93</v>
      </c>
      <c r="AM7" s="47">
        <f t="shared" si="6"/>
        <v>91.75</v>
      </c>
      <c r="AN7" s="48">
        <f t="shared" si="7"/>
        <v>90.25</v>
      </c>
      <c r="AO7" s="49">
        <f t="shared" si="8"/>
        <v>92.5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92.5</v>
      </c>
      <c r="BC7" s="65" t="str">
        <f t="shared" si="17"/>
        <v/>
      </c>
      <c r="BE7" s="20">
        <f t="shared" si="18"/>
        <v>92.75</v>
      </c>
      <c r="BF7" s="20">
        <f t="shared" si="19"/>
        <v>93.5</v>
      </c>
      <c r="BG7" s="93">
        <f t="shared" si="20"/>
        <v>91.25</v>
      </c>
      <c r="BH7" s="20">
        <f t="shared" si="21"/>
        <v>92.5</v>
      </c>
      <c r="BI7" s="20">
        <f t="shared" si="22"/>
        <v>92.5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86</v>
      </c>
      <c r="F8" s="20"/>
      <c r="G8" s="20">
        <v>90</v>
      </c>
      <c r="H8" s="20"/>
      <c r="I8" s="20">
        <v>89</v>
      </c>
      <c r="J8" s="20"/>
      <c r="K8" s="20">
        <v>94</v>
      </c>
      <c r="L8" s="21"/>
      <c r="M8" s="19">
        <v>94</v>
      </c>
      <c r="N8" s="20"/>
      <c r="O8" s="20">
        <v>86</v>
      </c>
      <c r="P8" s="20"/>
      <c r="Q8" s="20">
        <v>90</v>
      </c>
      <c r="R8" s="20"/>
      <c r="S8" s="20">
        <v>90</v>
      </c>
      <c r="T8" s="21"/>
      <c r="U8" s="19">
        <v>90</v>
      </c>
      <c r="V8" s="20"/>
      <c r="W8" s="20">
        <v>92</v>
      </c>
      <c r="X8" s="20"/>
      <c r="Y8" s="20">
        <v>92</v>
      </c>
      <c r="Z8" s="20"/>
      <c r="AA8" s="20">
        <v>90</v>
      </c>
      <c r="AB8" s="21"/>
      <c r="AC8" s="1">
        <v>88</v>
      </c>
      <c r="AD8" s="20"/>
      <c r="AE8" s="20">
        <v>92</v>
      </c>
      <c r="AF8" s="20"/>
      <c r="AG8" s="20">
        <v>92</v>
      </c>
      <c r="AH8" s="20"/>
      <c r="AI8" s="20">
        <v>94</v>
      </c>
      <c r="AJ8" s="3"/>
      <c r="AK8" s="45">
        <f t="shared" si="4"/>
        <v>89.75</v>
      </c>
      <c r="AL8" s="46">
        <f t="shared" si="5"/>
        <v>90</v>
      </c>
      <c r="AM8" s="47">
        <f t="shared" si="6"/>
        <v>91</v>
      </c>
      <c r="AN8" s="48">
        <f t="shared" si="7"/>
        <v>91.5</v>
      </c>
      <c r="AO8" s="49">
        <f t="shared" si="8"/>
        <v>90.5625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90.5625</v>
      </c>
      <c r="BC8" s="65" t="str">
        <f t="shared" si="17"/>
        <v/>
      </c>
      <c r="BE8" s="20">
        <f t="shared" si="18"/>
        <v>89.5</v>
      </c>
      <c r="BF8" s="20">
        <f t="shared" si="19"/>
        <v>90</v>
      </c>
      <c r="BG8" s="93">
        <f t="shared" si="20"/>
        <v>90.75</v>
      </c>
      <c r="BH8" s="20">
        <f t="shared" si="21"/>
        <v>92</v>
      </c>
      <c r="BI8" s="20">
        <f t="shared" si="22"/>
        <v>90.5625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95</v>
      </c>
      <c r="F9" s="20"/>
      <c r="G9" s="20">
        <v>94</v>
      </c>
      <c r="H9" s="20"/>
      <c r="I9" s="20">
        <v>96</v>
      </c>
      <c r="J9" s="20"/>
      <c r="K9" s="20">
        <v>95</v>
      </c>
      <c r="L9" s="21"/>
      <c r="M9" s="19">
        <v>96</v>
      </c>
      <c r="N9" s="20"/>
      <c r="O9" s="20">
        <v>93</v>
      </c>
      <c r="P9" s="20"/>
      <c r="Q9" s="20">
        <v>90</v>
      </c>
      <c r="R9" s="20"/>
      <c r="S9" s="20">
        <v>93</v>
      </c>
      <c r="T9" s="21"/>
      <c r="U9" s="19">
        <v>94</v>
      </c>
      <c r="V9" s="20"/>
      <c r="W9" s="20">
        <v>98</v>
      </c>
      <c r="X9" s="20"/>
      <c r="Y9" s="20">
        <v>90</v>
      </c>
      <c r="Z9" s="20"/>
      <c r="AA9" s="20">
        <v>94</v>
      </c>
      <c r="AB9" s="21"/>
      <c r="AC9" s="1">
        <v>89</v>
      </c>
      <c r="AD9" s="20"/>
      <c r="AE9" s="20">
        <v>93</v>
      </c>
      <c r="AF9" s="20"/>
      <c r="AG9" s="20">
        <v>91</v>
      </c>
      <c r="AH9" s="20"/>
      <c r="AI9" s="20">
        <v>91</v>
      </c>
      <c r="AJ9" s="3"/>
      <c r="AK9" s="45">
        <f t="shared" si="4"/>
        <v>95</v>
      </c>
      <c r="AL9" s="46">
        <f t="shared" si="5"/>
        <v>93</v>
      </c>
      <c r="AM9" s="47">
        <f t="shared" si="6"/>
        <v>94</v>
      </c>
      <c r="AN9" s="48">
        <f t="shared" si="7"/>
        <v>91</v>
      </c>
      <c r="AO9" s="49">
        <f t="shared" si="8"/>
        <v>93.25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93.25</v>
      </c>
      <c r="BC9" s="65" t="str">
        <f t="shared" si="17"/>
        <v/>
      </c>
      <c r="BE9" s="20">
        <f t="shared" si="18"/>
        <v>93.5</v>
      </c>
      <c r="BF9" s="20">
        <f t="shared" si="19"/>
        <v>94.5</v>
      </c>
      <c r="BG9" s="93">
        <f t="shared" si="20"/>
        <v>91.75</v>
      </c>
      <c r="BH9" s="20">
        <f t="shared" si="21"/>
        <v>93.25</v>
      </c>
      <c r="BI9" s="20">
        <f t="shared" si="22"/>
        <v>93.25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80</v>
      </c>
      <c r="F10" s="20"/>
      <c r="G10" s="20">
        <v>81</v>
      </c>
      <c r="H10" s="20"/>
      <c r="I10" s="20">
        <v>83</v>
      </c>
      <c r="J10" s="20"/>
      <c r="K10" s="20">
        <v>80</v>
      </c>
      <c r="L10" s="21"/>
      <c r="M10" s="19">
        <v>84</v>
      </c>
      <c r="N10" s="20"/>
      <c r="O10" s="20">
        <v>88</v>
      </c>
      <c r="P10" s="20"/>
      <c r="Q10" s="20">
        <v>80</v>
      </c>
      <c r="R10" s="20"/>
      <c r="S10" s="20">
        <v>84</v>
      </c>
      <c r="T10" s="21"/>
      <c r="U10" s="19">
        <v>86</v>
      </c>
      <c r="V10" s="20"/>
      <c r="W10" s="20">
        <v>80</v>
      </c>
      <c r="X10" s="20"/>
      <c r="Y10" s="20">
        <v>86</v>
      </c>
      <c r="Z10" s="20"/>
      <c r="AA10" s="20">
        <v>83</v>
      </c>
      <c r="AB10" s="21"/>
      <c r="AC10" s="1">
        <v>86</v>
      </c>
      <c r="AD10" s="20"/>
      <c r="AE10" s="20">
        <v>94</v>
      </c>
      <c r="AF10" s="20"/>
      <c r="AG10" s="20">
        <v>90</v>
      </c>
      <c r="AH10" s="20"/>
      <c r="AI10" s="20">
        <v>91</v>
      </c>
      <c r="AJ10" s="3"/>
      <c r="AK10" s="45">
        <f t="shared" si="4"/>
        <v>81</v>
      </c>
      <c r="AL10" s="46">
        <f t="shared" si="5"/>
        <v>84</v>
      </c>
      <c r="AM10" s="47">
        <f t="shared" si="6"/>
        <v>83.75</v>
      </c>
      <c r="AN10" s="48">
        <f t="shared" si="7"/>
        <v>90.25</v>
      </c>
      <c r="AO10" s="49">
        <f t="shared" si="8"/>
        <v>84.75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84.75</v>
      </c>
      <c r="BC10" s="65" t="str">
        <f t="shared" si="17"/>
        <v/>
      </c>
      <c r="BE10" s="20">
        <f t="shared" si="18"/>
        <v>84</v>
      </c>
      <c r="BF10" s="20">
        <f t="shared" si="19"/>
        <v>85.75</v>
      </c>
      <c r="BG10" s="93">
        <f t="shared" si="20"/>
        <v>84.75</v>
      </c>
      <c r="BH10" s="20">
        <f t="shared" si="21"/>
        <v>84.5</v>
      </c>
      <c r="BI10" s="20">
        <f t="shared" si="22"/>
        <v>84.75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84</v>
      </c>
      <c r="H11" s="20"/>
      <c r="I11" s="20">
        <v>80</v>
      </c>
      <c r="J11" s="20"/>
      <c r="K11" s="20">
        <v>80</v>
      </c>
      <c r="L11" s="21"/>
      <c r="M11" s="19">
        <v>79</v>
      </c>
      <c r="N11" s="20"/>
      <c r="O11" s="20">
        <v>81</v>
      </c>
      <c r="P11" s="20"/>
      <c r="Q11" s="20">
        <v>80</v>
      </c>
      <c r="R11" s="20"/>
      <c r="S11" s="20">
        <v>80</v>
      </c>
      <c r="T11" s="21"/>
      <c r="U11" s="19">
        <v>86</v>
      </c>
      <c r="V11" s="20"/>
      <c r="W11" s="20">
        <v>84</v>
      </c>
      <c r="X11" s="20"/>
      <c r="Y11" s="20">
        <v>86</v>
      </c>
      <c r="Z11" s="20"/>
      <c r="AA11" s="20">
        <v>86</v>
      </c>
      <c r="AB11" s="21"/>
      <c r="AC11" s="1">
        <v>90</v>
      </c>
      <c r="AD11" s="20"/>
      <c r="AE11" s="20">
        <v>89</v>
      </c>
      <c r="AF11" s="20"/>
      <c r="AG11" s="20">
        <v>89</v>
      </c>
      <c r="AH11" s="20"/>
      <c r="AI11" s="20">
        <v>92</v>
      </c>
      <c r="AJ11" s="3"/>
      <c r="AK11" s="45">
        <f t="shared" si="4"/>
        <v>81</v>
      </c>
      <c r="AL11" s="46">
        <f t="shared" si="5"/>
        <v>80</v>
      </c>
      <c r="AM11" s="47">
        <f t="shared" si="6"/>
        <v>85.5</v>
      </c>
      <c r="AN11" s="48">
        <f t="shared" si="7"/>
        <v>90</v>
      </c>
      <c r="AO11" s="49">
        <f t="shared" si="8"/>
        <v>84.125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84.125</v>
      </c>
      <c r="BC11" s="65" t="str">
        <f t="shared" si="17"/>
        <v/>
      </c>
      <c r="BE11" s="20">
        <f t="shared" si="18"/>
        <v>83.75</v>
      </c>
      <c r="BF11" s="20">
        <f t="shared" si="19"/>
        <v>84.5</v>
      </c>
      <c r="BG11" s="93">
        <f t="shared" si="20"/>
        <v>83.75</v>
      </c>
      <c r="BH11" s="20">
        <f t="shared" si="21"/>
        <v>84.5</v>
      </c>
      <c r="BI11" s="20">
        <f t="shared" si="22"/>
        <v>84.125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96</v>
      </c>
      <c r="F14" s="20"/>
      <c r="G14" s="20">
        <v>94</v>
      </c>
      <c r="H14" s="20"/>
      <c r="I14" s="20">
        <v>95</v>
      </c>
      <c r="J14" s="20"/>
      <c r="K14" s="20">
        <v>95</v>
      </c>
      <c r="L14" s="21"/>
      <c r="M14" s="19">
        <v>96</v>
      </c>
      <c r="N14" s="20"/>
      <c r="O14" s="20">
        <v>90</v>
      </c>
      <c r="P14" s="20"/>
      <c r="Q14" s="20">
        <v>93</v>
      </c>
      <c r="R14" s="20"/>
      <c r="S14" s="20">
        <v>93</v>
      </c>
      <c r="T14" s="21"/>
      <c r="U14" s="19">
        <v>92</v>
      </c>
      <c r="V14" s="20"/>
      <c r="W14" s="20">
        <v>94</v>
      </c>
      <c r="X14" s="20"/>
      <c r="Y14" s="20">
        <v>90</v>
      </c>
      <c r="Z14" s="20"/>
      <c r="AA14" s="20">
        <v>92</v>
      </c>
      <c r="AB14" s="21"/>
      <c r="AC14" s="1">
        <v>93</v>
      </c>
      <c r="AD14" s="20"/>
      <c r="AE14" s="20">
        <v>96</v>
      </c>
      <c r="AF14" s="20"/>
      <c r="AG14" s="20">
        <v>90</v>
      </c>
      <c r="AH14" s="20"/>
      <c r="AI14" s="20">
        <v>93</v>
      </c>
      <c r="AJ14" s="3"/>
      <c r="AK14" s="45">
        <f t="shared" si="4"/>
        <v>95</v>
      </c>
      <c r="AL14" s="46">
        <f t="shared" si="5"/>
        <v>93</v>
      </c>
      <c r="AM14" s="47">
        <f t="shared" si="6"/>
        <v>92</v>
      </c>
      <c r="AN14" s="48">
        <f t="shared" si="7"/>
        <v>93</v>
      </c>
      <c r="AO14" s="49">
        <f t="shared" si="8"/>
        <v>93.25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93.25</v>
      </c>
      <c r="BC14" s="65" t="str">
        <f t="shared" si="17"/>
        <v/>
      </c>
      <c r="BE14" s="20">
        <f t="shared" si="18"/>
        <v>94.25</v>
      </c>
      <c r="BF14" s="20">
        <f t="shared" si="19"/>
        <v>93.5</v>
      </c>
      <c r="BG14" s="93">
        <f t="shared" si="20"/>
        <v>92</v>
      </c>
      <c r="BH14" s="20">
        <f t="shared" si="21"/>
        <v>93.25</v>
      </c>
      <c r="BI14" s="20">
        <f t="shared" si="22"/>
        <v>93.25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84</v>
      </c>
      <c r="F15" s="20"/>
      <c r="G15" s="20">
        <v>80</v>
      </c>
      <c r="H15" s="20"/>
      <c r="I15" s="20">
        <v>80</v>
      </c>
      <c r="J15" s="20"/>
      <c r="K15" s="20">
        <v>84</v>
      </c>
      <c r="L15" s="21"/>
      <c r="M15" s="19">
        <v>86</v>
      </c>
      <c r="N15" s="20"/>
      <c r="O15" s="20">
        <v>83</v>
      </c>
      <c r="P15" s="20"/>
      <c r="Q15" s="20">
        <v>80</v>
      </c>
      <c r="R15" s="20"/>
      <c r="S15" s="20">
        <v>83</v>
      </c>
      <c r="T15" s="21"/>
      <c r="U15" s="19">
        <v>85</v>
      </c>
      <c r="V15" s="20"/>
      <c r="W15" s="20">
        <v>86</v>
      </c>
      <c r="X15" s="20"/>
      <c r="Y15" s="20">
        <v>89</v>
      </c>
      <c r="Z15" s="20"/>
      <c r="AA15" s="20">
        <v>86</v>
      </c>
      <c r="AB15" s="21"/>
      <c r="AC15" s="1">
        <v>90</v>
      </c>
      <c r="AD15" s="20"/>
      <c r="AE15" s="20">
        <v>89</v>
      </c>
      <c r="AF15" s="20"/>
      <c r="AG15" s="20">
        <v>91</v>
      </c>
      <c r="AH15" s="20"/>
      <c r="AI15" s="20">
        <v>90</v>
      </c>
      <c r="AJ15" s="3"/>
      <c r="AK15" s="45">
        <f t="shared" si="4"/>
        <v>82</v>
      </c>
      <c r="AL15" s="46">
        <f t="shared" si="5"/>
        <v>83</v>
      </c>
      <c r="AM15" s="47">
        <f t="shared" si="6"/>
        <v>86.5</v>
      </c>
      <c r="AN15" s="48">
        <f t="shared" si="7"/>
        <v>90</v>
      </c>
      <c r="AO15" s="49">
        <f t="shared" si="8"/>
        <v>85.375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85.375</v>
      </c>
      <c r="BC15" s="65" t="str">
        <f t="shared" si="17"/>
        <v/>
      </c>
      <c r="BE15" s="20">
        <f t="shared" si="18"/>
        <v>86.25</v>
      </c>
      <c r="BF15" s="20">
        <f t="shared" si="19"/>
        <v>84.5</v>
      </c>
      <c r="BG15" s="93">
        <f t="shared" si="20"/>
        <v>85</v>
      </c>
      <c r="BH15" s="20">
        <f t="shared" si="21"/>
        <v>85.75</v>
      </c>
      <c r="BI15" s="20">
        <f t="shared" si="22"/>
        <v>85.375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80</v>
      </c>
      <c r="H17" s="20"/>
      <c r="I17" s="20">
        <v>82</v>
      </c>
      <c r="J17" s="20"/>
      <c r="K17" s="20">
        <v>82</v>
      </c>
      <c r="L17" s="21"/>
      <c r="M17" s="19">
        <v>80</v>
      </c>
      <c r="N17" s="20"/>
      <c r="O17" s="20">
        <v>84</v>
      </c>
      <c r="P17" s="20"/>
      <c r="Q17" s="20">
        <v>86</v>
      </c>
      <c r="R17" s="20"/>
      <c r="S17" s="20">
        <v>86</v>
      </c>
      <c r="T17" s="21"/>
      <c r="U17" s="19">
        <v>80</v>
      </c>
      <c r="V17" s="20"/>
      <c r="W17" s="20">
        <v>82</v>
      </c>
      <c r="X17" s="20"/>
      <c r="Y17" s="20">
        <v>84</v>
      </c>
      <c r="Z17" s="20"/>
      <c r="AA17" s="20">
        <v>84</v>
      </c>
      <c r="AB17" s="21"/>
      <c r="AC17" s="1">
        <v>86</v>
      </c>
      <c r="AD17" s="20"/>
      <c r="AE17" s="20">
        <v>94</v>
      </c>
      <c r="AF17" s="20"/>
      <c r="AG17" s="20">
        <v>96</v>
      </c>
      <c r="AH17" s="20"/>
      <c r="AI17" s="20">
        <v>91</v>
      </c>
      <c r="AJ17" s="3"/>
      <c r="AK17" s="45">
        <f t="shared" si="4"/>
        <v>80.5</v>
      </c>
      <c r="AL17" s="46">
        <f t="shared" si="5"/>
        <v>84</v>
      </c>
      <c r="AM17" s="47">
        <f t="shared" si="6"/>
        <v>82.5</v>
      </c>
      <c r="AN17" s="48">
        <f t="shared" si="7"/>
        <v>91.75</v>
      </c>
      <c r="AO17" s="49">
        <f t="shared" si="8"/>
        <v>84.6875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84.6875</v>
      </c>
      <c r="BC17" s="65" t="str">
        <f t="shared" si="17"/>
        <v/>
      </c>
      <c r="BE17" s="20">
        <f t="shared" si="18"/>
        <v>81</v>
      </c>
      <c r="BF17" s="20">
        <f t="shared" si="19"/>
        <v>85</v>
      </c>
      <c r="BG17" s="93">
        <f t="shared" si="20"/>
        <v>87</v>
      </c>
      <c r="BH17" s="20">
        <f t="shared" si="21"/>
        <v>85.75</v>
      </c>
      <c r="BI17" s="20">
        <f t="shared" si="22"/>
        <v>84.6875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96</v>
      </c>
      <c r="F18" s="20"/>
      <c r="G18" s="20">
        <v>94</v>
      </c>
      <c r="H18" s="20"/>
      <c r="I18" s="20">
        <v>95</v>
      </c>
      <c r="J18" s="20"/>
      <c r="K18" s="20">
        <v>95</v>
      </c>
      <c r="L18" s="21"/>
      <c r="M18" s="19">
        <v>96</v>
      </c>
      <c r="N18" s="20"/>
      <c r="O18" s="20">
        <v>94</v>
      </c>
      <c r="P18" s="20"/>
      <c r="Q18" s="20">
        <v>92</v>
      </c>
      <c r="R18" s="20"/>
      <c r="S18" s="20">
        <v>94</v>
      </c>
      <c r="T18" s="21"/>
      <c r="U18" s="19">
        <v>94</v>
      </c>
      <c r="V18" s="20"/>
      <c r="W18" s="20">
        <v>96</v>
      </c>
      <c r="X18" s="20"/>
      <c r="Y18" s="20">
        <v>96</v>
      </c>
      <c r="Z18" s="20"/>
      <c r="AA18" s="20">
        <v>94</v>
      </c>
      <c r="AB18" s="21"/>
      <c r="AC18" s="1">
        <v>94</v>
      </c>
      <c r="AD18" s="20"/>
      <c r="AE18" s="20">
        <v>98</v>
      </c>
      <c r="AF18" s="20"/>
      <c r="AG18" s="20">
        <v>90</v>
      </c>
      <c r="AH18" s="20"/>
      <c r="AI18" s="20">
        <v>94</v>
      </c>
      <c r="AJ18" s="3"/>
      <c r="AK18" s="45">
        <f t="shared" si="4"/>
        <v>95</v>
      </c>
      <c r="AL18" s="46">
        <f t="shared" si="5"/>
        <v>94</v>
      </c>
      <c r="AM18" s="47">
        <f t="shared" si="6"/>
        <v>95</v>
      </c>
      <c r="AN18" s="48">
        <f t="shared" si="7"/>
        <v>94</v>
      </c>
      <c r="AO18" s="49">
        <f t="shared" si="8"/>
        <v>94.5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94.5</v>
      </c>
      <c r="BC18" s="65" t="str">
        <f t="shared" si="17"/>
        <v/>
      </c>
      <c r="BE18" s="20">
        <f t="shared" si="18"/>
        <v>95</v>
      </c>
      <c r="BF18" s="20">
        <f t="shared" si="19"/>
        <v>95.5</v>
      </c>
      <c r="BG18" s="93">
        <f t="shared" si="20"/>
        <v>93.25</v>
      </c>
      <c r="BH18" s="20">
        <f t="shared" si="21"/>
        <v>94.25</v>
      </c>
      <c r="BI18" s="20">
        <f t="shared" si="22"/>
        <v>94.5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97</v>
      </c>
      <c r="F19" s="20"/>
      <c r="G19" s="20">
        <v>96</v>
      </c>
      <c r="H19" s="20"/>
      <c r="I19" s="20">
        <v>95</v>
      </c>
      <c r="J19" s="20"/>
      <c r="K19" s="20">
        <v>96</v>
      </c>
      <c r="L19" s="21"/>
      <c r="M19" s="19">
        <v>96</v>
      </c>
      <c r="N19" s="20"/>
      <c r="O19" s="20">
        <v>90</v>
      </c>
      <c r="P19" s="20"/>
      <c r="Q19" s="20">
        <v>93</v>
      </c>
      <c r="R19" s="20"/>
      <c r="S19" s="20">
        <v>90</v>
      </c>
      <c r="T19" s="21"/>
      <c r="U19" s="19">
        <v>90</v>
      </c>
      <c r="V19" s="20"/>
      <c r="W19" s="20">
        <v>94</v>
      </c>
      <c r="X19" s="20"/>
      <c r="Y19" s="20">
        <v>90</v>
      </c>
      <c r="Z19" s="20"/>
      <c r="AA19" s="20">
        <v>94</v>
      </c>
      <c r="AB19" s="21"/>
      <c r="AC19" s="1">
        <v>93</v>
      </c>
      <c r="AD19" s="20"/>
      <c r="AE19" s="20">
        <v>96</v>
      </c>
      <c r="AF19" s="20"/>
      <c r="AG19" s="20">
        <v>96</v>
      </c>
      <c r="AH19" s="20"/>
      <c r="AI19" s="20">
        <v>93</v>
      </c>
      <c r="AJ19" s="3"/>
      <c r="AK19" s="45">
        <f t="shared" si="4"/>
        <v>96</v>
      </c>
      <c r="AL19" s="46">
        <f t="shared" si="5"/>
        <v>92.25</v>
      </c>
      <c r="AM19" s="47">
        <f t="shared" si="6"/>
        <v>92</v>
      </c>
      <c r="AN19" s="48">
        <f t="shared" si="7"/>
        <v>94.5</v>
      </c>
      <c r="AO19" s="49">
        <f t="shared" si="8"/>
        <v>93.6875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93.6875</v>
      </c>
      <c r="BC19" s="65" t="str">
        <f t="shared" si="17"/>
        <v/>
      </c>
      <c r="BE19" s="20">
        <f t="shared" si="18"/>
        <v>94</v>
      </c>
      <c r="BF19" s="20">
        <f t="shared" si="19"/>
        <v>94</v>
      </c>
      <c r="BG19" s="93">
        <f t="shared" si="20"/>
        <v>93.5</v>
      </c>
      <c r="BH19" s="20">
        <f t="shared" si="21"/>
        <v>93.25</v>
      </c>
      <c r="BI19" s="20">
        <f t="shared" si="22"/>
        <v>93.6875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94</v>
      </c>
      <c r="F20" s="20"/>
      <c r="G20" s="20">
        <v>98</v>
      </c>
      <c r="H20" s="20"/>
      <c r="I20" s="20">
        <v>90</v>
      </c>
      <c r="J20" s="20"/>
      <c r="K20" s="20">
        <v>94</v>
      </c>
      <c r="L20" s="21"/>
      <c r="M20" s="19">
        <v>93</v>
      </c>
      <c r="N20" s="20"/>
      <c r="O20" s="20">
        <v>96</v>
      </c>
      <c r="P20" s="20"/>
      <c r="Q20" s="20">
        <v>90</v>
      </c>
      <c r="R20" s="20"/>
      <c r="S20" s="20">
        <v>93</v>
      </c>
      <c r="T20" s="21"/>
      <c r="U20" s="19">
        <v>96</v>
      </c>
      <c r="V20" s="20"/>
      <c r="W20" s="20">
        <v>94</v>
      </c>
      <c r="X20" s="20"/>
      <c r="Y20" s="20">
        <v>90</v>
      </c>
      <c r="Z20" s="20"/>
      <c r="AA20" s="20">
        <v>93</v>
      </c>
      <c r="AB20" s="21"/>
      <c r="AC20" s="1">
        <v>94</v>
      </c>
      <c r="AD20" s="20"/>
      <c r="AE20" s="20">
        <v>90</v>
      </c>
      <c r="AF20" s="20"/>
      <c r="AG20" s="20">
        <v>90</v>
      </c>
      <c r="AH20" s="20"/>
      <c r="AI20" s="20">
        <v>91</v>
      </c>
      <c r="AJ20" s="3"/>
      <c r="AK20" s="45">
        <f t="shared" si="4"/>
        <v>94</v>
      </c>
      <c r="AL20" s="46">
        <f t="shared" si="5"/>
        <v>93</v>
      </c>
      <c r="AM20" s="47">
        <f t="shared" si="6"/>
        <v>93.25</v>
      </c>
      <c r="AN20" s="48">
        <f t="shared" si="7"/>
        <v>91.25</v>
      </c>
      <c r="AO20" s="49">
        <f t="shared" si="8"/>
        <v>92.875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92.875</v>
      </c>
      <c r="BC20" s="65" t="str">
        <f t="shared" si="17"/>
        <v/>
      </c>
      <c r="BE20" s="20">
        <f t="shared" si="18"/>
        <v>94.25</v>
      </c>
      <c r="BF20" s="20">
        <f t="shared" si="19"/>
        <v>94.5</v>
      </c>
      <c r="BG20" s="93">
        <f t="shared" si="20"/>
        <v>90</v>
      </c>
      <c r="BH20" s="20">
        <f t="shared" si="21"/>
        <v>92.75</v>
      </c>
      <c r="BI20" s="20">
        <f t="shared" si="22"/>
        <v>92.875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95</v>
      </c>
      <c r="F21" s="20"/>
      <c r="G21" s="20">
        <v>96</v>
      </c>
      <c r="H21" s="20"/>
      <c r="I21" s="20">
        <v>94</v>
      </c>
      <c r="J21" s="20"/>
      <c r="K21" s="20">
        <v>95</v>
      </c>
      <c r="L21" s="21"/>
      <c r="M21" s="19">
        <v>90</v>
      </c>
      <c r="N21" s="20"/>
      <c r="O21" s="20">
        <v>92</v>
      </c>
      <c r="P21" s="20"/>
      <c r="Q21" s="20">
        <v>94</v>
      </c>
      <c r="R21" s="20"/>
      <c r="S21" s="20">
        <v>92</v>
      </c>
      <c r="T21" s="21"/>
      <c r="U21" s="19">
        <v>94</v>
      </c>
      <c r="V21" s="20"/>
      <c r="W21" s="20">
        <v>98</v>
      </c>
      <c r="X21" s="20"/>
      <c r="Y21" s="20">
        <v>90</v>
      </c>
      <c r="Z21" s="20"/>
      <c r="AA21" s="20">
        <v>94</v>
      </c>
      <c r="AB21" s="21"/>
      <c r="AC21" s="1">
        <v>90</v>
      </c>
      <c r="AD21" s="20"/>
      <c r="AE21" s="20">
        <v>92</v>
      </c>
      <c r="AF21" s="20"/>
      <c r="AG21" s="20">
        <v>92</v>
      </c>
      <c r="AH21" s="20"/>
      <c r="AI21" s="20">
        <v>97</v>
      </c>
      <c r="AJ21" s="3"/>
      <c r="AK21" s="45">
        <f t="shared" si="4"/>
        <v>95</v>
      </c>
      <c r="AL21" s="46">
        <f t="shared" si="5"/>
        <v>92</v>
      </c>
      <c r="AM21" s="47">
        <f t="shared" si="6"/>
        <v>94</v>
      </c>
      <c r="AN21" s="48">
        <f t="shared" si="7"/>
        <v>92.75</v>
      </c>
      <c r="AO21" s="49">
        <f t="shared" si="8"/>
        <v>93.4375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93.4375</v>
      </c>
      <c r="BC21" s="65" t="str">
        <f t="shared" si="17"/>
        <v/>
      </c>
      <c r="BE21" s="20">
        <f t="shared" si="18"/>
        <v>92.25</v>
      </c>
      <c r="BF21" s="20">
        <f t="shared" si="19"/>
        <v>94.5</v>
      </c>
      <c r="BG21" s="93">
        <f t="shared" si="20"/>
        <v>92.5</v>
      </c>
      <c r="BH21" s="20">
        <f t="shared" si="21"/>
        <v>94.5</v>
      </c>
      <c r="BI21" s="20">
        <f t="shared" si="22"/>
        <v>93.4375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90</v>
      </c>
      <c r="F22" s="20"/>
      <c r="G22" s="20">
        <v>92</v>
      </c>
      <c r="H22" s="20"/>
      <c r="I22" s="20">
        <v>94</v>
      </c>
      <c r="J22" s="20"/>
      <c r="K22" s="20">
        <v>94</v>
      </c>
      <c r="L22" s="21"/>
      <c r="M22" s="19">
        <v>93</v>
      </c>
      <c r="N22" s="20"/>
      <c r="O22" s="20">
        <v>90</v>
      </c>
      <c r="P22" s="20"/>
      <c r="Q22" s="20">
        <v>87</v>
      </c>
      <c r="R22" s="20"/>
      <c r="S22" s="20">
        <v>90</v>
      </c>
      <c r="T22" s="21"/>
      <c r="U22" s="19">
        <v>94</v>
      </c>
      <c r="V22" s="20"/>
      <c r="W22" s="20">
        <v>90</v>
      </c>
      <c r="X22" s="20"/>
      <c r="Y22" s="20">
        <v>90</v>
      </c>
      <c r="Z22" s="20"/>
      <c r="AA22" s="20">
        <v>92</v>
      </c>
      <c r="AB22" s="21"/>
      <c r="AC22" s="1">
        <v>89</v>
      </c>
      <c r="AD22" s="20"/>
      <c r="AE22" s="20">
        <v>91</v>
      </c>
      <c r="AF22" s="20"/>
      <c r="AG22" s="20">
        <v>91</v>
      </c>
      <c r="AH22" s="20"/>
      <c r="AI22" s="20">
        <v>92</v>
      </c>
      <c r="AJ22" s="3"/>
      <c r="AK22" s="45">
        <f t="shared" si="4"/>
        <v>92.5</v>
      </c>
      <c r="AL22" s="46">
        <f t="shared" si="5"/>
        <v>90</v>
      </c>
      <c r="AM22" s="47">
        <f t="shared" si="6"/>
        <v>91.5</v>
      </c>
      <c r="AN22" s="48">
        <f t="shared" si="7"/>
        <v>90.75</v>
      </c>
      <c r="AO22" s="49">
        <f t="shared" si="8"/>
        <v>91.1875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91.1875</v>
      </c>
      <c r="BC22" s="65" t="str">
        <f t="shared" si="17"/>
        <v/>
      </c>
      <c r="BE22" s="20">
        <f t="shared" si="18"/>
        <v>91.5</v>
      </c>
      <c r="BF22" s="20">
        <f t="shared" si="19"/>
        <v>90.75</v>
      </c>
      <c r="BG22" s="93">
        <f t="shared" si="20"/>
        <v>90.5</v>
      </c>
      <c r="BH22" s="20">
        <f t="shared" si="21"/>
        <v>92</v>
      </c>
      <c r="BI22" s="20">
        <f t="shared" si="22"/>
        <v>91.1875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92</v>
      </c>
      <c r="F25" s="20"/>
      <c r="G25" s="20">
        <v>88</v>
      </c>
      <c r="H25" s="20"/>
      <c r="I25" s="20">
        <v>90</v>
      </c>
      <c r="J25" s="20"/>
      <c r="K25" s="20">
        <v>91</v>
      </c>
      <c r="L25" s="21"/>
      <c r="M25" s="19">
        <v>89</v>
      </c>
      <c r="N25" s="20"/>
      <c r="O25" s="20">
        <v>92</v>
      </c>
      <c r="P25" s="20"/>
      <c r="Q25" s="20">
        <v>94</v>
      </c>
      <c r="R25" s="20"/>
      <c r="S25" s="20">
        <v>94</v>
      </c>
      <c r="T25" s="21"/>
      <c r="U25" s="19">
        <v>89</v>
      </c>
      <c r="V25" s="20"/>
      <c r="W25" s="20">
        <v>91</v>
      </c>
      <c r="X25" s="20"/>
      <c r="Y25" s="20">
        <v>90</v>
      </c>
      <c r="Z25" s="20"/>
      <c r="AA25" s="20">
        <v>91</v>
      </c>
      <c r="AB25" s="21"/>
      <c r="AC25" s="1">
        <v>88</v>
      </c>
      <c r="AD25" s="20"/>
      <c r="AE25" s="20">
        <v>92</v>
      </c>
      <c r="AF25" s="20"/>
      <c r="AG25" s="20">
        <v>94</v>
      </c>
      <c r="AH25" s="20"/>
      <c r="AI25" s="20">
        <v>92</v>
      </c>
      <c r="AJ25" s="3"/>
      <c r="AK25" s="45">
        <f t="shared" si="4"/>
        <v>90.25</v>
      </c>
      <c r="AL25" s="46">
        <f t="shared" si="5"/>
        <v>92.25</v>
      </c>
      <c r="AM25" s="47">
        <f t="shared" si="6"/>
        <v>90.25</v>
      </c>
      <c r="AN25" s="48">
        <f t="shared" si="7"/>
        <v>91.5</v>
      </c>
      <c r="AO25" s="49">
        <f t="shared" si="8"/>
        <v>91.0625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91.0625</v>
      </c>
      <c r="BC25" s="65" t="str">
        <f t="shared" si="17"/>
        <v/>
      </c>
      <c r="BE25" s="20">
        <f t="shared" si="18"/>
        <v>89.5</v>
      </c>
      <c r="BF25" s="20">
        <f t="shared" si="19"/>
        <v>90.75</v>
      </c>
      <c r="BG25" s="93">
        <f t="shared" si="20"/>
        <v>92</v>
      </c>
      <c r="BH25" s="20">
        <f t="shared" si="21"/>
        <v>92</v>
      </c>
      <c r="BI25" s="20">
        <f t="shared" si="22"/>
        <v>91.0625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74</v>
      </c>
      <c r="J26" s="20"/>
      <c r="K26" s="20">
        <v>75</v>
      </c>
      <c r="L26" s="21"/>
      <c r="M26" s="19">
        <v>76</v>
      </c>
      <c r="N26" s="20"/>
      <c r="O26" s="20">
        <v>73</v>
      </c>
      <c r="P26" s="20"/>
      <c r="Q26" s="20">
        <v>84</v>
      </c>
      <c r="R26" s="20"/>
      <c r="S26" s="20">
        <v>86</v>
      </c>
      <c r="T26" s="21"/>
      <c r="U26" s="19">
        <v>80</v>
      </c>
      <c r="V26" s="20"/>
      <c r="W26" s="20">
        <v>80</v>
      </c>
      <c r="X26" s="20"/>
      <c r="Y26" s="20">
        <v>81</v>
      </c>
      <c r="Z26" s="20"/>
      <c r="AA26" s="20">
        <v>82</v>
      </c>
      <c r="AB26" s="21"/>
      <c r="AC26" s="1">
        <v>90</v>
      </c>
      <c r="AD26" s="20"/>
      <c r="AE26" s="20">
        <v>80</v>
      </c>
      <c r="AF26" s="20"/>
      <c r="AG26" s="20">
        <v>85</v>
      </c>
      <c r="AH26" s="20"/>
      <c r="AI26" s="20">
        <v>86</v>
      </c>
      <c r="AJ26" s="3"/>
      <c r="AK26" s="45">
        <f t="shared" si="4"/>
        <v>75</v>
      </c>
      <c r="AL26" s="46">
        <f t="shared" si="5"/>
        <v>79.75</v>
      </c>
      <c r="AM26" s="47">
        <f t="shared" si="6"/>
        <v>80.75</v>
      </c>
      <c r="AN26" s="48">
        <f t="shared" si="7"/>
        <v>85.25</v>
      </c>
      <c r="AO26" s="49">
        <f t="shared" si="8"/>
        <v>80.1875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80.1875</v>
      </c>
      <c r="BC26" s="65" t="str">
        <f t="shared" si="17"/>
        <v/>
      </c>
      <c r="BE26" s="20">
        <f t="shared" si="18"/>
        <v>80.25</v>
      </c>
      <c r="BF26" s="20">
        <f t="shared" si="19"/>
        <v>77.25</v>
      </c>
      <c r="BG26" s="93">
        <f t="shared" si="20"/>
        <v>81</v>
      </c>
      <c r="BH26" s="20">
        <f t="shared" si="21"/>
        <v>82.25</v>
      </c>
      <c r="BI26" s="20">
        <f t="shared" si="22"/>
        <v>80.1875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94</v>
      </c>
      <c r="F28" s="20"/>
      <c r="G28" s="20">
        <v>96</v>
      </c>
      <c r="H28" s="20"/>
      <c r="I28" s="20">
        <v>94</v>
      </c>
      <c r="J28" s="20"/>
      <c r="K28" s="20">
        <v>96</v>
      </c>
      <c r="L28" s="21"/>
      <c r="M28" s="19">
        <v>95</v>
      </c>
      <c r="N28" s="20"/>
      <c r="O28" s="20">
        <v>96</v>
      </c>
      <c r="P28" s="20"/>
      <c r="Q28" s="20">
        <v>94</v>
      </c>
      <c r="R28" s="20"/>
      <c r="S28" s="20">
        <v>95</v>
      </c>
      <c r="T28" s="21"/>
      <c r="U28" s="19">
        <v>93</v>
      </c>
      <c r="V28" s="20"/>
      <c r="W28" s="20">
        <v>90</v>
      </c>
      <c r="X28" s="20"/>
      <c r="Y28" s="20">
        <v>91</v>
      </c>
      <c r="Z28" s="20"/>
      <c r="AA28" s="20">
        <v>92</v>
      </c>
      <c r="AB28" s="21"/>
      <c r="AC28" s="1">
        <v>92</v>
      </c>
      <c r="AD28" s="20"/>
      <c r="AE28" s="20">
        <v>94</v>
      </c>
      <c r="AF28" s="20"/>
      <c r="AG28" s="20">
        <v>96</v>
      </c>
      <c r="AH28" s="20"/>
      <c r="AI28" s="20">
        <v>90</v>
      </c>
      <c r="AJ28" s="3"/>
      <c r="AK28" s="45">
        <f t="shared" si="4"/>
        <v>95</v>
      </c>
      <c r="AL28" s="46">
        <f t="shared" si="5"/>
        <v>95</v>
      </c>
      <c r="AM28" s="47">
        <f t="shared" si="6"/>
        <v>91.5</v>
      </c>
      <c r="AN28" s="48">
        <f t="shared" si="7"/>
        <v>93</v>
      </c>
      <c r="AO28" s="49">
        <f t="shared" si="8"/>
        <v>93.625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93.625</v>
      </c>
      <c r="BC28" s="65" t="str">
        <f t="shared" si="17"/>
        <v/>
      </c>
      <c r="BE28" s="20">
        <f t="shared" si="18"/>
        <v>93.5</v>
      </c>
      <c r="BF28" s="20">
        <f t="shared" si="19"/>
        <v>94</v>
      </c>
      <c r="BG28" s="93">
        <f t="shared" si="20"/>
        <v>93.75</v>
      </c>
      <c r="BH28" s="20">
        <f t="shared" si="21"/>
        <v>93.25</v>
      </c>
      <c r="BI28" s="20">
        <f t="shared" si="22"/>
        <v>93.625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80</v>
      </c>
      <c r="F29" s="20"/>
      <c r="G29" s="20">
        <v>82</v>
      </c>
      <c r="H29" s="20"/>
      <c r="I29" s="20">
        <v>84</v>
      </c>
      <c r="J29" s="20"/>
      <c r="K29" s="20">
        <v>82</v>
      </c>
      <c r="L29" s="21"/>
      <c r="M29" s="19">
        <v>88</v>
      </c>
      <c r="N29" s="20"/>
      <c r="O29" s="20">
        <v>84</v>
      </c>
      <c r="P29" s="20"/>
      <c r="Q29" s="20">
        <v>80</v>
      </c>
      <c r="R29" s="20"/>
      <c r="S29" s="20">
        <v>88</v>
      </c>
      <c r="T29" s="21"/>
      <c r="U29" s="19">
        <v>86</v>
      </c>
      <c r="V29" s="20"/>
      <c r="W29" s="20">
        <v>86</v>
      </c>
      <c r="X29" s="20"/>
      <c r="Y29" s="20">
        <v>85</v>
      </c>
      <c r="Z29" s="20"/>
      <c r="AA29" s="20">
        <v>87</v>
      </c>
      <c r="AB29" s="21"/>
      <c r="AC29" s="1">
        <v>86</v>
      </c>
      <c r="AD29" s="20"/>
      <c r="AE29" s="20">
        <v>84</v>
      </c>
      <c r="AF29" s="20"/>
      <c r="AG29" s="20">
        <v>86</v>
      </c>
      <c r="AH29" s="20"/>
      <c r="AI29" s="20">
        <v>94</v>
      </c>
      <c r="AJ29" s="3"/>
      <c r="AK29" s="45">
        <f t="shared" si="4"/>
        <v>82</v>
      </c>
      <c r="AL29" s="46">
        <f t="shared" si="5"/>
        <v>85</v>
      </c>
      <c r="AM29" s="47">
        <f t="shared" si="6"/>
        <v>86</v>
      </c>
      <c r="AN29" s="48">
        <f t="shared" si="7"/>
        <v>87.5</v>
      </c>
      <c r="AO29" s="49">
        <f t="shared" si="8"/>
        <v>85.125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85.125</v>
      </c>
      <c r="BC29" s="65" t="str">
        <f t="shared" si="17"/>
        <v/>
      </c>
      <c r="BE29" s="20">
        <f t="shared" si="18"/>
        <v>85</v>
      </c>
      <c r="BF29" s="20">
        <f t="shared" si="19"/>
        <v>84</v>
      </c>
      <c r="BG29" s="93">
        <f t="shared" si="20"/>
        <v>83.75</v>
      </c>
      <c r="BH29" s="20">
        <f t="shared" si="21"/>
        <v>87.75</v>
      </c>
      <c r="BI29" s="20">
        <f t="shared" si="22"/>
        <v>85.125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96</v>
      </c>
      <c r="F30" s="20"/>
      <c r="G30" s="20">
        <v>98</v>
      </c>
      <c r="H30" s="20"/>
      <c r="I30" s="20">
        <v>95</v>
      </c>
      <c r="J30" s="20"/>
      <c r="K30" s="20">
        <v>96</v>
      </c>
      <c r="L30" s="21"/>
      <c r="M30" s="19">
        <v>90</v>
      </c>
      <c r="N30" s="20"/>
      <c r="O30" s="20">
        <v>91</v>
      </c>
      <c r="P30" s="20"/>
      <c r="Q30" s="20">
        <v>92</v>
      </c>
      <c r="R30" s="20"/>
      <c r="S30" s="20">
        <v>94</v>
      </c>
      <c r="T30" s="21"/>
      <c r="U30" s="19">
        <v>90</v>
      </c>
      <c r="V30" s="20"/>
      <c r="W30" s="20">
        <v>92</v>
      </c>
      <c r="X30" s="20"/>
      <c r="Y30" s="20">
        <v>90</v>
      </c>
      <c r="Z30" s="20"/>
      <c r="AA30" s="20">
        <v>94</v>
      </c>
      <c r="AB30" s="21"/>
      <c r="AC30" s="1">
        <v>90</v>
      </c>
      <c r="AD30" s="20"/>
      <c r="AE30" s="20">
        <v>92</v>
      </c>
      <c r="AF30" s="20"/>
      <c r="AG30" s="20">
        <v>94</v>
      </c>
      <c r="AH30" s="20"/>
      <c r="AI30" s="20">
        <v>94</v>
      </c>
      <c r="AJ30" s="3"/>
      <c r="AK30" s="45">
        <f t="shared" si="4"/>
        <v>96.25</v>
      </c>
      <c r="AL30" s="46">
        <f t="shared" si="5"/>
        <v>91.75</v>
      </c>
      <c r="AM30" s="47">
        <f t="shared" si="6"/>
        <v>91.5</v>
      </c>
      <c r="AN30" s="48">
        <f t="shared" si="7"/>
        <v>92.5</v>
      </c>
      <c r="AO30" s="49">
        <f t="shared" si="8"/>
        <v>93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93</v>
      </c>
      <c r="BC30" s="65" t="str">
        <f t="shared" si="17"/>
        <v/>
      </c>
      <c r="BE30" s="20">
        <f t="shared" si="18"/>
        <v>91.5</v>
      </c>
      <c r="BF30" s="20">
        <f t="shared" si="19"/>
        <v>93.25</v>
      </c>
      <c r="BG30" s="93">
        <f t="shared" si="20"/>
        <v>92.75</v>
      </c>
      <c r="BH30" s="20">
        <f t="shared" si="21"/>
        <v>94.5</v>
      </c>
      <c r="BI30" s="20">
        <f t="shared" si="22"/>
        <v>93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89</v>
      </c>
      <c r="F32" s="20"/>
      <c r="G32" s="20">
        <v>92</v>
      </c>
      <c r="H32" s="20"/>
      <c r="I32" s="20">
        <v>90</v>
      </c>
      <c r="J32" s="20"/>
      <c r="K32" s="20">
        <v>92</v>
      </c>
      <c r="L32" s="21"/>
      <c r="M32" s="19">
        <v>94</v>
      </c>
      <c r="N32" s="20"/>
      <c r="O32" s="20">
        <v>92</v>
      </c>
      <c r="P32" s="20"/>
      <c r="Q32" s="20">
        <v>90</v>
      </c>
      <c r="R32" s="20"/>
      <c r="S32" s="20">
        <v>92</v>
      </c>
      <c r="T32" s="21"/>
      <c r="U32" s="19">
        <v>90</v>
      </c>
      <c r="V32" s="20"/>
      <c r="W32" s="20">
        <v>89</v>
      </c>
      <c r="X32" s="20"/>
      <c r="Y32" s="20">
        <v>91</v>
      </c>
      <c r="Z32" s="20"/>
      <c r="AA32" s="20">
        <v>90</v>
      </c>
      <c r="AB32" s="21"/>
      <c r="AC32" s="1">
        <v>90</v>
      </c>
      <c r="AD32" s="20"/>
      <c r="AE32" s="20">
        <v>94</v>
      </c>
      <c r="AF32" s="20"/>
      <c r="AG32" s="20">
        <v>93</v>
      </c>
      <c r="AH32" s="20"/>
      <c r="AI32" s="20">
        <v>94</v>
      </c>
      <c r="AJ32" s="3"/>
      <c r="AK32" s="45">
        <f t="shared" si="4"/>
        <v>90.75</v>
      </c>
      <c r="AL32" s="46">
        <f t="shared" si="5"/>
        <v>92</v>
      </c>
      <c r="AM32" s="47">
        <f t="shared" si="6"/>
        <v>90</v>
      </c>
      <c r="AN32" s="48">
        <f t="shared" si="7"/>
        <v>92.75</v>
      </c>
      <c r="AO32" s="49">
        <f t="shared" si="8"/>
        <v>91.375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91.375</v>
      </c>
      <c r="BC32" s="65" t="str">
        <f t="shared" si="17"/>
        <v/>
      </c>
      <c r="BE32" s="20">
        <f t="shared" si="18"/>
        <v>90.75</v>
      </c>
      <c r="BF32" s="20">
        <f t="shared" si="19"/>
        <v>91.75</v>
      </c>
      <c r="BG32" s="93">
        <f t="shared" si="20"/>
        <v>91</v>
      </c>
      <c r="BH32" s="20">
        <f t="shared" si="21"/>
        <v>92</v>
      </c>
      <c r="BI32" s="20">
        <f t="shared" si="22"/>
        <v>91.375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96</v>
      </c>
      <c r="F33" s="20"/>
      <c r="G33" s="20">
        <v>93</v>
      </c>
      <c r="H33" s="20"/>
      <c r="I33" s="20">
        <v>96</v>
      </c>
      <c r="J33" s="20"/>
      <c r="K33" s="20">
        <v>90</v>
      </c>
      <c r="L33" s="21"/>
      <c r="M33" s="19">
        <v>93</v>
      </c>
      <c r="N33" s="20"/>
      <c r="O33" s="20">
        <v>96</v>
      </c>
      <c r="P33" s="20"/>
      <c r="Q33" s="20">
        <v>90</v>
      </c>
      <c r="R33" s="20"/>
      <c r="S33" s="20">
        <v>93</v>
      </c>
      <c r="T33" s="21"/>
      <c r="U33" s="19">
        <v>96</v>
      </c>
      <c r="V33" s="20"/>
      <c r="W33" s="20">
        <v>90</v>
      </c>
      <c r="X33" s="20"/>
      <c r="Y33" s="20">
        <v>90</v>
      </c>
      <c r="Z33" s="20"/>
      <c r="AA33" s="20">
        <v>96</v>
      </c>
      <c r="AB33" s="21"/>
      <c r="AC33" s="1">
        <v>96</v>
      </c>
      <c r="AD33" s="20"/>
      <c r="AE33" s="20">
        <v>93</v>
      </c>
      <c r="AF33" s="20"/>
      <c r="AG33" s="20">
        <v>96</v>
      </c>
      <c r="AH33" s="20"/>
      <c r="AI33" s="20">
        <v>96</v>
      </c>
      <c r="AJ33" s="3"/>
      <c r="AK33" s="45">
        <f t="shared" si="4"/>
        <v>93.75</v>
      </c>
      <c r="AL33" s="46">
        <f t="shared" si="5"/>
        <v>93</v>
      </c>
      <c r="AM33" s="47">
        <f t="shared" si="6"/>
        <v>93</v>
      </c>
      <c r="AN33" s="48">
        <f t="shared" si="7"/>
        <v>95.25</v>
      </c>
      <c r="AO33" s="49">
        <f t="shared" si="8"/>
        <v>93.75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93.75</v>
      </c>
      <c r="BC33" s="65" t="str">
        <f t="shared" si="17"/>
        <v/>
      </c>
      <c r="BE33" s="20">
        <f t="shared" si="18"/>
        <v>95.25</v>
      </c>
      <c r="BF33" s="20">
        <f t="shared" si="19"/>
        <v>93</v>
      </c>
      <c r="BG33" s="93">
        <f t="shared" si="20"/>
        <v>93</v>
      </c>
      <c r="BH33" s="20">
        <f t="shared" si="21"/>
        <v>93.75</v>
      </c>
      <c r="BI33" s="20">
        <f t="shared" si="22"/>
        <v>93.75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90</v>
      </c>
      <c r="F34" s="20"/>
      <c r="G34" s="20">
        <v>91</v>
      </c>
      <c r="H34" s="20"/>
      <c r="I34" s="20">
        <v>89</v>
      </c>
      <c r="J34" s="20"/>
      <c r="K34" s="20">
        <v>90</v>
      </c>
      <c r="L34" s="21"/>
      <c r="M34" s="19">
        <v>90</v>
      </c>
      <c r="N34" s="20"/>
      <c r="O34" s="20">
        <v>96</v>
      </c>
      <c r="P34" s="20"/>
      <c r="Q34" s="20">
        <v>93</v>
      </c>
      <c r="R34" s="20"/>
      <c r="S34" s="20">
        <v>94</v>
      </c>
      <c r="T34" s="21"/>
      <c r="U34" s="19">
        <v>96</v>
      </c>
      <c r="V34" s="20"/>
      <c r="W34" s="20">
        <v>92</v>
      </c>
      <c r="X34" s="20"/>
      <c r="Y34" s="20">
        <v>92</v>
      </c>
      <c r="Z34" s="20"/>
      <c r="AA34" s="20">
        <v>94</v>
      </c>
      <c r="AB34" s="21"/>
      <c r="AC34" s="1">
        <v>96</v>
      </c>
      <c r="AD34" s="20"/>
      <c r="AE34" s="20">
        <v>94</v>
      </c>
      <c r="AF34" s="20"/>
      <c r="AG34" s="20">
        <v>96</v>
      </c>
      <c r="AH34" s="20"/>
      <c r="AI34" s="20">
        <v>96</v>
      </c>
      <c r="AJ34" s="3"/>
      <c r="AK34" s="45">
        <f t="shared" si="4"/>
        <v>90</v>
      </c>
      <c r="AL34" s="46">
        <f t="shared" si="5"/>
        <v>93.25</v>
      </c>
      <c r="AM34" s="47">
        <f t="shared" si="6"/>
        <v>93.5</v>
      </c>
      <c r="AN34" s="48">
        <f t="shared" si="7"/>
        <v>95.5</v>
      </c>
      <c r="AO34" s="49">
        <f t="shared" si="8"/>
        <v>93.0625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93.0625</v>
      </c>
      <c r="BC34" s="65" t="str">
        <f t="shared" si="17"/>
        <v/>
      </c>
      <c r="BE34" s="20">
        <f t="shared" si="18"/>
        <v>93</v>
      </c>
      <c r="BF34" s="20">
        <f t="shared" si="19"/>
        <v>93.25</v>
      </c>
      <c r="BG34" s="93">
        <f t="shared" si="20"/>
        <v>92.5</v>
      </c>
      <c r="BH34" s="20">
        <f t="shared" si="21"/>
        <v>93.5</v>
      </c>
      <c r="BI34" s="20">
        <f t="shared" si="22"/>
        <v>93.0625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94</v>
      </c>
      <c r="F35" s="20"/>
      <c r="G35" s="20">
        <v>90</v>
      </c>
      <c r="H35" s="20"/>
      <c r="I35" s="20">
        <v>92</v>
      </c>
      <c r="J35" s="20"/>
      <c r="K35" s="20">
        <v>92</v>
      </c>
      <c r="L35" s="21"/>
      <c r="M35" s="19">
        <v>90</v>
      </c>
      <c r="N35" s="20"/>
      <c r="O35" s="20">
        <v>90</v>
      </c>
      <c r="P35" s="20"/>
      <c r="Q35" s="20">
        <v>94</v>
      </c>
      <c r="R35" s="20"/>
      <c r="S35" s="20">
        <v>90</v>
      </c>
      <c r="T35" s="21"/>
      <c r="U35" s="19">
        <v>94</v>
      </c>
      <c r="V35" s="20"/>
      <c r="W35" s="20">
        <v>92</v>
      </c>
      <c r="X35" s="20"/>
      <c r="Y35" s="20">
        <v>94</v>
      </c>
      <c r="Z35" s="20"/>
      <c r="AA35" s="20">
        <v>92</v>
      </c>
      <c r="AB35" s="21"/>
      <c r="AC35" s="1">
        <v>94</v>
      </c>
      <c r="AD35" s="20"/>
      <c r="AE35" s="20">
        <v>90</v>
      </c>
      <c r="AF35" s="20"/>
      <c r="AG35" s="20">
        <v>92</v>
      </c>
      <c r="AH35" s="20"/>
      <c r="AI35" s="20">
        <v>94</v>
      </c>
      <c r="AJ35" s="3"/>
      <c r="AK35" s="45">
        <f t="shared" si="4"/>
        <v>92</v>
      </c>
      <c r="AL35" s="46">
        <f t="shared" si="5"/>
        <v>91</v>
      </c>
      <c r="AM35" s="47">
        <f t="shared" si="6"/>
        <v>93</v>
      </c>
      <c r="AN35" s="48">
        <f t="shared" si="7"/>
        <v>92.5</v>
      </c>
      <c r="AO35" s="49">
        <f t="shared" si="8"/>
        <v>92.125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92.125</v>
      </c>
      <c r="BC35" s="65" t="str">
        <f t="shared" si="17"/>
        <v/>
      </c>
      <c r="BE35" s="20">
        <f t="shared" si="18"/>
        <v>93</v>
      </c>
      <c r="BF35" s="20">
        <f t="shared" si="19"/>
        <v>90.5</v>
      </c>
      <c r="BG35" s="93">
        <f t="shared" si="20"/>
        <v>93</v>
      </c>
      <c r="BH35" s="20">
        <f t="shared" si="21"/>
        <v>92</v>
      </c>
      <c r="BI35" s="20">
        <f t="shared" si="22"/>
        <v>92.125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89</v>
      </c>
      <c r="H37" s="20"/>
      <c r="I37" s="20">
        <v>91</v>
      </c>
      <c r="J37" s="20"/>
      <c r="K37" s="20">
        <v>90</v>
      </c>
      <c r="L37" s="21"/>
      <c r="M37" s="19">
        <v>94</v>
      </c>
      <c r="N37" s="20"/>
      <c r="O37" s="20">
        <v>90</v>
      </c>
      <c r="P37" s="20"/>
      <c r="Q37" s="20">
        <v>91</v>
      </c>
      <c r="R37" s="20"/>
      <c r="S37" s="20">
        <v>86</v>
      </c>
      <c r="T37" s="3"/>
      <c r="U37" s="19">
        <v>92</v>
      </c>
      <c r="V37" s="20"/>
      <c r="W37" s="20">
        <v>90</v>
      </c>
      <c r="X37" s="20"/>
      <c r="Y37" s="20">
        <v>92</v>
      </c>
      <c r="Z37" s="20"/>
      <c r="AA37" s="20">
        <v>91</v>
      </c>
      <c r="AB37" s="21"/>
      <c r="AC37" s="1">
        <v>93</v>
      </c>
      <c r="AD37" s="20"/>
      <c r="AE37" s="20">
        <v>96</v>
      </c>
      <c r="AF37" s="20"/>
      <c r="AG37" s="20">
        <v>93</v>
      </c>
      <c r="AH37" s="20"/>
      <c r="AI37" s="20">
        <v>96</v>
      </c>
      <c r="AJ37" s="3"/>
      <c r="AK37" s="45">
        <f t="shared" si="4"/>
        <v>90</v>
      </c>
      <c r="AL37" s="46">
        <f t="shared" si="5"/>
        <v>90.25</v>
      </c>
      <c r="AM37" s="47">
        <f t="shared" si="6"/>
        <v>91.25</v>
      </c>
      <c r="AN37" s="48">
        <f t="shared" si="7"/>
        <v>94.5</v>
      </c>
      <c r="AO37" s="49">
        <f t="shared" si="8"/>
        <v>91.5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91.5</v>
      </c>
      <c r="BC37" s="65" t="str">
        <f t="shared" si="17"/>
        <v/>
      </c>
      <c r="BE37" s="20">
        <f t="shared" si="18"/>
        <v>92.25</v>
      </c>
      <c r="BF37" s="20">
        <f t="shared" si="19"/>
        <v>91.25</v>
      </c>
      <c r="BG37" s="93">
        <f t="shared" si="20"/>
        <v>91.75</v>
      </c>
      <c r="BH37" s="20">
        <f t="shared" si="21"/>
        <v>90.75</v>
      </c>
      <c r="BI37" s="20">
        <f t="shared" si="22"/>
        <v>91.5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89</v>
      </c>
      <c r="F38" s="20"/>
      <c r="G38" s="20">
        <v>92</v>
      </c>
      <c r="H38" s="20"/>
      <c r="I38" s="20">
        <v>90</v>
      </c>
      <c r="J38" s="20"/>
      <c r="K38" s="20">
        <v>92</v>
      </c>
      <c r="L38" s="21"/>
      <c r="M38" s="19">
        <v>94</v>
      </c>
      <c r="N38" s="20"/>
      <c r="O38" s="20">
        <v>92</v>
      </c>
      <c r="P38" s="20"/>
      <c r="Q38" s="20">
        <v>90</v>
      </c>
      <c r="R38" s="20"/>
      <c r="S38" s="20">
        <v>92</v>
      </c>
      <c r="T38" s="21"/>
      <c r="U38" s="19">
        <v>90</v>
      </c>
      <c r="V38" s="20"/>
      <c r="W38" s="20">
        <v>89</v>
      </c>
      <c r="X38" s="20"/>
      <c r="Y38" s="20">
        <v>91</v>
      </c>
      <c r="Z38" s="20"/>
      <c r="AA38" s="20">
        <v>90</v>
      </c>
      <c r="AB38" s="21"/>
      <c r="AC38" s="1">
        <v>90</v>
      </c>
      <c r="AD38" s="20"/>
      <c r="AE38" s="20">
        <v>94</v>
      </c>
      <c r="AF38" s="20"/>
      <c r="AG38" s="20">
        <v>93</v>
      </c>
      <c r="AH38" s="20"/>
      <c r="AI38" s="20">
        <v>94</v>
      </c>
      <c r="AJ38" s="3"/>
      <c r="AK38" s="45">
        <f t="shared" si="4"/>
        <v>90.75</v>
      </c>
      <c r="AL38" s="46">
        <f t="shared" si="5"/>
        <v>92</v>
      </c>
      <c r="AM38" s="47">
        <f t="shared" si="6"/>
        <v>90</v>
      </c>
      <c r="AN38" s="48">
        <f t="shared" si="7"/>
        <v>92.75</v>
      </c>
      <c r="AO38" s="49">
        <f t="shared" si="8"/>
        <v>91.375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91.375</v>
      </c>
      <c r="BC38" s="65" t="str">
        <f t="shared" si="17"/>
        <v/>
      </c>
      <c r="BE38" s="20">
        <f t="shared" si="18"/>
        <v>90.75</v>
      </c>
      <c r="BF38" s="20">
        <f t="shared" si="19"/>
        <v>91.75</v>
      </c>
      <c r="BG38" s="93">
        <f t="shared" si="20"/>
        <v>91</v>
      </c>
      <c r="BH38" s="20">
        <f t="shared" si="21"/>
        <v>92</v>
      </c>
      <c r="BI38" s="20">
        <f t="shared" si="22"/>
        <v>91.375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96</v>
      </c>
      <c r="F39" s="20"/>
      <c r="G39" s="20">
        <v>93</v>
      </c>
      <c r="H39" s="20"/>
      <c r="I39" s="20">
        <v>96</v>
      </c>
      <c r="J39" s="20"/>
      <c r="K39" s="20">
        <v>90</v>
      </c>
      <c r="L39" s="21"/>
      <c r="M39" s="19">
        <v>93</v>
      </c>
      <c r="N39" s="20"/>
      <c r="O39" s="20">
        <v>96</v>
      </c>
      <c r="P39" s="20"/>
      <c r="Q39" s="20">
        <v>90</v>
      </c>
      <c r="R39" s="20"/>
      <c r="S39" s="20">
        <v>93</v>
      </c>
      <c r="T39" s="21"/>
      <c r="U39" s="19">
        <v>96</v>
      </c>
      <c r="V39" s="20"/>
      <c r="W39" s="20">
        <v>90</v>
      </c>
      <c r="X39" s="20"/>
      <c r="Y39" s="20">
        <v>90</v>
      </c>
      <c r="Z39" s="20"/>
      <c r="AA39" s="20">
        <v>96</v>
      </c>
      <c r="AB39" s="21"/>
      <c r="AC39" s="1">
        <v>96</v>
      </c>
      <c r="AD39" s="20"/>
      <c r="AE39" s="20">
        <v>93</v>
      </c>
      <c r="AF39" s="20"/>
      <c r="AG39" s="20">
        <v>96</v>
      </c>
      <c r="AH39" s="20"/>
      <c r="AI39" s="20">
        <v>96</v>
      </c>
      <c r="AJ39" s="3"/>
      <c r="AK39" s="45">
        <f t="shared" si="4"/>
        <v>93.75</v>
      </c>
      <c r="AL39" s="46">
        <f t="shared" si="5"/>
        <v>93</v>
      </c>
      <c r="AM39" s="47">
        <f t="shared" si="6"/>
        <v>93</v>
      </c>
      <c r="AN39" s="48">
        <f t="shared" si="7"/>
        <v>95.25</v>
      </c>
      <c r="AO39" s="49">
        <f t="shared" si="8"/>
        <v>93.75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93.75</v>
      </c>
      <c r="BC39" s="65" t="str">
        <f t="shared" si="17"/>
        <v/>
      </c>
      <c r="BE39" s="20">
        <f t="shared" si="18"/>
        <v>95.25</v>
      </c>
      <c r="BF39" s="20">
        <f t="shared" si="19"/>
        <v>93</v>
      </c>
      <c r="BG39" s="93">
        <f t="shared" si="20"/>
        <v>93</v>
      </c>
      <c r="BH39" s="20">
        <f t="shared" si="21"/>
        <v>93.75</v>
      </c>
      <c r="BI39" s="20">
        <f t="shared" si="22"/>
        <v>93.75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90</v>
      </c>
      <c r="F40" s="20"/>
      <c r="G40" s="20">
        <v>91</v>
      </c>
      <c r="H40" s="20"/>
      <c r="I40" s="20">
        <v>89</v>
      </c>
      <c r="J40" s="20"/>
      <c r="K40" s="20">
        <v>90</v>
      </c>
      <c r="L40" s="21"/>
      <c r="M40" s="19">
        <v>90</v>
      </c>
      <c r="N40" s="20"/>
      <c r="O40" s="20">
        <v>96</v>
      </c>
      <c r="P40" s="20"/>
      <c r="Q40" s="20">
        <v>93</v>
      </c>
      <c r="R40" s="20"/>
      <c r="S40" s="20">
        <v>94</v>
      </c>
      <c r="T40" s="21"/>
      <c r="U40" s="19">
        <v>96</v>
      </c>
      <c r="V40" s="20"/>
      <c r="W40" s="20">
        <v>92</v>
      </c>
      <c r="X40" s="20"/>
      <c r="Y40" s="20">
        <v>92</v>
      </c>
      <c r="Z40" s="20"/>
      <c r="AA40" s="20">
        <v>94</v>
      </c>
      <c r="AB40" s="21"/>
      <c r="AC40" s="1">
        <v>96</v>
      </c>
      <c r="AD40" s="20"/>
      <c r="AE40" s="20">
        <v>94</v>
      </c>
      <c r="AF40" s="20"/>
      <c r="AG40" s="20">
        <v>96</v>
      </c>
      <c r="AH40" s="20"/>
      <c r="AI40" s="20">
        <v>96</v>
      </c>
      <c r="AJ40" s="3"/>
      <c r="AK40" s="45">
        <f t="shared" si="4"/>
        <v>90</v>
      </c>
      <c r="AL40" s="46">
        <f t="shared" si="5"/>
        <v>93.25</v>
      </c>
      <c r="AM40" s="47">
        <f t="shared" si="6"/>
        <v>93.5</v>
      </c>
      <c r="AN40" s="48">
        <f t="shared" si="7"/>
        <v>95.5</v>
      </c>
      <c r="AO40" s="49">
        <f t="shared" si="8"/>
        <v>93.0625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93.0625</v>
      </c>
      <c r="BC40" s="65" t="str">
        <f t="shared" si="17"/>
        <v/>
      </c>
      <c r="BE40" s="20">
        <f t="shared" si="18"/>
        <v>93</v>
      </c>
      <c r="BF40" s="20">
        <f t="shared" si="19"/>
        <v>93.25</v>
      </c>
      <c r="BG40" s="93">
        <f t="shared" si="20"/>
        <v>92.5</v>
      </c>
      <c r="BH40" s="20">
        <f t="shared" si="21"/>
        <v>93.5</v>
      </c>
      <c r="BI40" s="20">
        <f t="shared" si="22"/>
        <v>93.0625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94</v>
      </c>
      <c r="F41" s="20"/>
      <c r="G41" s="20">
        <v>90</v>
      </c>
      <c r="H41" s="20"/>
      <c r="I41" s="20">
        <v>92</v>
      </c>
      <c r="J41" s="20"/>
      <c r="K41" s="20">
        <v>92</v>
      </c>
      <c r="L41" s="21"/>
      <c r="M41" s="19">
        <v>90</v>
      </c>
      <c r="N41" s="20"/>
      <c r="O41" s="20">
        <v>90</v>
      </c>
      <c r="P41" s="20"/>
      <c r="Q41" s="20">
        <v>94</v>
      </c>
      <c r="R41" s="20"/>
      <c r="S41" s="20">
        <v>90</v>
      </c>
      <c r="T41" s="21"/>
      <c r="U41" s="19">
        <v>94</v>
      </c>
      <c r="V41" s="20"/>
      <c r="W41" s="20">
        <v>92</v>
      </c>
      <c r="X41" s="20"/>
      <c r="Y41" s="20">
        <v>94</v>
      </c>
      <c r="Z41" s="20"/>
      <c r="AA41" s="20">
        <v>92</v>
      </c>
      <c r="AB41" s="21"/>
      <c r="AC41" s="1">
        <v>94</v>
      </c>
      <c r="AD41" s="20"/>
      <c r="AE41" s="20">
        <v>90</v>
      </c>
      <c r="AF41" s="20"/>
      <c r="AG41" s="20">
        <v>92</v>
      </c>
      <c r="AH41" s="20"/>
      <c r="AI41" s="20">
        <v>94</v>
      </c>
      <c r="AJ41" s="3"/>
      <c r="AK41" s="45">
        <f t="shared" si="4"/>
        <v>92</v>
      </c>
      <c r="AL41" s="46">
        <f t="shared" si="5"/>
        <v>91</v>
      </c>
      <c r="AM41" s="47">
        <f t="shared" si="6"/>
        <v>93</v>
      </c>
      <c r="AN41" s="48">
        <f t="shared" si="7"/>
        <v>92.5</v>
      </c>
      <c r="AO41" s="49">
        <f t="shared" si="8"/>
        <v>92.125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92.125</v>
      </c>
      <c r="BC41" s="65" t="str">
        <f t="shared" si="17"/>
        <v/>
      </c>
      <c r="BE41" s="20">
        <f t="shared" si="18"/>
        <v>93</v>
      </c>
      <c r="BF41" s="20">
        <f t="shared" si="19"/>
        <v>90.5</v>
      </c>
      <c r="BG41" s="93">
        <f t="shared" si="20"/>
        <v>93</v>
      </c>
      <c r="BH41" s="20">
        <f t="shared" si="21"/>
        <v>92</v>
      </c>
      <c r="BI41" s="20">
        <f t="shared" si="22"/>
        <v>92.125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92</v>
      </c>
      <c r="F42" s="20"/>
      <c r="G42" s="20">
        <v>88</v>
      </c>
      <c r="H42" s="20"/>
      <c r="I42" s="20">
        <v>90</v>
      </c>
      <c r="J42" s="20"/>
      <c r="K42" s="20">
        <v>91</v>
      </c>
      <c r="L42" s="21"/>
      <c r="M42" s="19">
        <v>89</v>
      </c>
      <c r="N42" s="20"/>
      <c r="O42" s="20">
        <v>92</v>
      </c>
      <c r="P42" s="20"/>
      <c r="Q42" s="20">
        <v>94</v>
      </c>
      <c r="R42" s="20"/>
      <c r="S42" s="20">
        <v>94</v>
      </c>
      <c r="T42" s="21"/>
      <c r="U42" s="19">
        <v>89</v>
      </c>
      <c r="V42" s="20"/>
      <c r="W42" s="20">
        <v>91</v>
      </c>
      <c r="X42" s="20"/>
      <c r="Y42" s="20">
        <v>90</v>
      </c>
      <c r="Z42" s="20"/>
      <c r="AA42" s="20">
        <v>91</v>
      </c>
      <c r="AB42" s="21"/>
      <c r="AC42" s="1">
        <v>88</v>
      </c>
      <c r="AD42" s="20"/>
      <c r="AE42" s="20">
        <v>92</v>
      </c>
      <c r="AF42" s="20"/>
      <c r="AG42" s="20">
        <v>94</v>
      </c>
      <c r="AH42" s="20"/>
      <c r="AI42" s="20">
        <v>92</v>
      </c>
      <c r="AJ42" s="3"/>
      <c r="AK42" s="45">
        <f t="shared" si="4"/>
        <v>90.25</v>
      </c>
      <c r="AL42" s="46">
        <f t="shared" si="5"/>
        <v>92.25</v>
      </c>
      <c r="AM42" s="47">
        <f t="shared" si="6"/>
        <v>90.25</v>
      </c>
      <c r="AN42" s="48">
        <f t="shared" si="7"/>
        <v>91.5</v>
      </c>
      <c r="AO42" s="49">
        <f t="shared" si="8"/>
        <v>91.0625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91.0625</v>
      </c>
      <c r="BC42" s="65" t="str">
        <f t="shared" si="17"/>
        <v/>
      </c>
      <c r="BE42" s="20">
        <f t="shared" si="18"/>
        <v>89.5</v>
      </c>
      <c r="BF42" s="20">
        <f t="shared" si="19"/>
        <v>90.75</v>
      </c>
      <c r="BG42" s="93">
        <f t="shared" si="20"/>
        <v>92</v>
      </c>
      <c r="BH42" s="20">
        <f t="shared" si="21"/>
        <v>92</v>
      </c>
      <c r="BI42" s="20">
        <f t="shared" si="22"/>
        <v>91.0625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92" priority="12" operator="lessThan">
      <formula>70</formula>
    </cfRule>
  </conditionalFormatting>
  <conditionalFormatting sqref="G4:L33">
    <cfRule type="cellIs" dxfId="91" priority="15" operator="lessThan">
      <formula>70</formula>
    </cfRule>
  </conditionalFormatting>
  <conditionalFormatting sqref="G38:L39">
    <cfRule type="cellIs" dxfId="90" priority="10" operator="lessThan">
      <formula>70</formula>
    </cfRule>
  </conditionalFormatting>
  <conditionalFormatting sqref="G42:L42">
    <cfRule type="cellIs" dxfId="89" priority="7" operator="lessThan">
      <formula>70</formula>
    </cfRule>
  </conditionalFormatting>
  <conditionalFormatting sqref="O5:AB33 O4:R4 T4:Z4 AB4">
    <cfRule type="cellIs" dxfId="88" priority="14" operator="lessThan">
      <formula>70</formula>
    </cfRule>
  </conditionalFormatting>
  <conditionalFormatting sqref="O38:AB39">
    <cfRule type="cellIs" dxfId="87" priority="9" operator="lessThan">
      <formula>70</formula>
    </cfRule>
  </conditionalFormatting>
  <conditionalFormatting sqref="O42:AB42">
    <cfRule type="cellIs" dxfId="86" priority="6" operator="lessThan">
      <formula>70</formula>
    </cfRule>
  </conditionalFormatting>
  <conditionalFormatting sqref="AE38:AI39">
    <cfRule type="cellIs" dxfId="85" priority="8" operator="lessThan">
      <formula>70</formula>
    </cfRule>
  </conditionalFormatting>
  <conditionalFormatting sqref="AE42:AI42">
    <cfRule type="cellIs" dxfId="84" priority="5" operator="lessThan">
      <formula>70</formula>
    </cfRule>
  </conditionalFormatting>
  <conditionalFormatting sqref="AE5:AJ33 AE4:AF4 AH4 AJ4">
    <cfRule type="cellIs" dxfId="83" priority="13" operator="lessThan">
      <formula>70</formula>
    </cfRule>
  </conditionalFormatting>
  <conditionalFormatting sqref="AK3:AP47 E4:F33 M4:N33 AC4:AD33 E34:AJ37 E38:F39 M38:N39 AC38:AD39 AJ38:AJ42 E40:AI41 E42:F42 M42:N42 AC42:AD42 E43:AJ47">
    <cfRule type="cellIs" dxfId="82" priority="18" operator="lessThan">
      <formula>70</formula>
    </cfRule>
  </conditionalFormatting>
  <conditionalFormatting sqref="AR3:AR47">
    <cfRule type="cellIs" dxfId="81" priority="16" operator="lessThan">
      <formula>70</formula>
    </cfRule>
  </conditionalFormatting>
  <conditionalFormatting sqref="AR3:AY47">
    <cfRule type="cellIs" dxfId="80" priority="17" operator="lessThan">
      <formula>70</formula>
    </cfRule>
  </conditionalFormatting>
  <conditionalFormatting sqref="AZ3:AZ47">
    <cfRule type="cellIs" dxfId="79" priority="11" operator="lessThan">
      <formula>70</formula>
    </cfRule>
  </conditionalFormatting>
  <conditionalFormatting sqref="S4">
    <cfRule type="cellIs" dxfId="13" priority="4" operator="lessThan">
      <formula>70</formula>
    </cfRule>
  </conditionalFormatting>
  <conditionalFormatting sqref="AA4">
    <cfRule type="cellIs" dxfId="12" priority="3" operator="lessThan">
      <formula>70</formula>
    </cfRule>
  </conditionalFormatting>
  <conditionalFormatting sqref="AG4">
    <cfRule type="cellIs" dxfId="11" priority="2" operator="lessThan">
      <formula>70</formula>
    </cfRule>
  </conditionalFormatting>
  <conditionalFormatting sqref="AI4">
    <cfRule type="cellIs" dxfId="10" priority="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1647-40F2-4D63-A28C-4EC82782B22D}">
  <dimension ref="A1:BI47"/>
  <sheetViews>
    <sheetView zoomScaleNormal="100" workbookViewId="0">
      <selection activeCell="H36" sqref="H3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98</v>
      </c>
      <c r="F4" s="20"/>
      <c r="G4" s="20">
        <v>99</v>
      </c>
      <c r="H4" s="20"/>
      <c r="I4" s="20">
        <v>80</v>
      </c>
      <c r="J4" s="20"/>
      <c r="K4" s="20">
        <v>80</v>
      </c>
      <c r="L4" s="21"/>
      <c r="M4" s="19">
        <v>99</v>
      </c>
      <c r="N4" s="20"/>
      <c r="O4" s="20">
        <v>96</v>
      </c>
      <c r="P4" s="20"/>
      <c r="Q4" s="20">
        <v>80</v>
      </c>
      <c r="R4" s="20"/>
      <c r="S4" s="20">
        <v>80</v>
      </c>
      <c r="T4" s="21"/>
      <c r="U4" s="19">
        <v>98</v>
      </c>
      <c r="V4" s="20"/>
      <c r="W4" s="20">
        <v>97</v>
      </c>
      <c r="X4" s="20"/>
      <c r="Y4" s="20">
        <v>80</v>
      </c>
      <c r="Z4" s="20"/>
      <c r="AA4" s="20">
        <v>80</v>
      </c>
      <c r="AB4" s="21"/>
      <c r="AC4" s="1">
        <v>90</v>
      </c>
      <c r="AD4" s="20"/>
      <c r="AE4" s="20">
        <v>98</v>
      </c>
      <c r="AF4" s="20"/>
      <c r="AG4" s="20">
        <v>80</v>
      </c>
      <c r="AH4" s="20"/>
      <c r="AI4" s="20">
        <v>80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89.25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88.75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88.75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87</v>
      </c>
      <c r="AO4" s="49">
        <f t="shared" ref="AO4:AO47" si="8">AVERAGE(AK4:AN4)</f>
        <v>88.4375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88.4375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96.25</v>
      </c>
      <c r="BF4" s="20">
        <f t="shared" si="1"/>
        <v>97.5</v>
      </c>
      <c r="BG4" s="93">
        <f t="shared" si="2"/>
        <v>80</v>
      </c>
      <c r="BH4" s="20">
        <f t="shared" si="3"/>
        <v>80</v>
      </c>
      <c r="BI4" s="20">
        <f>AVERAGE(BE4:BH4)</f>
        <v>88.4375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90</v>
      </c>
      <c r="F5" s="20"/>
      <c r="G5" s="20">
        <v>88</v>
      </c>
      <c r="H5" s="20"/>
      <c r="I5" s="20">
        <v>91</v>
      </c>
      <c r="J5" s="20"/>
      <c r="K5" s="20">
        <v>92</v>
      </c>
      <c r="L5" s="21"/>
      <c r="M5" s="19">
        <v>90</v>
      </c>
      <c r="N5" s="20"/>
      <c r="O5" s="20">
        <v>90</v>
      </c>
      <c r="P5" s="20"/>
      <c r="Q5" s="20">
        <v>92</v>
      </c>
      <c r="R5" s="20"/>
      <c r="S5" s="20">
        <v>90</v>
      </c>
      <c r="T5" s="21"/>
      <c r="U5" s="19">
        <v>88</v>
      </c>
      <c r="V5" s="20"/>
      <c r="W5" s="20">
        <v>88</v>
      </c>
      <c r="X5" s="20"/>
      <c r="Y5" s="20">
        <v>83</v>
      </c>
      <c r="Z5" s="20"/>
      <c r="AA5" s="20">
        <v>84</v>
      </c>
      <c r="AB5" s="21"/>
      <c r="AC5" s="1">
        <v>90</v>
      </c>
      <c r="AD5" s="20"/>
      <c r="AE5" s="20">
        <v>86</v>
      </c>
      <c r="AF5" s="20"/>
      <c r="AG5" s="20">
        <v>85</v>
      </c>
      <c r="AH5" s="20"/>
      <c r="AI5" s="20">
        <v>86</v>
      </c>
      <c r="AJ5" s="3"/>
      <c r="AK5" s="45">
        <f t="shared" si="4"/>
        <v>90.25</v>
      </c>
      <c r="AL5" s="46">
        <f t="shared" si="5"/>
        <v>90.5</v>
      </c>
      <c r="AM5" s="47">
        <f t="shared" si="6"/>
        <v>85.75</v>
      </c>
      <c r="AN5" s="48">
        <f t="shared" si="7"/>
        <v>86.75</v>
      </c>
      <c r="AO5" s="49">
        <f t="shared" si="8"/>
        <v>88.3125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88.3125</v>
      </c>
      <c r="BC5" s="65" t="str">
        <f t="shared" si="17"/>
        <v/>
      </c>
      <c r="BE5" s="20">
        <f>SUM(E5+M5+U5+AC5)/4</f>
        <v>89.5</v>
      </c>
      <c r="BF5" s="20">
        <f>SUM(G5+O5+W5+AE5)/4</f>
        <v>88</v>
      </c>
      <c r="BG5" s="93">
        <f>SUM(I5+Q5+Y5+AG5)/4</f>
        <v>87.75</v>
      </c>
      <c r="BH5" s="20">
        <f>SUM(K5+S5+AA5+AI5)/4</f>
        <v>88</v>
      </c>
      <c r="BI5" s="20">
        <f>AVERAGE(BE5:BH5)</f>
        <v>88.3125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90</v>
      </c>
      <c r="H6" s="20"/>
      <c r="I6" s="20">
        <v>90</v>
      </c>
      <c r="J6" s="20"/>
      <c r="K6" s="20">
        <v>90</v>
      </c>
      <c r="L6" s="21"/>
      <c r="M6" s="19">
        <v>92</v>
      </c>
      <c r="N6" s="20"/>
      <c r="O6" s="20">
        <v>93</v>
      </c>
      <c r="P6" s="20"/>
      <c r="Q6" s="20">
        <v>88</v>
      </c>
      <c r="R6" s="20"/>
      <c r="S6" s="20">
        <v>87</v>
      </c>
      <c r="T6" s="21"/>
      <c r="U6" s="19">
        <v>90</v>
      </c>
      <c r="V6" s="20"/>
      <c r="W6" s="20">
        <v>94</v>
      </c>
      <c r="X6" s="20"/>
      <c r="Y6" s="20">
        <v>90</v>
      </c>
      <c r="Z6" s="20"/>
      <c r="AA6" s="20">
        <v>88</v>
      </c>
      <c r="AB6" s="21"/>
      <c r="AC6" s="1">
        <v>92</v>
      </c>
      <c r="AD6" s="20"/>
      <c r="AE6" s="20">
        <v>95</v>
      </c>
      <c r="AF6" s="20"/>
      <c r="AG6" s="20">
        <v>88</v>
      </c>
      <c r="AH6" s="20"/>
      <c r="AI6" s="20">
        <v>90</v>
      </c>
      <c r="AJ6" s="3"/>
      <c r="AK6" s="45">
        <f t="shared" si="4"/>
        <v>90</v>
      </c>
      <c r="AL6" s="46">
        <f t="shared" si="5"/>
        <v>90</v>
      </c>
      <c r="AM6" s="47">
        <f t="shared" si="6"/>
        <v>90.5</v>
      </c>
      <c r="AN6" s="48">
        <f t="shared" si="7"/>
        <v>91.25</v>
      </c>
      <c r="AO6" s="49">
        <f t="shared" si="8"/>
        <v>90.4375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90.4375</v>
      </c>
      <c r="BC6" s="65" t="str">
        <f t="shared" si="17"/>
        <v/>
      </c>
      <c r="BE6" s="20">
        <f t="shared" ref="BE6:BE47" si="18">SUM(E6+M6+U6+AC6)/4</f>
        <v>91</v>
      </c>
      <c r="BF6" s="20">
        <f t="shared" ref="BF6:BF47" si="19">SUM(G6+O6+W6+AE6)/4</f>
        <v>93</v>
      </c>
      <c r="BG6" s="93">
        <f t="shared" ref="BG6:BG47" si="20">SUM(I6+Q6+Y6+AG6)/4</f>
        <v>89</v>
      </c>
      <c r="BH6" s="20">
        <f t="shared" ref="BH6:BH47" si="21">SUM(K6+S6+AA6+AI6)/4</f>
        <v>88.75</v>
      </c>
      <c r="BI6" s="20">
        <f t="shared" ref="BI6:BI47" si="22">AVERAGE(BE6:BH6)</f>
        <v>90.4375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95</v>
      </c>
      <c r="H7" s="20"/>
      <c r="I7" s="20">
        <v>90</v>
      </c>
      <c r="J7" s="20"/>
      <c r="K7" s="20">
        <v>95</v>
      </c>
      <c r="L7" s="21"/>
      <c r="M7" s="19">
        <v>92</v>
      </c>
      <c r="N7" s="20"/>
      <c r="O7" s="20">
        <v>90</v>
      </c>
      <c r="P7" s="20"/>
      <c r="Q7" s="20">
        <v>92</v>
      </c>
      <c r="R7" s="20"/>
      <c r="S7" s="20">
        <v>97</v>
      </c>
      <c r="T7" s="21"/>
      <c r="U7" s="19">
        <v>93</v>
      </c>
      <c r="V7" s="20"/>
      <c r="W7" s="20">
        <v>95</v>
      </c>
      <c r="X7" s="20"/>
      <c r="Y7" s="20">
        <v>90</v>
      </c>
      <c r="Z7" s="20"/>
      <c r="AA7" s="20">
        <v>98</v>
      </c>
      <c r="AB7" s="21"/>
      <c r="AC7" s="1">
        <v>92</v>
      </c>
      <c r="AD7" s="20"/>
      <c r="AE7" s="20">
        <v>90</v>
      </c>
      <c r="AF7" s="20"/>
      <c r="AG7" s="20">
        <v>92</v>
      </c>
      <c r="AH7" s="20"/>
      <c r="AI7" s="20">
        <v>97</v>
      </c>
      <c r="AJ7" s="3"/>
      <c r="AK7" s="45">
        <f t="shared" si="4"/>
        <v>92.5</v>
      </c>
      <c r="AL7" s="46">
        <f t="shared" si="5"/>
        <v>92.75</v>
      </c>
      <c r="AM7" s="47">
        <f t="shared" si="6"/>
        <v>94</v>
      </c>
      <c r="AN7" s="48">
        <f t="shared" si="7"/>
        <v>92.75</v>
      </c>
      <c r="AO7" s="49">
        <f t="shared" si="8"/>
        <v>93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</v>
      </c>
      <c r="BC7" s="65" t="str">
        <f t="shared" si="17"/>
        <v/>
      </c>
      <c r="BE7" s="20">
        <f t="shared" si="18"/>
        <v>91.75</v>
      </c>
      <c r="BF7" s="20">
        <f t="shared" si="19"/>
        <v>92.5</v>
      </c>
      <c r="BG7" s="93">
        <f t="shared" si="20"/>
        <v>91</v>
      </c>
      <c r="BH7" s="20">
        <f t="shared" si="21"/>
        <v>96.75</v>
      </c>
      <c r="BI7" s="20">
        <f t="shared" si="22"/>
        <v>93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70</v>
      </c>
      <c r="F8" s="20"/>
      <c r="G8" s="20">
        <v>71</v>
      </c>
      <c r="H8" s="20"/>
      <c r="I8" s="20">
        <v>70</v>
      </c>
      <c r="J8" s="20"/>
      <c r="K8" s="20">
        <v>72</v>
      </c>
      <c r="L8" s="21"/>
      <c r="M8" s="19">
        <v>74</v>
      </c>
      <c r="N8" s="20"/>
      <c r="O8" s="20">
        <v>72</v>
      </c>
      <c r="P8" s="20"/>
      <c r="Q8" s="20">
        <v>71</v>
      </c>
      <c r="R8" s="20"/>
      <c r="S8" s="20">
        <v>70</v>
      </c>
      <c r="T8" s="21"/>
      <c r="U8" s="19">
        <v>70</v>
      </c>
      <c r="V8" s="20"/>
      <c r="W8" s="20">
        <v>72</v>
      </c>
      <c r="X8" s="20"/>
      <c r="Y8" s="20">
        <v>70</v>
      </c>
      <c r="Z8" s="20"/>
      <c r="AA8" s="20">
        <v>72</v>
      </c>
      <c r="AB8" s="21"/>
      <c r="AC8" s="1">
        <v>73</v>
      </c>
      <c r="AD8" s="20"/>
      <c r="AE8" s="20">
        <v>70</v>
      </c>
      <c r="AF8" s="20"/>
      <c r="AG8" s="20">
        <v>71</v>
      </c>
      <c r="AH8" s="20"/>
      <c r="AI8" s="20">
        <v>70</v>
      </c>
      <c r="AJ8" s="3"/>
      <c r="AK8" s="45">
        <f t="shared" si="4"/>
        <v>70.75</v>
      </c>
      <c r="AL8" s="46">
        <f t="shared" si="5"/>
        <v>71.75</v>
      </c>
      <c r="AM8" s="47">
        <f t="shared" si="6"/>
        <v>71</v>
      </c>
      <c r="AN8" s="48">
        <f t="shared" si="7"/>
        <v>71</v>
      </c>
      <c r="AO8" s="49">
        <f t="shared" si="8"/>
        <v>71.125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71.125</v>
      </c>
      <c r="BC8" s="65" t="str">
        <f t="shared" si="17"/>
        <v/>
      </c>
      <c r="BE8" s="20">
        <f t="shared" si="18"/>
        <v>71.75</v>
      </c>
      <c r="BF8" s="20">
        <f t="shared" si="19"/>
        <v>71.25</v>
      </c>
      <c r="BG8" s="93">
        <f t="shared" si="20"/>
        <v>70.5</v>
      </c>
      <c r="BH8" s="20">
        <f t="shared" si="21"/>
        <v>71</v>
      </c>
      <c r="BI8" s="20">
        <f t="shared" si="22"/>
        <v>71.125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90</v>
      </c>
      <c r="F9" s="20"/>
      <c r="G9" s="20">
        <v>95</v>
      </c>
      <c r="H9" s="20"/>
      <c r="I9" s="20">
        <v>88</v>
      </c>
      <c r="J9" s="20"/>
      <c r="K9" s="20">
        <v>90</v>
      </c>
      <c r="L9" s="21"/>
      <c r="M9" s="19">
        <v>93</v>
      </c>
      <c r="N9" s="20"/>
      <c r="O9" s="20">
        <v>96</v>
      </c>
      <c r="P9" s="20"/>
      <c r="Q9" s="20">
        <v>87</v>
      </c>
      <c r="R9" s="20"/>
      <c r="S9" s="20">
        <v>87</v>
      </c>
      <c r="T9" s="21"/>
      <c r="U9" s="19">
        <v>90</v>
      </c>
      <c r="V9" s="20"/>
      <c r="W9" s="20">
        <v>96</v>
      </c>
      <c r="X9" s="20"/>
      <c r="Y9" s="20">
        <v>88</v>
      </c>
      <c r="Z9" s="20"/>
      <c r="AA9" s="20">
        <v>85</v>
      </c>
      <c r="AB9" s="21"/>
      <c r="AC9" s="1">
        <v>96</v>
      </c>
      <c r="AD9" s="20"/>
      <c r="AE9" s="20">
        <v>95</v>
      </c>
      <c r="AF9" s="20"/>
      <c r="AG9" s="20">
        <v>87</v>
      </c>
      <c r="AH9" s="20"/>
      <c r="AI9" s="20">
        <v>87</v>
      </c>
      <c r="AJ9" s="3"/>
      <c r="AK9" s="45">
        <f t="shared" si="4"/>
        <v>90.75</v>
      </c>
      <c r="AL9" s="46">
        <f t="shared" si="5"/>
        <v>90.75</v>
      </c>
      <c r="AM9" s="47">
        <f t="shared" si="6"/>
        <v>89.75</v>
      </c>
      <c r="AN9" s="48">
        <f t="shared" si="7"/>
        <v>91.25</v>
      </c>
      <c r="AO9" s="49">
        <f t="shared" si="8"/>
        <v>90.625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90.625</v>
      </c>
      <c r="BC9" s="65" t="str">
        <f t="shared" si="17"/>
        <v/>
      </c>
      <c r="BE9" s="20">
        <f t="shared" si="18"/>
        <v>92.25</v>
      </c>
      <c r="BF9" s="20">
        <f t="shared" si="19"/>
        <v>95.5</v>
      </c>
      <c r="BG9" s="93">
        <f t="shared" si="20"/>
        <v>87.5</v>
      </c>
      <c r="BH9" s="20">
        <f t="shared" si="21"/>
        <v>87.25</v>
      </c>
      <c r="BI9" s="20">
        <f t="shared" si="22"/>
        <v>90.625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78</v>
      </c>
      <c r="F10" s="20"/>
      <c r="G10" s="20">
        <v>76</v>
      </c>
      <c r="H10" s="20"/>
      <c r="I10" s="20">
        <v>73</v>
      </c>
      <c r="J10" s="20"/>
      <c r="K10" s="20">
        <v>80</v>
      </c>
      <c r="L10" s="21"/>
      <c r="M10" s="19">
        <v>80</v>
      </c>
      <c r="N10" s="20"/>
      <c r="O10" s="20">
        <v>75</v>
      </c>
      <c r="P10" s="20"/>
      <c r="Q10" s="20">
        <v>74</v>
      </c>
      <c r="R10" s="20"/>
      <c r="S10" s="20">
        <v>81</v>
      </c>
      <c r="T10" s="21"/>
      <c r="U10" s="19">
        <v>75</v>
      </c>
      <c r="V10" s="20"/>
      <c r="W10" s="20">
        <v>78</v>
      </c>
      <c r="X10" s="20"/>
      <c r="Y10" s="20">
        <v>75</v>
      </c>
      <c r="Z10" s="20"/>
      <c r="AA10" s="20">
        <v>82</v>
      </c>
      <c r="AB10" s="21"/>
      <c r="AC10" s="1">
        <v>78</v>
      </c>
      <c r="AD10" s="20"/>
      <c r="AE10" s="20">
        <v>75</v>
      </c>
      <c r="AF10" s="20"/>
      <c r="AG10" s="20">
        <v>76</v>
      </c>
      <c r="AH10" s="20"/>
      <c r="AI10" s="20">
        <v>80</v>
      </c>
      <c r="AJ10" s="3"/>
      <c r="AK10" s="45">
        <f t="shared" si="4"/>
        <v>76.75</v>
      </c>
      <c r="AL10" s="46">
        <f t="shared" si="5"/>
        <v>77.5</v>
      </c>
      <c r="AM10" s="47">
        <f t="shared" si="6"/>
        <v>77.5</v>
      </c>
      <c r="AN10" s="48">
        <f t="shared" si="7"/>
        <v>77.25</v>
      </c>
      <c r="AO10" s="49">
        <f t="shared" si="8"/>
        <v>77.25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77.25</v>
      </c>
      <c r="BC10" s="65" t="str">
        <f t="shared" si="17"/>
        <v/>
      </c>
      <c r="BE10" s="20">
        <f t="shared" si="18"/>
        <v>77.75</v>
      </c>
      <c r="BF10" s="20">
        <f t="shared" si="19"/>
        <v>76</v>
      </c>
      <c r="BG10" s="93">
        <f t="shared" si="20"/>
        <v>74.5</v>
      </c>
      <c r="BH10" s="20">
        <f t="shared" si="21"/>
        <v>80.75</v>
      </c>
      <c r="BI10" s="20">
        <f t="shared" si="22"/>
        <v>77.25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80</v>
      </c>
      <c r="H11" s="20"/>
      <c r="I11" s="20">
        <v>90</v>
      </c>
      <c r="J11" s="20"/>
      <c r="K11" s="20">
        <v>93</v>
      </c>
      <c r="L11" s="21"/>
      <c r="M11" s="19">
        <v>82</v>
      </c>
      <c r="N11" s="20"/>
      <c r="O11" s="20">
        <v>85</v>
      </c>
      <c r="P11" s="20"/>
      <c r="Q11" s="20">
        <v>92</v>
      </c>
      <c r="R11" s="20"/>
      <c r="S11" s="20">
        <v>88</v>
      </c>
      <c r="T11" s="21"/>
      <c r="U11" s="19">
        <v>80</v>
      </c>
      <c r="V11" s="20"/>
      <c r="W11" s="20">
        <v>88</v>
      </c>
      <c r="X11" s="20"/>
      <c r="Y11" s="20">
        <v>90</v>
      </c>
      <c r="Z11" s="20"/>
      <c r="AA11" s="20">
        <v>90</v>
      </c>
      <c r="AB11" s="21"/>
      <c r="AC11" s="1">
        <v>81</v>
      </c>
      <c r="AD11" s="20"/>
      <c r="AE11" s="20">
        <v>85</v>
      </c>
      <c r="AF11" s="20"/>
      <c r="AG11" s="20">
        <v>91</v>
      </c>
      <c r="AH11" s="20"/>
      <c r="AI11" s="20">
        <v>92</v>
      </c>
      <c r="AJ11" s="3"/>
      <c r="AK11" s="45">
        <f t="shared" si="4"/>
        <v>85.75</v>
      </c>
      <c r="AL11" s="46">
        <f t="shared" si="5"/>
        <v>86.75</v>
      </c>
      <c r="AM11" s="47">
        <f t="shared" si="6"/>
        <v>87</v>
      </c>
      <c r="AN11" s="48">
        <f t="shared" si="7"/>
        <v>87.25</v>
      </c>
      <c r="AO11" s="49">
        <f t="shared" si="8"/>
        <v>86.6875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86.6875</v>
      </c>
      <c r="BC11" s="65" t="str">
        <f t="shared" si="17"/>
        <v/>
      </c>
      <c r="BE11" s="20">
        <f t="shared" si="18"/>
        <v>80.75</v>
      </c>
      <c r="BF11" s="20">
        <f t="shared" si="19"/>
        <v>84.5</v>
      </c>
      <c r="BG11" s="93">
        <f t="shared" si="20"/>
        <v>90.75</v>
      </c>
      <c r="BH11" s="20">
        <f t="shared" si="21"/>
        <v>90.75</v>
      </c>
      <c r="BI11" s="20">
        <f t="shared" si="22"/>
        <v>86.6875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90</v>
      </c>
      <c r="H14" s="20"/>
      <c r="I14" s="20">
        <v>90</v>
      </c>
      <c r="J14" s="20"/>
      <c r="K14" s="20">
        <v>90</v>
      </c>
      <c r="L14" s="21"/>
      <c r="M14" s="19">
        <v>92</v>
      </c>
      <c r="N14" s="20"/>
      <c r="O14" s="20">
        <v>88</v>
      </c>
      <c r="P14" s="20"/>
      <c r="Q14" s="20">
        <v>88</v>
      </c>
      <c r="R14" s="20"/>
      <c r="S14" s="20">
        <v>88</v>
      </c>
      <c r="T14" s="21"/>
      <c r="U14" s="19">
        <v>93</v>
      </c>
      <c r="V14" s="20"/>
      <c r="W14" s="20">
        <v>90</v>
      </c>
      <c r="X14" s="20"/>
      <c r="Y14" s="20">
        <v>90</v>
      </c>
      <c r="Z14" s="20"/>
      <c r="AA14" s="20">
        <v>92</v>
      </c>
      <c r="AB14" s="21"/>
      <c r="AC14" s="1">
        <v>90</v>
      </c>
      <c r="AD14" s="20"/>
      <c r="AE14" s="20">
        <v>90</v>
      </c>
      <c r="AF14" s="20"/>
      <c r="AG14" s="20">
        <v>90</v>
      </c>
      <c r="AH14" s="20"/>
      <c r="AI14" s="20">
        <v>90</v>
      </c>
      <c r="AJ14" s="3"/>
      <c r="AK14" s="45">
        <f t="shared" si="4"/>
        <v>90</v>
      </c>
      <c r="AL14" s="46">
        <f t="shared" si="5"/>
        <v>89</v>
      </c>
      <c r="AM14" s="47">
        <f t="shared" si="6"/>
        <v>91.25</v>
      </c>
      <c r="AN14" s="48">
        <f t="shared" si="7"/>
        <v>90</v>
      </c>
      <c r="AO14" s="49">
        <f t="shared" si="8"/>
        <v>90.0625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90.0625</v>
      </c>
      <c r="BC14" s="65" t="str">
        <f t="shared" si="17"/>
        <v/>
      </c>
      <c r="BE14" s="20">
        <f t="shared" si="18"/>
        <v>91.25</v>
      </c>
      <c r="BF14" s="20">
        <f t="shared" si="19"/>
        <v>89.5</v>
      </c>
      <c r="BG14" s="93">
        <f t="shared" si="20"/>
        <v>89.5</v>
      </c>
      <c r="BH14" s="20">
        <f t="shared" si="21"/>
        <v>90</v>
      </c>
      <c r="BI14" s="20">
        <f t="shared" si="22"/>
        <v>90.0625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78</v>
      </c>
      <c r="F15" s="20"/>
      <c r="G15" s="20">
        <v>75</v>
      </c>
      <c r="H15" s="20"/>
      <c r="I15" s="20">
        <v>73</v>
      </c>
      <c r="J15" s="20"/>
      <c r="K15" s="20">
        <v>70</v>
      </c>
      <c r="L15" s="21"/>
      <c r="M15" s="19">
        <v>80</v>
      </c>
      <c r="N15" s="20"/>
      <c r="O15" s="20">
        <v>78</v>
      </c>
      <c r="P15" s="20"/>
      <c r="Q15" s="20">
        <v>75</v>
      </c>
      <c r="R15" s="20"/>
      <c r="S15" s="20">
        <v>72</v>
      </c>
      <c r="T15" s="21"/>
      <c r="U15" s="19">
        <v>75</v>
      </c>
      <c r="V15" s="20"/>
      <c r="W15" s="20">
        <v>80</v>
      </c>
      <c r="X15" s="20"/>
      <c r="Y15" s="20">
        <v>70</v>
      </c>
      <c r="Z15" s="20"/>
      <c r="AA15" s="20">
        <v>70</v>
      </c>
      <c r="AB15" s="21"/>
      <c r="AC15" s="1">
        <v>80</v>
      </c>
      <c r="AD15" s="20"/>
      <c r="AE15" s="20">
        <v>80</v>
      </c>
      <c r="AF15" s="20"/>
      <c r="AG15" s="20">
        <v>70</v>
      </c>
      <c r="AH15" s="20"/>
      <c r="AI15" s="20">
        <v>74</v>
      </c>
      <c r="AJ15" s="3"/>
      <c r="AK15" s="45">
        <f t="shared" si="4"/>
        <v>74</v>
      </c>
      <c r="AL15" s="46">
        <f t="shared" si="5"/>
        <v>76.25</v>
      </c>
      <c r="AM15" s="47">
        <f t="shared" si="6"/>
        <v>73.75</v>
      </c>
      <c r="AN15" s="48">
        <f t="shared" si="7"/>
        <v>76</v>
      </c>
      <c r="AO15" s="49">
        <f t="shared" si="8"/>
        <v>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75</v>
      </c>
      <c r="BC15" s="65" t="str">
        <f t="shared" si="17"/>
        <v/>
      </c>
      <c r="BE15" s="20">
        <f t="shared" si="18"/>
        <v>78.25</v>
      </c>
      <c r="BF15" s="20">
        <f t="shared" si="19"/>
        <v>78.25</v>
      </c>
      <c r="BG15" s="93">
        <f t="shared" si="20"/>
        <v>72</v>
      </c>
      <c r="BH15" s="20">
        <f t="shared" si="21"/>
        <v>71.5</v>
      </c>
      <c r="BI15" s="20">
        <f t="shared" si="22"/>
        <v>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75</v>
      </c>
      <c r="H17" s="20"/>
      <c r="I17" s="20">
        <v>78</v>
      </c>
      <c r="J17" s="20"/>
      <c r="K17" s="20">
        <v>75</v>
      </c>
      <c r="L17" s="21"/>
      <c r="M17" s="19">
        <v>80</v>
      </c>
      <c r="N17" s="20"/>
      <c r="O17" s="20">
        <v>70</v>
      </c>
      <c r="P17" s="20"/>
      <c r="Q17" s="20">
        <v>78</v>
      </c>
      <c r="R17" s="20"/>
      <c r="S17" s="20">
        <v>73</v>
      </c>
      <c r="T17" s="21"/>
      <c r="U17" s="19">
        <v>78</v>
      </c>
      <c r="V17" s="20"/>
      <c r="W17" s="20">
        <v>76</v>
      </c>
      <c r="X17" s="20"/>
      <c r="Y17" s="20">
        <v>78</v>
      </c>
      <c r="Z17" s="20"/>
      <c r="AA17" s="20">
        <v>77</v>
      </c>
      <c r="AB17" s="21"/>
      <c r="AC17" s="1">
        <v>80</v>
      </c>
      <c r="AD17" s="20"/>
      <c r="AE17" s="20">
        <v>79</v>
      </c>
      <c r="AF17" s="20"/>
      <c r="AG17" s="20">
        <v>78</v>
      </c>
      <c r="AH17" s="20"/>
      <c r="AI17" s="20">
        <v>76</v>
      </c>
      <c r="AJ17" s="3"/>
      <c r="AK17" s="45">
        <f t="shared" si="4"/>
        <v>76.5</v>
      </c>
      <c r="AL17" s="46">
        <f t="shared" si="5"/>
        <v>75.25</v>
      </c>
      <c r="AM17" s="47">
        <f t="shared" si="6"/>
        <v>77.25</v>
      </c>
      <c r="AN17" s="48">
        <f t="shared" si="7"/>
        <v>78.25</v>
      </c>
      <c r="AO17" s="49">
        <f t="shared" si="8"/>
        <v>76.8125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76.8125</v>
      </c>
      <c r="BC17" s="65" t="str">
        <f t="shared" si="17"/>
        <v/>
      </c>
      <c r="BE17" s="20">
        <f t="shared" si="18"/>
        <v>79</v>
      </c>
      <c r="BF17" s="20">
        <f t="shared" si="19"/>
        <v>75</v>
      </c>
      <c r="BG17" s="93">
        <f t="shared" si="20"/>
        <v>78</v>
      </c>
      <c r="BH17" s="20">
        <f t="shared" si="21"/>
        <v>75.25</v>
      </c>
      <c r="BI17" s="20">
        <f t="shared" si="22"/>
        <v>76.8125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88</v>
      </c>
      <c r="F18" s="20"/>
      <c r="G18" s="20">
        <v>90</v>
      </c>
      <c r="H18" s="20"/>
      <c r="I18" s="20">
        <v>88</v>
      </c>
      <c r="J18" s="20"/>
      <c r="K18" s="20">
        <v>90</v>
      </c>
      <c r="L18" s="21"/>
      <c r="M18" s="19">
        <v>90</v>
      </c>
      <c r="N18" s="20"/>
      <c r="O18" s="20">
        <v>95</v>
      </c>
      <c r="P18" s="20"/>
      <c r="Q18" s="20">
        <v>89</v>
      </c>
      <c r="R18" s="20"/>
      <c r="S18" s="20">
        <v>92</v>
      </c>
      <c r="T18" s="21"/>
      <c r="U18" s="19">
        <v>90</v>
      </c>
      <c r="V18" s="20"/>
      <c r="W18" s="20">
        <v>90</v>
      </c>
      <c r="X18" s="20"/>
      <c r="Y18" s="20">
        <v>90</v>
      </c>
      <c r="Z18" s="20"/>
      <c r="AA18" s="20">
        <v>92</v>
      </c>
      <c r="AB18" s="21"/>
      <c r="AC18" s="1">
        <v>90</v>
      </c>
      <c r="AD18" s="20"/>
      <c r="AE18" s="20">
        <v>93</v>
      </c>
      <c r="AF18" s="20"/>
      <c r="AG18" s="20">
        <v>90</v>
      </c>
      <c r="AH18" s="20"/>
      <c r="AI18" s="20">
        <v>90</v>
      </c>
      <c r="AJ18" s="3"/>
      <c r="AK18" s="45">
        <f t="shared" si="4"/>
        <v>89</v>
      </c>
      <c r="AL18" s="46">
        <f t="shared" si="5"/>
        <v>91.5</v>
      </c>
      <c r="AM18" s="47">
        <f t="shared" si="6"/>
        <v>90.5</v>
      </c>
      <c r="AN18" s="48">
        <f t="shared" si="7"/>
        <v>90.75</v>
      </c>
      <c r="AO18" s="49">
        <f t="shared" si="8"/>
        <v>90.4375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90.4375</v>
      </c>
      <c r="BC18" s="65" t="str">
        <f t="shared" si="17"/>
        <v/>
      </c>
      <c r="BE18" s="20">
        <f t="shared" si="18"/>
        <v>89.5</v>
      </c>
      <c r="BF18" s="20">
        <f t="shared" si="19"/>
        <v>92</v>
      </c>
      <c r="BG18" s="93">
        <f t="shared" si="20"/>
        <v>89.25</v>
      </c>
      <c r="BH18" s="20">
        <f t="shared" si="21"/>
        <v>91</v>
      </c>
      <c r="BI18" s="20">
        <f t="shared" si="22"/>
        <v>90.4375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90</v>
      </c>
      <c r="F19" s="20"/>
      <c r="G19" s="20">
        <v>90</v>
      </c>
      <c r="H19" s="20"/>
      <c r="I19" s="20">
        <v>85</v>
      </c>
      <c r="J19" s="20"/>
      <c r="K19" s="20">
        <v>76</v>
      </c>
      <c r="L19" s="21"/>
      <c r="M19" s="19">
        <v>95</v>
      </c>
      <c r="N19" s="20"/>
      <c r="O19" s="20">
        <v>95</v>
      </c>
      <c r="P19" s="20"/>
      <c r="Q19" s="20">
        <v>88</v>
      </c>
      <c r="R19" s="20"/>
      <c r="S19" s="20">
        <v>78</v>
      </c>
      <c r="T19" s="21"/>
      <c r="U19" s="19">
        <v>95</v>
      </c>
      <c r="V19" s="20"/>
      <c r="W19" s="20">
        <v>90</v>
      </c>
      <c r="X19" s="20"/>
      <c r="Y19" s="20">
        <v>85</v>
      </c>
      <c r="Z19" s="20"/>
      <c r="AA19" s="20">
        <v>75</v>
      </c>
      <c r="AB19" s="21"/>
      <c r="AC19" s="1">
        <v>90</v>
      </c>
      <c r="AD19" s="20"/>
      <c r="AE19" s="20">
        <v>92</v>
      </c>
      <c r="AF19" s="20"/>
      <c r="AG19" s="20">
        <v>88</v>
      </c>
      <c r="AH19" s="20"/>
      <c r="AI19" s="20">
        <v>76</v>
      </c>
      <c r="AJ19" s="3"/>
      <c r="AK19" s="45">
        <f t="shared" si="4"/>
        <v>85.25</v>
      </c>
      <c r="AL19" s="46">
        <f t="shared" si="5"/>
        <v>89</v>
      </c>
      <c r="AM19" s="47">
        <f t="shared" si="6"/>
        <v>86.25</v>
      </c>
      <c r="AN19" s="48">
        <f t="shared" si="7"/>
        <v>86.5</v>
      </c>
      <c r="AO19" s="49">
        <f t="shared" si="8"/>
        <v>86.75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86.75</v>
      </c>
      <c r="BC19" s="65" t="str">
        <f t="shared" si="17"/>
        <v/>
      </c>
      <c r="BE19" s="20">
        <f t="shared" si="18"/>
        <v>92.5</v>
      </c>
      <c r="BF19" s="20">
        <f t="shared" si="19"/>
        <v>91.75</v>
      </c>
      <c r="BG19" s="93">
        <f t="shared" si="20"/>
        <v>86.5</v>
      </c>
      <c r="BH19" s="20">
        <f t="shared" si="21"/>
        <v>76.25</v>
      </c>
      <c r="BI19" s="20">
        <f t="shared" si="22"/>
        <v>86.75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75</v>
      </c>
      <c r="F20" s="20"/>
      <c r="G20" s="20">
        <v>75</v>
      </c>
      <c r="H20" s="20"/>
      <c r="I20" s="20">
        <v>75</v>
      </c>
      <c r="J20" s="20"/>
      <c r="K20" s="20">
        <v>75</v>
      </c>
      <c r="L20" s="21"/>
      <c r="M20" s="19">
        <v>76</v>
      </c>
      <c r="N20" s="20"/>
      <c r="O20" s="20">
        <v>70</v>
      </c>
      <c r="P20" s="20"/>
      <c r="Q20" s="20">
        <v>75</v>
      </c>
      <c r="R20" s="20"/>
      <c r="S20" s="20">
        <v>76</v>
      </c>
      <c r="T20" s="21"/>
      <c r="U20" s="19">
        <v>78</v>
      </c>
      <c r="V20" s="20"/>
      <c r="W20" s="20">
        <v>76</v>
      </c>
      <c r="X20" s="20"/>
      <c r="Y20" s="20">
        <v>76</v>
      </c>
      <c r="Z20" s="20"/>
      <c r="AA20" s="20">
        <v>75</v>
      </c>
      <c r="AB20" s="21"/>
      <c r="AC20" s="1">
        <v>75</v>
      </c>
      <c r="AD20" s="20"/>
      <c r="AE20" s="20">
        <v>78</v>
      </c>
      <c r="AF20" s="20"/>
      <c r="AG20" s="20">
        <v>70</v>
      </c>
      <c r="AH20" s="20"/>
      <c r="AI20" s="20">
        <v>76</v>
      </c>
      <c r="AJ20" s="3"/>
      <c r="AK20" s="45">
        <f t="shared" si="4"/>
        <v>75</v>
      </c>
      <c r="AL20" s="46">
        <f t="shared" si="5"/>
        <v>74.25</v>
      </c>
      <c r="AM20" s="47">
        <f t="shared" si="6"/>
        <v>76.25</v>
      </c>
      <c r="AN20" s="48">
        <f t="shared" si="7"/>
        <v>74.75</v>
      </c>
      <c r="AO20" s="49">
        <f t="shared" si="8"/>
        <v>75.0625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75.0625</v>
      </c>
      <c r="BC20" s="65" t="str">
        <f t="shared" si="17"/>
        <v/>
      </c>
      <c r="BE20" s="20">
        <f t="shared" si="18"/>
        <v>76</v>
      </c>
      <c r="BF20" s="20">
        <f t="shared" si="19"/>
        <v>74.75</v>
      </c>
      <c r="BG20" s="93">
        <f t="shared" si="20"/>
        <v>74</v>
      </c>
      <c r="BH20" s="20">
        <f t="shared" si="21"/>
        <v>75.5</v>
      </c>
      <c r="BI20" s="20">
        <f t="shared" si="22"/>
        <v>75.0625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93</v>
      </c>
      <c r="H21" s="20"/>
      <c r="I21" s="20">
        <v>88</v>
      </c>
      <c r="J21" s="20"/>
      <c r="K21" s="20">
        <v>89</v>
      </c>
      <c r="L21" s="21"/>
      <c r="M21" s="19">
        <v>95</v>
      </c>
      <c r="N21" s="20"/>
      <c r="O21" s="20">
        <v>95</v>
      </c>
      <c r="P21" s="20"/>
      <c r="Q21" s="20">
        <v>90</v>
      </c>
      <c r="R21" s="20"/>
      <c r="S21" s="20">
        <v>91</v>
      </c>
      <c r="T21" s="21"/>
      <c r="U21" s="19">
        <v>90</v>
      </c>
      <c r="V21" s="20"/>
      <c r="W21" s="20">
        <v>90</v>
      </c>
      <c r="X21" s="20"/>
      <c r="Y21" s="20">
        <v>90</v>
      </c>
      <c r="Z21" s="20"/>
      <c r="AA21" s="20">
        <v>90</v>
      </c>
      <c r="AB21" s="21"/>
      <c r="AC21" s="1">
        <v>93</v>
      </c>
      <c r="AD21" s="20"/>
      <c r="AE21" s="20">
        <v>93</v>
      </c>
      <c r="AF21" s="20"/>
      <c r="AG21" s="20">
        <v>88</v>
      </c>
      <c r="AH21" s="20"/>
      <c r="AI21" s="20">
        <v>91</v>
      </c>
      <c r="AJ21" s="3"/>
      <c r="AK21" s="45">
        <f t="shared" si="4"/>
        <v>90</v>
      </c>
      <c r="AL21" s="46">
        <f t="shared" si="5"/>
        <v>92.75</v>
      </c>
      <c r="AM21" s="47">
        <f t="shared" si="6"/>
        <v>90</v>
      </c>
      <c r="AN21" s="48">
        <f t="shared" si="7"/>
        <v>91.25</v>
      </c>
      <c r="AO21" s="49">
        <f t="shared" si="8"/>
        <v>91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91</v>
      </c>
      <c r="BC21" s="65" t="str">
        <f t="shared" si="17"/>
        <v/>
      </c>
      <c r="BE21" s="20">
        <f t="shared" si="18"/>
        <v>92</v>
      </c>
      <c r="BF21" s="20">
        <f t="shared" si="19"/>
        <v>92.75</v>
      </c>
      <c r="BG21" s="93">
        <f t="shared" si="20"/>
        <v>89</v>
      </c>
      <c r="BH21" s="20">
        <f t="shared" si="21"/>
        <v>90.25</v>
      </c>
      <c r="BI21" s="20">
        <f t="shared" si="22"/>
        <v>91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80</v>
      </c>
      <c r="F22" s="20"/>
      <c r="G22" s="20">
        <v>75</v>
      </c>
      <c r="H22" s="20"/>
      <c r="I22" s="20">
        <v>78</v>
      </c>
      <c r="J22" s="20"/>
      <c r="K22" s="20">
        <v>76</v>
      </c>
      <c r="L22" s="21"/>
      <c r="M22" s="19">
        <v>85</v>
      </c>
      <c r="N22" s="20"/>
      <c r="O22" s="20">
        <v>75</v>
      </c>
      <c r="P22" s="20"/>
      <c r="Q22" s="20">
        <v>78</v>
      </c>
      <c r="R22" s="20"/>
      <c r="S22" s="20">
        <v>78</v>
      </c>
      <c r="T22" s="21"/>
      <c r="U22" s="19">
        <v>80</v>
      </c>
      <c r="V22" s="20"/>
      <c r="W22" s="20">
        <v>80</v>
      </c>
      <c r="X22" s="20"/>
      <c r="Y22" s="20">
        <v>78</v>
      </c>
      <c r="Z22" s="20"/>
      <c r="AA22" s="20">
        <v>78</v>
      </c>
      <c r="AB22" s="21"/>
      <c r="AC22" s="1">
        <v>85</v>
      </c>
      <c r="AD22" s="20"/>
      <c r="AE22" s="20">
        <v>80</v>
      </c>
      <c r="AF22" s="20"/>
      <c r="AG22" s="20">
        <v>80</v>
      </c>
      <c r="AH22" s="20"/>
      <c r="AI22" s="20">
        <v>75</v>
      </c>
      <c r="AJ22" s="3"/>
      <c r="AK22" s="45">
        <f t="shared" si="4"/>
        <v>77.25</v>
      </c>
      <c r="AL22" s="46">
        <f t="shared" si="5"/>
        <v>79</v>
      </c>
      <c r="AM22" s="47">
        <f t="shared" si="6"/>
        <v>79</v>
      </c>
      <c r="AN22" s="48">
        <f t="shared" si="7"/>
        <v>80</v>
      </c>
      <c r="AO22" s="49">
        <f t="shared" si="8"/>
        <v>78.8125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78.8125</v>
      </c>
      <c r="BC22" s="65" t="str">
        <f t="shared" si="17"/>
        <v/>
      </c>
      <c r="BE22" s="20">
        <f t="shared" si="18"/>
        <v>82.5</v>
      </c>
      <c r="BF22" s="20">
        <f t="shared" si="19"/>
        <v>77.5</v>
      </c>
      <c r="BG22" s="93">
        <f t="shared" si="20"/>
        <v>78.5</v>
      </c>
      <c r="BH22" s="20">
        <f t="shared" si="21"/>
        <v>76.75</v>
      </c>
      <c r="BI22" s="20">
        <f t="shared" si="22"/>
        <v>78.8125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80</v>
      </c>
      <c r="F25" s="20"/>
      <c r="G25" s="20">
        <v>82</v>
      </c>
      <c r="H25" s="20"/>
      <c r="I25" s="20">
        <v>80</v>
      </c>
      <c r="J25" s="20"/>
      <c r="K25" s="20">
        <v>81</v>
      </c>
      <c r="L25" s="21"/>
      <c r="M25" s="19">
        <v>81</v>
      </c>
      <c r="N25" s="20"/>
      <c r="O25" s="20">
        <v>82</v>
      </c>
      <c r="P25" s="20"/>
      <c r="Q25" s="20">
        <v>80</v>
      </c>
      <c r="R25" s="20"/>
      <c r="S25" s="20">
        <v>80</v>
      </c>
      <c r="T25" s="21"/>
      <c r="U25" s="19">
        <v>81</v>
      </c>
      <c r="V25" s="20"/>
      <c r="W25" s="20">
        <v>82</v>
      </c>
      <c r="X25" s="20"/>
      <c r="Y25" s="20">
        <v>80</v>
      </c>
      <c r="Z25" s="20"/>
      <c r="AA25" s="20">
        <v>80</v>
      </c>
      <c r="AB25" s="21"/>
      <c r="AC25" s="1">
        <v>84</v>
      </c>
      <c r="AD25" s="20"/>
      <c r="AE25" s="20">
        <v>86</v>
      </c>
      <c r="AF25" s="20"/>
      <c r="AG25" s="20">
        <v>86</v>
      </c>
      <c r="AH25" s="20"/>
      <c r="AI25" s="20">
        <v>87</v>
      </c>
      <c r="AJ25" s="3"/>
      <c r="AK25" s="45">
        <f t="shared" si="4"/>
        <v>80.75</v>
      </c>
      <c r="AL25" s="46">
        <f t="shared" si="5"/>
        <v>80.75</v>
      </c>
      <c r="AM25" s="47">
        <f t="shared" si="6"/>
        <v>80.75</v>
      </c>
      <c r="AN25" s="48">
        <f t="shared" si="7"/>
        <v>85.75</v>
      </c>
      <c r="AO25" s="49">
        <f t="shared" si="8"/>
        <v>82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82</v>
      </c>
      <c r="BC25" s="65" t="str">
        <f t="shared" si="17"/>
        <v/>
      </c>
      <c r="BE25" s="20">
        <f t="shared" si="18"/>
        <v>81.5</v>
      </c>
      <c r="BF25" s="20">
        <f t="shared" si="19"/>
        <v>83</v>
      </c>
      <c r="BG25" s="93">
        <f t="shared" si="20"/>
        <v>81.5</v>
      </c>
      <c r="BH25" s="20">
        <f t="shared" si="21"/>
        <v>82</v>
      </c>
      <c r="BI25" s="20">
        <f t="shared" si="22"/>
        <v>82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73</v>
      </c>
      <c r="F26" s="20"/>
      <c r="G26" s="20">
        <v>75</v>
      </c>
      <c r="H26" s="20"/>
      <c r="I26" s="20">
        <v>73</v>
      </c>
      <c r="J26" s="20"/>
      <c r="K26" s="20">
        <v>74</v>
      </c>
      <c r="L26" s="21"/>
      <c r="M26" s="19">
        <v>75</v>
      </c>
      <c r="N26" s="20"/>
      <c r="O26" s="20">
        <v>76</v>
      </c>
      <c r="P26" s="20"/>
      <c r="Q26" s="20">
        <v>74</v>
      </c>
      <c r="R26" s="20"/>
      <c r="S26" s="20">
        <v>75</v>
      </c>
      <c r="T26" s="21"/>
      <c r="U26" s="19">
        <v>73</v>
      </c>
      <c r="V26" s="20"/>
      <c r="W26" s="20">
        <v>70</v>
      </c>
      <c r="X26" s="20"/>
      <c r="Y26" s="20">
        <v>75</v>
      </c>
      <c r="Z26" s="20"/>
      <c r="AA26" s="20">
        <v>73</v>
      </c>
      <c r="AB26" s="21"/>
      <c r="AC26" s="1">
        <v>74</v>
      </c>
      <c r="AD26" s="20"/>
      <c r="AE26" s="20">
        <v>75</v>
      </c>
      <c r="AF26" s="20"/>
      <c r="AG26" s="20">
        <v>75</v>
      </c>
      <c r="AH26" s="20"/>
      <c r="AI26" s="20">
        <v>76</v>
      </c>
      <c r="AJ26" s="3"/>
      <c r="AK26" s="45">
        <f t="shared" si="4"/>
        <v>73.75</v>
      </c>
      <c r="AL26" s="46">
        <f t="shared" si="5"/>
        <v>75</v>
      </c>
      <c r="AM26" s="47">
        <f t="shared" si="6"/>
        <v>72.75</v>
      </c>
      <c r="AN26" s="48">
        <f t="shared" si="7"/>
        <v>75</v>
      </c>
      <c r="AO26" s="49">
        <f t="shared" si="8"/>
        <v>74.125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74.125</v>
      </c>
      <c r="BC26" s="65" t="str">
        <f t="shared" si="17"/>
        <v/>
      </c>
      <c r="BE26" s="20">
        <f t="shared" si="18"/>
        <v>73.75</v>
      </c>
      <c r="BF26" s="20">
        <f t="shared" si="19"/>
        <v>74</v>
      </c>
      <c r="BG26" s="93">
        <f t="shared" si="20"/>
        <v>74.25</v>
      </c>
      <c r="BH26" s="20">
        <f t="shared" si="21"/>
        <v>74.5</v>
      </c>
      <c r="BI26" s="20">
        <f t="shared" si="22"/>
        <v>74.125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98</v>
      </c>
      <c r="F28" s="20"/>
      <c r="G28" s="20">
        <v>97</v>
      </c>
      <c r="H28" s="20"/>
      <c r="I28" s="20">
        <v>90</v>
      </c>
      <c r="J28" s="20"/>
      <c r="K28" s="20">
        <v>95</v>
      </c>
      <c r="L28" s="21"/>
      <c r="M28" s="19">
        <v>99</v>
      </c>
      <c r="N28" s="20"/>
      <c r="O28" s="20">
        <v>98</v>
      </c>
      <c r="P28" s="20"/>
      <c r="Q28" s="20">
        <v>92</v>
      </c>
      <c r="R28" s="20"/>
      <c r="S28" s="20">
        <v>96</v>
      </c>
      <c r="T28" s="21"/>
      <c r="U28" s="19">
        <v>98</v>
      </c>
      <c r="V28" s="20"/>
      <c r="W28" s="20">
        <v>98</v>
      </c>
      <c r="X28" s="20"/>
      <c r="Y28" s="20">
        <v>92</v>
      </c>
      <c r="Z28" s="20"/>
      <c r="AA28" s="20">
        <v>97</v>
      </c>
      <c r="AB28" s="21"/>
      <c r="AC28" s="1">
        <v>99</v>
      </c>
      <c r="AD28" s="20"/>
      <c r="AE28" s="20">
        <v>99</v>
      </c>
      <c r="AF28" s="20"/>
      <c r="AG28" s="20">
        <v>90</v>
      </c>
      <c r="AH28" s="20"/>
      <c r="AI28" s="20">
        <v>85</v>
      </c>
      <c r="AJ28" s="3"/>
      <c r="AK28" s="45">
        <f t="shared" si="4"/>
        <v>95</v>
      </c>
      <c r="AL28" s="46">
        <f t="shared" si="5"/>
        <v>96.25</v>
      </c>
      <c r="AM28" s="47">
        <f t="shared" si="6"/>
        <v>96.25</v>
      </c>
      <c r="AN28" s="48">
        <f t="shared" si="7"/>
        <v>93.25</v>
      </c>
      <c r="AO28" s="49">
        <f t="shared" si="8"/>
        <v>95.1875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95.1875</v>
      </c>
      <c r="BC28" s="65" t="str">
        <f t="shared" si="17"/>
        <v/>
      </c>
      <c r="BE28" s="20">
        <f t="shared" si="18"/>
        <v>98.5</v>
      </c>
      <c r="BF28" s="20">
        <f t="shared" si="19"/>
        <v>98</v>
      </c>
      <c r="BG28" s="93">
        <f t="shared" si="20"/>
        <v>91</v>
      </c>
      <c r="BH28" s="20">
        <f t="shared" si="21"/>
        <v>93.25</v>
      </c>
      <c r="BI28" s="20">
        <f t="shared" si="22"/>
        <v>95.1875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88</v>
      </c>
      <c r="F29" s="20"/>
      <c r="G29" s="20">
        <v>80</v>
      </c>
      <c r="H29" s="20"/>
      <c r="I29" s="20">
        <v>81</v>
      </c>
      <c r="J29" s="20"/>
      <c r="K29" s="20">
        <v>80</v>
      </c>
      <c r="L29" s="21"/>
      <c r="M29" s="19">
        <v>80</v>
      </c>
      <c r="N29" s="20"/>
      <c r="O29" s="20">
        <v>81</v>
      </c>
      <c r="P29" s="20"/>
      <c r="Q29" s="20">
        <v>83</v>
      </c>
      <c r="R29" s="20"/>
      <c r="S29" s="20">
        <v>80</v>
      </c>
      <c r="T29" s="21"/>
      <c r="U29" s="19">
        <v>80</v>
      </c>
      <c r="V29" s="20"/>
      <c r="W29" s="20">
        <v>80</v>
      </c>
      <c r="X29" s="20"/>
      <c r="Y29" s="20">
        <v>81</v>
      </c>
      <c r="Z29" s="20"/>
      <c r="AA29" s="20">
        <v>81</v>
      </c>
      <c r="AB29" s="21"/>
      <c r="AC29" s="1">
        <v>80</v>
      </c>
      <c r="AD29" s="20"/>
      <c r="AE29" s="20">
        <v>80</v>
      </c>
      <c r="AF29" s="20"/>
      <c r="AG29" s="20">
        <v>83</v>
      </c>
      <c r="AH29" s="20"/>
      <c r="AI29" s="20">
        <v>82</v>
      </c>
      <c r="AJ29" s="3"/>
      <c r="AK29" s="45">
        <f t="shared" si="4"/>
        <v>82.25</v>
      </c>
      <c r="AL29" s="46">
        <f t="shared" si="5"/>
        <v>81</v>
      </c>
      <c r="AM29" s="47">
        <f t="shared" si="6"/>
        <v>80.5</v>
      </c>
      <c r="AN29" s="48">
        <f t="shared" si="7"/>
        <v>81.25</v>
      </c>
      <c r="AO29" s="49">
        <f t="shared" si="8"/>
        <v>81.25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81.25</v>
      </c>
      <c r="BC29" s="65" t="str">
        <f t="shared" si="17"/>
        <v/>
      </c>
      <c r="BE29" s="20">
        <f t="shared" si="18"/>
        <v>82</v>
      </c>
      <c r="BF29" s="20">
        <f t="shared" si="19"/>
        <v>80.25</v>
      </c>
      <c r="BG29" s="93">
        <f t="shared" si="20"/>
        <v>82</v>
      </c>
      <c r="BH29" s="20">
        <f t="shared" si="21"/>
        <v>80.75</v>
      </c>
      <c r="BI29" s="20">
        <f t="shared" si="22"/>
        <v>81.25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96</v>
      </c>
      <c r="F30" s="20"/>
      <c r="G30" s="20">
        <v>95</v>
      </c>
      <c r="H30" s="20"/>
      <c r="I30" s="20">
        <v>88</v>
      </c>
      <c r="J30" s="20"/>
      <c r="K30" s="20">
        <v>90</v>
      </c>
      <c r="L30" s="21"/>
      <c r="M30" s="19">
        <v>90</v>
      </c>
      <c r="N30" s="20"/>
      <c r="O30" s="20">
        <v>96</v>
      </c>
      <c r="P30" s="20"/>
      <c r="Q30" s="20">
        <v>90</v>
      </c>
      <c r="R30" s="20"/>
      <c r="S30" s="20">
        <v>88</v>
      </c>
      <c r="T30" s="21"/>
      <c r="U30" s="19">
        <v>90</v>
      </c>
      <c r="V30" s="20"/>
      <c r="W30" s="20">
        <v>90</v>
      </c>
      <c r="X30" s="20"/>
      <c r="Y30" s="20">
        <v>90</v>
      </c>
      <c r="Z30" s="20"/>
      <c r="AA30" s="20">
        <v>90</v>
      </c>
      <c r="AB30" s="21"/>
      <c r="AC30" s="1">
        <v>90</v>
      </c>
      <c r="AD30" s="20"/>
      <c r="AE30" s="20">
        <v>95</v>
      </c>
      <c r="AF30" s="20"/>
      <c r="AG30" s="20">
        <v>88</v>
      </c>
      <c r="AH30" s="20"/>
      <c r="AI30" s="20">
        <v>90</v>
      </c>
      <c r="AJ30" s="3"/>
      <c r="AK30" s="45">
        <f t="shared" si="4"/>
        <v>92.25</v>
      </c>
      <c r="AL30" s="46">
        <f t="shared" si="5"/>
        <v>91</v>
      </c>
      <c r="AM30" s="47">
        <f t="shared" si="6"/>
        <v>90</v>
      </c>
      <c r="AN30" s="48">
        <f t="shared" si="7"/>
        <v>90.75</v>
      </c>
      <c r="AO30" s="49">
        <f t="shared" si="8"/>
        <v>91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91</v>
      </c>
      <c r="BC30" s="65" t="str">
        <f t="shared" si="17"/>
        <v/>
      </c>
      <c r="BE30" s="20">
        <f t="shared" si="18"/>
        <v>91.5</v>
      </c>
      <c r="BF30" s="20">
        <f t="shared" si="19"/>
        <v>94</v>
      </c>
      <c r="BG30" s="93">
        <f t="shared" si="20"/>
        <v>89</v>
      </c>
      <c r="BH30" s="20">
        <f t="shared" si="21"/>
        <v>89.5</v>
      </c>
      <c r="BI30" s="20">
        <f t="shared" si="22"/>
        <v>91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78</v>
      </c>
      <c r="F32" s="20"/>
      <c r="G32" s="20">
        <v>82</v>
      </c>
      <c r="H32" s="20"/>
      <c r="I32" s="20">
        <v>75</v>
      </c>
      <c r="J32" s="20"/>
      <c r="K32" s="20">
        <v>80</v>
      </c>
      <c r="L32" s="21"/>
      <c r="M32" s="19">
        <v>81</v>
      </c>
      <c r="N32" s="20"/>
      <c r="O32" s="20">
        <v>79</v>
      </c>
      <c r="P32" s="20"/>
      <c r="Q32" s="20">
        <v>80</v>
      </c>
      <c r="R32" s="20"/>
      <c r="S32" s="20">
        <v>80</v>
      </c>
      <c r="T32" s="21"/>
      <c r="U32" s="19">
        <v>81</v>
      </c>
      <c r="V32" s="20"/>
      <c r="W32" s="20">
        <v>82</v>
      </c>
      <c r="X32" s="20"/>
      <c r="Y32" s="20">
        <v>76</v>
      </c>
      <c r="Z32" s="20"/>
      <c r="AA32" s="20">
        <v>76</v>
      </c>
      <c r="AB32" s="21"/>
      <c r="AC32" s="1">
        <v>78</v>
      </c>
      <c r="AD32" s="20"/>
      <c r="AE32" s="20">
        <v>76</v>
      </c>
      <c r="AF32" s="20"/>
      <c r="AG32" s="20">
        <v>75</v>
      </c>
      <c r="AH32" s="20"/>
      <c r="AI32" s="20">
        <v>75</v>
      </c>
      <c r="AJ32" s="3"/>
      <c r="AK32" s="45">
        <f t="shared" si="4"/>
        <v>78.75</v>
      </c>
      <c r="AL32" s="46">
        <f t="shared" si="5"/>
        <v>80</v>
      </c>
      <c r="AM32" s="47">
        <f t="shared" si="6"/>
        <v>78.75</v>
      </c>
      <c r="AN32" s="48">
        <f t="shared" si="7"/>
        <v>76</v>
      </c>
      <c r="AO32" s="49">
        <f t="shared" si="8"/>
        <v>78.375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78.375</v>
      </c>
      <c r="BC32" s="65" t="str">
        <f t="shared" si="17"/>
        <v/>
      </c>
      <c r="BE32" s="20">
        <f t="shared" si="18"/>
        <v>79.5</v>
      </c>
      <c r="BF32" s="20">
        <f t="shared" si="19"/>
        <v>79.75</v>
      </c>
      <c r="BG32" s="93">
        <f t="shared" si="20"/>
        <v>76.5</v>
      </c>
      <c r="BH32" s="20">
        <f t="shared" si="21"/>
        <v>77.75</v>
      </c>
      <c r="BI32" s="20">
        <f t="shared" si="22"/>
        <v>78.375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80</v>
      </c>
      <c r="F33" s="20"/>
      <c r="G33" s="20">
        <v>80</v>
      </c>
      <c r="H33" s="20"/>
      <c r="I33" s="20">
        <v>80</v>
      </c>
      <c r="J33" s="20"/>
      <c r="K33" s="20">
        <v>86</v>
      </c>
      <c r="L33" s="21"/>
      <c r="M33" s="19">
        <v>81</v>
      </c>
      <c r="N33" s="20"/>
      <c r="O33" s="20">
        <v>81</v>
      </c>
      <c r="P33" s="20"/>
      <c r="Q33" s="20">
        <v>81</v>
      </c>
      <c r="R33" s="20"/>
      <c r="S33" s="20">
        <v>87</v>
      </c>
      <c r="T33" s="21"/>
      <c r="U33" s="19">
        <v>80</v>
      </c>
      <c r="V33" s="20"/>
      <c r="W33" s="20">
        <v>80</v>
      </c>
      <c r="X33" s="20"/>
      <c r="Y33" s="20">
        <v>80</v>
      </c>
      <c r="Z33" s="20"/>
      <c r="AA33" s="20">
        <v>88</v>
      </c>
      <c r="AB33" s="21"/>
      <c r="AC33" s="1">
        <v>80</v>
      </c>
      <c r="AD33" s="20"/>
      <c r="AE33" s="20">
        <v>81</v>
      </c>
      <c r="AF33" s="20"/>
      <c r="AG33" s="20">
        <v>81</v>
      </c>
      <c r="AH33" s="20"/>
      <c r="AI33" s="20">
        <v>87</v>
      </c>
      <c r="AJ33" s="3"/>
      <c r="AK33" s="45">
        <f t="shared" si="4"/>
        <v>81.5</v>
      </c>
      <c r="AL33" s="46">
        <f t="shared" si="5"/>
        <v>82.5</v>
      </c>
      <c r="AM33" s="47">
        <f t="shared" si="6"/>
        <v>82</v>
      </c>
      <c r="AN33" s="48">
        <f t="shared" si="7"/>
        <v>82.25</v>
      </c>
      <c r="AO33" s="49">
        <f t="shared" si="8"/>
        <v>82.0625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82.0625</v>
      </c>
      <c r="BC33" s="65" t="str">
        <f t="shared" si="17"/>
        <v/>
      </c>
      <c r="BE33" s="20">
        <f t="shared" si="18"/>
        <v>80.25</v>
      </c>
      <c r="BF33" s="20">
        <f t="shared" si="19"/>
        <v>80.5</v>
      </c>
      <c r="BG33" s="93">
        <f t="shared" si="20"/>
        <v>80.5</v>
      </c>
      <c r="BH33" s="20">
        <f t="shared" si="21"/>
        <v>87</v>
      </c>
      <c r="BI33" s="20">
        <f t="shared" si="22"/>
        <v>82.0625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80</v>
      </c>
      <c r="F34" s="20"/>
      <c r="G34" s="20">
        <v>85</v>
      </c>
      <c r="H34" s="20"/>
      <c r="I34" s="20">
        <v>85</v>
      </c>
      <c r="J34" s="20"/>
      <c r="K34" s="20">
        <v>80</v>
      </c>
      <c r="L34" s="21"/>
      <c r="M34" s="19">
        <v>78</v>
      </c>
      <c r="N34" s="20"/>
      <c r="O34" s="20">
        <v>80</v>
      </c>
      <c r="P34" s="20"/>
      <c r="Q34" s="20">
        <v>82</v>
      </c>
      <c r="R34" s="20"/>
      <c r="S34" s="20">
        <v>80</v>
      </c>
      <c r="T34" s="21"/>
      <c r="U34" s="19">
        <v>80</v>
      </c>
      <c r="V34" s="20"/>
      <c r="W34" s="20">
        <v>81</v>
      </c>
      <c r="X34" s="20"/>
      <c r="Y34" s="20">
        <v>80</v>
      </c>
      <c r="Z34" s="20"/>
      <c r="AA34" s="20">
        <v>82</v>
      </c>
      <c r="AB34" s="21"/>
      <c r="AC34" s="1">
        <v>80</v>
      </c>
      <c r="AD34" s="20"/>
      <c r="AE34" s="20">
        <v>81</v>
      </c>
      <c r="AF34" s="20"/>
      <c r="AG34" s="20">
        <v>81</v>
      </c>
      <c r="AH34" s="20"/>
      <c r="AI34" s="20">
        <v>80</v>
      </c>
      <c r="AJ34" s="3"/>
      <c r="AK34" s="45">
        <f t="shared" si="4"/>
        <v>82.5</v>
      </c>
      <c r="AL34" s="46">
        <f t="shared" si="5"/>
        <v>80</v>
      </c>
      <c r="AM34" s="47">
        <f t="shared" si="6"/>
        <v>80.75</v>
      </c>
      <c r="AN34" s="48">
        <f t="shared" si="7"/>
        <v>80.5</v>
      </c>
      <c r="AO34" s="49">
        <f t="shared" si="8"/>
        <v>80.9375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80.9375</v>
      </c>
      <c r="BC34" s="65" t="str">
        <f t="shared" si="17"/>
        <v/>
      </c>
      <c r="BE34" s="20">
        <f t="shared" si="18"/>
        <v>79.5</v>
      </c>
      <c r="BF34" s="20">
        <f t="shared" si="19"/>
        <v>81.75</v>
      </c>
      <c r="BG34" s="93">
        <f t="shared" si="20"/>
        <v>82</v>
      </c>
      <c r="BH34" s="20">
        <f t="shared" si="21"/>
        <v>80.5</v>
      </c>
      <c r="BI34" s="20">
        <f t="shared" si="22"/>
        <v>80.9375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88</v>
      </c>
      <c r="H35" s="20"/>
      <c r="I35" s="20">
        <v>90</v>
      </c>
      <c r="J35" s="20"/>
      <c r="K35" s="20">
        <v>90</v>
      </c>
      <c r="L35" s="21"/>
      <c r="M35" s="19">
        <v>95</v>
      </c>
      <c r="N35" s="20"/>
      <c r="O35" s="20">
        <v>90</v>
      </c>
      <c r="P35" s="20"/>
      <c r="Q35" s="20">
        <v>91</v>
      </c>
      <c r="R35" s="20"/>
      <c r="S35" s="20">
        <v>90</v>
      </c>
      <c r="T35" s="21"/>
      <c r="U35" s="19">
        <v>90</v>
      </c>
      <c r="V35" s="20"/>
      <c r="W35" s="20">
        <v>90</v>
      </c>
      <c r="X35" s="20"/>
      <c r="Y35" s="20">
        <v>90</v>
      </c>
      <c r="Z35" s="20"/>
      <c r="AA35" s="20">
        <v>94</v>
      </c>
      <c r="AB35" s="21"/>
      <c r="AC35" s="1">
        <v>90</v>
      </c>
      <c r="AD35" s="20"/>
      <c r="AE35" s="20">
        <v>88</v>
      </c>
      <c r="AF35" s="20"/>
      <c r="AG35" s="20">
        <v>91</v>
      </c>
      <c r="AH35" s="20"/>
      <c r="AI35" s="20">
        <v>94</v>
      </c>
      <c r="AJ35" s="3"/>
      <c r="AK35" s="45">
        <f t="shared" si="4"/>
        <v>89.5</v>
      </c>
      <c r="AL35" s="46">
        <f t="shared" si="5"/>
        <v>91.5</v>
      </c>
      <c r="AM35" s="47">
        <f t="shared" si="6"/>
        <v>91</v>
      </c>
      <c r="AN35" s="48">
        <f t="shared" si="7"/>
        <v>90.75</v>
      </c>
      <c r="AO35" s="49">
        <f t="shared" si="8"/>
        <v>90.6875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90.6875</v>
      </c>
      <c r="BC35" s="65" t="str">
        <f t="shared" si="17"/>
        <v/>
      </c>
      <c r="BE35" s="20">
        <f t="shared" si="18"/>
        <v>91.25</v>
      </c>
      <c r="BF35" s="20">
        <f t="shared" si="19"/>
        <v>89</v>
      </c>
      <c r="BG35" s="93">
        <f t="shared" si="20"/>
        <v>90.5</v>
      </c>
      <c r="BH35" s="20">
        <f t="shared" si="21"/>
        <v>92</v>
      </c>
      <c r="BI35" s="20">
        <f t="shared" si="22"/>
        <v>90.6875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80</v>
      </c>
      <c r="F37" s="20"/>
      <c r="G37" s="20">
        <v>85</v>
      </c>
      <c r="H37" s="20"/>
      <c r="I37" s="20">
        <v>80</v>
      </c>
      <c r="J37" s="20"/>
      <c r="K37" s="20">
        <v>87</v>
      </c>
      <c r="L37" s="21"/>
      <c r="M37" s="19">
        <v>81</v>
      </c>
      <c r="N37" s="20"/>
      <c r="O37" s="20">
        <v>84</v>
      </c>
      <c r="P37" s="20"/>
      <c r="Q37" s="20">
        <v>81</v>
      </c>
      <c r="R37" s="20"/>
      <c r="S37" s="20">
        <v>87</v>
      </c>
      <c r="T37" s="3"/>
      <c r="U37" s="19">
        <v>80</v>
      </c>
      <c r="V37" s="20"/>
      <c r="W37" s="20">
        <v>80</v>
      </c>
      <c r="X37" s="20"/>
      <c r="Y37" s="20">
        <v>82</v>
      </c>
      <c r="Z37" s="20"/>
      <c r="AA37" s="20">
        <v>83</v>
      </c>
      <c r="AB37" s="21"/>
      <c r="AC37" s="1">
        <v>80</v>
      </c>
      <c r="AD37" s="20"/>
      <c r="AE37" s="20">
        <v>80</v>
      </c>
      <c r="AF37" s="20"/>
      <c r="AG37" s="20">
        <v>81</v>
      </c>
      <c r="AH37" s="20"/>
      <c r="AI37" s="20">
        <v>84</v>
      </c>
      <c r="AJ37" s="3"/>
      <c r="AK37" s="45">
        <f t="shared" si="4"/>
        <v>83</v>
      </c>
      <c r="AL37" s="46">
        <f t="shared" si="5"/>
        <v>83.25</v>
      </c>
      <c r="AM37" s="47">
        <f t="shared" si="6"/>
        <v>81.25</v>
      </c>
      <c r="AN37" s="48">
        <f t="shared" si="7"/>
        <v>81.25</v>
      </c>
      <c r="AO37" s="49">
        <f t="shared" si="8"/>
        <v>82.1875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82.1875</v>
      </c>
      <c r="BC37" s="65" t="str">
        <f t="shared" si="17"/>
        <v/>
      </c>
      <c r="BE37" s="20">
        <f t="shared" si="18"/>
        <v>80.25</v>
      </c>
      <c r="BF37" s="20">
        <f t="shared" si="19"/>
        <v>82.25</v>
      </c>
      <c r="BG37" s="93">
        <f t="shared" si="20"/>
        <v>81</v>
      </c>
      <c r="BH37" s="20">
        <f t="shared" si="21"/>
        <v>85.25</v>
      </c>
      <c r="BI37" s="20">
        <f t="shared" si="22"/>
        <v>82.1875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78</v>
      </c>
      <c r="F38" s="20"/>
      <c r="G38" s="20">
        <v>82</v>
      </c>
      <c r="H38" s="20"/>
      <c r="I38" s="20">
        <v>75</v>
      </c>
      <c r="J38" s="20"/>
      <c r="K38" s="20">
        <v>80</v>
      </c>
      <c r="L38" s="21"/>
      <c r="M38" s="19">
        <v>81</v>
      </c>
      <c r="N38" s="20"/>
      <c r="O38" s="20">
        <v>79</v>
      </c>
      <c r="P38" s="20"/>
      <c r="Q38" s="20">
        <v>80</v>
      </c>
      <c r="R38" s="20"/>
      <c r="S38" s="20">
        <v>80</v>
      </c>
      <c r="T38" s="21"/>
      <c r="U38" s="19">
        <v>81</v>
      </c>
      <c r="V38" s="20"/>
      <c r="W38" s="20">
        <v>82</v>
      </c>
      <c r="X38" s="20"/>
      <c r="Y38" s="20">
        <v>76</v>
      </c>
      <c r="Z38" s="20"/>
      <c r="AA38" s="20">
        <v>76</v>
      </c>
      <c r="AB38" s="21"/>
      <c r="AC38" s="1">
        <v>78</v>
      </c>
      <c r="AD38" s="20"/>
      <c r="AE38" s="20">
        <v>76</v>
      </c>
      <c r="AF38" s="20"/>
      <c r="AG38" s="20">
        <v>75</v>
      </c>
      <c r="AH38" s="20"/>
      <c r="AI38" s="20">
        <v>75</v>
      </c>
      <c r="AJ38" s="3"/>
      <c r="AK38" s="45">
        <f t="shared" si="4"/>
        <v>78.75</v>
      </c>
      <c r="AL38" s="46">
        <f t="shared" si="5"/>
        <v>80</v>
      </c>
      <c r="AM38" s="47">
        <f t="shared" si="6"/>
        <v>78.75</v>
      </c>
      <c r="AN38" s="48">
        <f t="shared" si="7"/>
        <v>76</v>
      </c>
      <c r="AO38" s="49">
        <f t="shared" si="8"/>
        <v>78.375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78.375</v>
      </c>
      <c r="BC38" s="65" t="str">
        <f t="shared" si="17"/>
        <v/>
      </c>
      <c r="BE38" s="20">
        <f t="shared" si="18"/>
        <v>79.5</v>
      </c>
      <c r="BF38" s="20">
        <f t="shared" si="19"/>
        <v>79.75</v>
      </c>
      <c r="BG38" s="93">
        <f t="shared" si="20"/>
        <v>76.5</v>
      </c>
      <c r="BH38" s="20">
        <f t="shared" si="21"/>
        <v>77.75</v>
      </c>
      <c r="BI38" s="20">
        <f t="shared" si="22"/>
        <v>78.375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80</v>
      </c>
      <c r="F39" s="20"/>
      <c r="G39" s="20">
        <v>80</v>
      </c>
      <c r="H39" s="20"/>
      <c r="I39" s="20">
        <v>80</v>
      </c>
      <c r="J39" s="20"/>
      <c r="K39" s="20">
        <v>86</v>
      </c>
      <c r="L39" s="21"/>
      <c r="M39" s="19">
        <v>81</v>
      </c>
      <c r="N39" s="20"/>
      <c r="O39" s="20">
        <v>81</v>
      </c>
      <c r="P39" s="20"/>
      <c r="Q39" s="20">
        <v>81</v>
      </c>
      <c r="R39" s="20"/>
      <c r="S39" s="20">
        <v>87</v>
      </c>
      <c r="T39" s="21"/>
      <c r="U39" s="19">
        <v>80</v>
      </c>
      <c r="V39" s="20"/>
      <c r="W39" s="20">
        <v>80</v>
      </c>
      <c r="X39" s="20"/>
      <c r="Y39" s="20">
        <v>80</v>
      </c>
      <c r="Z39" s="20"/>
      <c r="AA39" s="20">
        <v>88</v>
      </c>
      <c r="AB39" s="21"/>
      <c r="AC39" s="1">
        <v>80</v>
      </c>
      <c r="AD39" s="20"/>
      <c r="AE39" s="20">
        <v>81</v>
      </c>
      <c r="AF39" s="20"/>
      <c r="AG39" s="20">
        <v>81</v>
      </c>
      <c r="AH39" s="20"/>
      <c r="AI39" s="20">
        <v>87</v>
      </c>
      <c r="AJ39" s="3"/>
      <c r="AK39" s="45">
        <f t="shared" si="4"/>
        <v>81.5</v>
      </c>
      <c r="AL39" s="46">
        <f t="shared" si="5"/>
        <v>82.5</v>
      </c>
      <c r="AM39" s="47">
        <f t="shared" si="6"/>
        <v>82</v>
      </c>
      <c r="AN39" s="48">
        <f t="shared" si="7"/>
        <v>82.25</v>
      </c>
      <c r="AO39" s="49">
        <f t="shared" si="8"/>
        <v>82.0625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82.0625</v>
      </c>
      <c r="BC39" s="65" t="str">
        <f t="shared" si="17"/>
        <v/>
      </c>
      <c r="BE39" s="20">
        <f t="shared" si="18"/>
        <v>80.25</v>
      </c>
      <c r="BF39" s="20">
        <f t="shared" si="19"/>
        <v>80.5</v>
      </c>
      <c r="BG39" s="93">
        <f t="shared" si="20"/>
        <v>80.5</v>
      </c>
      <c r="BH39" s="20">
        <f t="shared" si="21"/>
        <v>87</v>
      </c>
      <c r="BI39" s="20">
        <f t="shared" si="22"/>
        <v>82.0625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80</v>
      </c>
      <c r="F40" s="20"/>
      <c r="G40" s="20">
        <v>85</v>
      </c>
      <c r="H40" s="20"/>
      <c r="I40" s="20">
        <v>85</v>
      </c>
      <c r="J40" s="20"/>
      <c r="K40" s="20">
        <v>80</v>
      </c>
      <c r="L40" s="21"/>
      <c r="M40" s="19">
        <v>78</v>
      </c>
      <c r="N40" s="20"/>
      <c r="O40" s="20">
        <v>80</v>
      </c>
      <c r="P40" s="20"/>
      <c r="Q40" s="20">
        <v>82</v>
      </c>
      <c r="R40" s="20"/>
      <c r="S40" s="20">
        <v>80</v>
      </c>
      <c r="T40" s="21"/>
      <c r="U40" s="19">
        <v>80</v>
      </c>
      <c r="V40" s="20"/>
      <c r="W40" s="20">
        <v>81</v>
      </c>
      <c r="X40" s="20"/>
      <c r="Y40" s="20">
        <v>80</v>
      </c>
      <c r="Z40" s="20"/>
      <c r="AA40" s="20">
        <v>82</v>
      </c>
      <c r="AB40" s="21"/>
      <c r="AC40" s="1">
        <v>80</v>
      </c>
      <c r="AD40" s="20"/>
      <c r="AE40" s="20">
        <v>81</v>
      </c>
      <c r="AF40" s="20"/>
      <c r="AG40" s="20">
        <v>81</v>
      </c>
      <c r="AH40" s="20"/>
      <c r="AI40" s="20">
        <v>80</v>
      </c>
      <c r="AJ40" s="3"/>
      <c r="AK40" s="45">
        <f t="shared" si="4"/>
        <v>82.5</v>
      </c>
      <c r="AL40" s="46">
        <f t="shared" si="5"/>
        <v>80</v>
      </c>
      <c r="AM40" s="47">
        <f t="shared" si="6"/>
        <v>80.75</v>
      </c>
      <c r="AN40" s="48">
        <f t="shared" si="7"/>
        <v>80.5</v>
      </c>
      <c r="AO40" s="49">
        <f t="shared" si="8"/>
        <v>80.9375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80.9375</v>
      </c>
      <c r="BC40" s="65" t="str">
        <f t="shared" si="17"/>
        <v/>
      </c>
      <c r="BE40" s="20">
        <f t="shared" si="18"/>
        <v>79.5</v>
      </c>
      <c r="BF40" s="20">
        <f t="shared" si="19"/>
        <v>81.75</v>
      </c>
      <c r="BG40" s="93">
        <f t="shared" si="20"/>
        <v>82</v>
      </c>
      <c r="BH40" s="20">
        <f t="shared" si="21"/>
        <v>80.5</v>
      </c>
      <c r="BI40" s="20">
        <f t="shared" si="22"/>
        <v>80.9375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90</v>
      </c>
      <c r="F41" s="20"/>
      <c r="G41" s="20">
        <v>88</v>
      </c>
      <c r="H41" s="20"/>
      <c r="I41" s="20">
        <v>90</v>
      </c>
      <c r="J41" s="20"/>
      <c r="K41" s="20">
        <v>90</v>
      </c>
      <c r="L41" s="21"/>
      <c r="M41" s="19">
        <v>95</v>
      </c>
      <c r="N41" s="20"/>
      <c r="O41" s="20">
        <v>90</v>
      </c>
      <c r="P41" s="20"/>
      <c r="Q41" s="20">
        <v>91</v>
      </c>
      <c r="R41" s="20"/>
      <c r="S41" s="20">
        <v>90</v>
      </c>
      <c r="T41" s="21"/>
      <c r="U41" s="19">
        <v>90</v>
      </c>
      <c r="V41" s="20"/>
      <c r="W41" s="20">
        <v>90</v>
      </c>
      <c r="X41" s="20"/>
      <c r="Y41" s="20">
        <v>90</v>
      </c>
      <c r="Z41" s="20"/>
      <c r="AA41" s="20">
        <v>94</v>
      </c>
      <c r="AB41" s="21"/>
      <c r="AC41" s="1">
        <v>90</v>
      </c>
      <c r="AD41" s="20"/>
      <c r="AE41" s="20">
        <v>88</v>
      </c>
      <c r="AF41" s="20"/>
      <c r="AG41" s="20">
        <v>91</v>
      </c>
      <c r="AH41" s="20"/>
      <c r="AI41" s="20">
        <v>94</v>
      </c>
      <c r="AJ41" s="3"/>
      <c r="AK41" s="45">
        <f t="shared" si="4"/>
        <v>89.5</v>
      </c>
      <c r="AL41" s="46">
        <f t="shared" si="5"/>
        <v>91.5</v>
      </c>
      <c r="AM41" s="47">
        <f t="shared" si="6"/>
        <v>91</v>
      </c>
      <c r="AN41" s="48">
        <f t="shared" si="7"/>
        <v>90.75</v>
      </c>
      <c r="AO41" s="49">
        <f t="shared" si="8"/>
        <v>90.6875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90.6875</v>
      </c>
      <c r="BC41" s="65" t="str">
        <f t="shared" si="17"/>
        <v/>
      </c>
      <c r="BE41" s="20">
        <f t="shared" si="18"/>
        <v>91.25</v>
      </c>
      <c r="BF41" s="20">
        <f t="shared" si="19"/>
        <v>89</v>
      </c>
      <c r="BG41" s="93">
        <f t="shared" si="20"/>
        <v>90.5</v>
      </c>
      <c r="BH41" s="20">
        <f t="shared" si="21"/>
        <v>92</v>
      </c>
      <c r="BI41" s="20">
        <f t="shared" si="22"/>
        <v>90.6875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90</v>
      </c>
      <c r="F42" s="20"/>
      <c r="G42" s="20">
        <v>88</v>
      </c>
      <c r="H42" s="20"/>
      <c r="I42" s="20">
        <v>90</v>
      </c>
      <c r="J42" s="20"/>
      <c r="K42" s="20">
        <v>90</v>
      </c>
      <c r="L42" s="21"/>
      <c r="M42" s="19">
        <v>95</v>
      </c>
      <c r="N42" s="20"/>
      <c r="O42" s="20">
        <v>90</v>
      </c>
      <c r="P42" s="20"/>
      <c r="Q42" s="20">
        <v>91</v>
      </c>
      <c r="R42" s="20"/>
      <c r="S42" s="20">
        <v>90</v>
      </c>
      <c r="T42" s="21"/>
      <c r="U42" s="19">
        <v>90</v>
      </c>
      <c r="V42" s="20"/>
      <c r="W42" s="20">
        <v>90</v>
      </c>
      <c r="X42" s="20"/>
      <c r="Y42" s="20">
        <v>90</v>
      </c>
      <c r="Z42" s="20"/>
      <c r="AA42" s="20">
        <v>94</v>
      </c>
      <c r="AB42" s="21"/>
      <c r="AC42" s="1">
        <v>90</v>
      </c>
      <c r="AD42" s="20"/>
      <c r="AE42" s="20">
        <v>88</v>
      </c>
      <c r="AF42" s="20"/>
      <c r="AG42" s="20">
        <v>91</v>
      </c>
      <c r="AH42" s="20"/>
      <c r="AI42" s="20">
        <v>94</v>
      </c>
      <c r="AJ42" s="3"/>
      <c r="AK42" s="45">
        <f t="shared" si="4"/>
        <v>89.5</v>
      </c>
      <c r="AL42" s="46">
        <f t="shared" si="5"/>
        <v>91.5</v>
      </c>
      <c r="AM42" s="47">
        <f t="shared" si="6"/>
        <v>91</v>
      </c>
      <c r="AN42" s="48">
        <f t="shared" si="7"/>
        <v>90.75</v>
      </c>
      <c r="AO42" s="49">
        <f t="shared" si="8"/>
        <v>90.6875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90.6875</v>
      </c>
      <c r="BC42" s="65" t="str">
        <f t="shared" si="17"/>
        <v/>
      </c>
      <c r="BE42" s="20">
        <f t="shared" si="18"/>
        <v>91.25</v>
      </c>
      <c r="BF42" s="20">
        <f t="shared" si="19"/>
        <v>89</v>
      </c>
      <c r="BG42" s="93">
        <f t="shared" si="20"/>
        <v>90.5</v>
      </c>
      <c r="BH42" s="20">
        <f t="shared" si="21"/>
        <v>92</v>
      </c>
      <c r="BI42" s="20">
        <f t="shared" si="22"/>
        <v>90.6875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78" priority="13" operator="lessThan">
      <formula>70</formula>
    </cfRule>
  </conditionalFormatting>
  <conditionalFormatting sqref="G5:L33 G4:H4 J4 L4">
    <cfRule type="cellIs" dxfId="77" priority="16" operator="lessThan">
      <formula>70</formula>
    </cfRule>
  </conditionalFormatting>
  <conditionalFormatting sqref="G38:L39">
    <cfRule type="cellIs" dxfId="76" priority="11" operator="lessThan">
      <formula>70</formula>
    </cfRule>
  </conditionalFormatting>
  <conditionalFormatting sqref="O5:AB33 O4:P4 R4 T4:X4 Z4 AB4">
    <cfRule type="cellIs" dxfId="75" priority="15" operator="lessThan">
      <formula>70</formula>
    </cfRule>
  </conditionalFormatting>
  <conditionalFormatting sqref="O38:AB39">
    <cfRule type="cellIs" dxfId="74" priority="10" operator="lessThan">
      <formula>70</formula>
    </cfRule>
  </conditionalFormatting>
  <conditionalFormatting sqref="AE38:AI39">
    <cfRule type="cellIs" dxfId="73" priority="9" operator="lessThan">
      <formula>70</formula>
    </cfRule>
  </conditionalFormatting>
  <conditionalFormatting sqref="AE5:AJ33 AE4:AF4 AH4 AJ4">
    <cfRule type="cellIs" dxfId="72" priority="14" operator="lessThan">
      <formula>70</formula>
    </cfRule>
  </conditionalFormatting>
  <conditionalFormatting sqref="AK3:AP47 E4:F33 M4:N33 AC4:AD33 E34:AJ37 E38:F39 M38:N39 AC38:AD39 AJ38:AJ41 E40:AI42 E42:AJ47">
    <cfRule type="cellIs" dxfId="71" priority="19" operator="lessThan">
      <formula>70</formula>
    </cfRule>
  </conditionalFormatting>
  <conditionalFormatting sqref="AR3:AR47">
    <cfRule type="cellIs" dxfId="70" priority="17" operator="lessThan">
      <formula>70</formula>
    </cfRule>
  </conditionalFormatting>
  <conditionalFormatting sqref="AR3:AY47">
    <cfRule type="cellIs" dxfId="69" priority="18" operator="lessThan">
      <formula>70</formula>
    </cfRule>
  </conditionalFormatting>
  <conditionalFormatting sqref="AZ3:AZ47">
    <cfRule type="cellIs" dxfId="68" priority="12" operator="lessThan">
      <formula>70</formula>
    </cfRule>
  </conditionalFormatting>
  <conditionalFormatting sqref="I4">
    <cfRule type="cellIs" dxfId="9" priority="8" operator="lessThan">
      <formula>70</formula>
    </cfRule>
  </conditionalFormatting>
  <conditionalFormatting sqref="K4">
    <cfRule type="cellIs" dxfId="8" priority="7" operator="lessThan">
      <formula>70</formula>
    </cfRule>
  </conditionalFormatting>
  <conditionalFormatting sqref="Q4">
    <cfRule type="cellIs" dxfId="7" priority="6" operator="lessThan">
      <formula>70</formula>
    </cfRule>
  </conditionalFormatting>
  <conditionalFormatting sqref="S4">
    <cfRule type="cellIs" dxfId="6" priority="5" operator="lessThan">
      <formula>70</formula>
    </cfRule>
  </conditionalFormatting>
  <conditionalFormatting sqref="Y4">
    <cfRule type="cellIs" dxfId="5" priority="4" operator="lessThan">
      <formula>70</formula>
    </cfRule>
  </conditionalFormatting>
  <conditionalFormatting sqref="AA4">
    <cfRule type="cellIs" dxfId="4" priority="3" operator="lessThan">
      <formula>70</formula>
    </cfRule>
  </conditionalFormatting>
  <conditionalFormatting sqref="AG4">
    <cfRule type="cellIs" dxfId="3" priority="2" operator="lessThan">
      <formula>70</formula>
    </cfRule>
  </conditionalFormatting>
  <conditionalFormatting sqref="AI4">
    <cfRule type="cellIs" dxfId="2" priority="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D4DE-0E82-4C1D-9D0A-15CE22F079EA}">
  <dimension ref="A1:BI47"/>
  <sheetViews>
    <sheetView zoomScaleNormal="10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/>
      <c r="F3" s="20"/>
      <c r="G3" s="20"/>
      <c r="H3" s="20"/>
      <c r="I3" s="20"/>
      <c r="J3" s="20"/>
      <c r="K3" s="20"/>
      <c r="L3" s="21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27"/>
      <c r="AD3" s="28"/>
      <c r="AE3" s="28"/>
      <c r="AF3" s="28"/>
      <c r="AG3" s="28"/>
      <c r="AH3" s="28"/>
      <c r="AI3" s="28"/>
      <c r="AJ3" s="29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90</v>
      </c>
      <c r="F4" s="20"/>
      <c r="G4" s="20">
        <v>96</v>
      </c>
      <c r="H4" s="20"/>
      <c r="I4" s="20">
        <v>88</v>
      </c>
      <c r="J4" s="20"/>
      <c r="K4" s="20">
        <v>80</v>
      </c>
      <c r="L4" s="21"/>
      <c r="M4" s="19">
        <v>78</v>
      </c>
      <c r="N4" s="20"/>
      <c r="O4" s="20">
        <v>80</v>
      </c>
      <c r="P4" s="20"/>
      <c r="Q4" s="20">
        <v>83</v>
      </c>
      <c r="R4" s="20"/>
      <c r="S4" s="20">
        <v>80</v>
      </c>
      <c r="T4" s="21"/>
      <c r="U4" s="19">
        <v>76</v>
      </c>
      <c r="V4" s="20"/>
      <c r="W4" s="20">
        <v>80</v>
      </c>
      <c r="X4" s="20"/>
      <c r="Y4" s="20">
        <v>86</v>
      </c>
      <c r="Z4" s="20"/>
      <c r="AA4" s="20">
        <v>80</v>
      </c>
      <c r="AB4" s="21"/>
      <c r="AC4" s="19">
        <v>70</v>
      </c>
      <c r="AD4" s="20"/>
      <c r="AE4" s="20">
        <v>79</v>
      </c>
      <c r="AF4" s="20"/>
      <c r="AG4" s="20">
        <v>83</v>
      </c>
      <c r="AH4" s="20"/>
      <c r="AI4" s="20">
        <v>85</v>
      </c>
      <c r="AJ4" s="21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88.5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80.25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80.5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79.25</v>
      </c>
      <c r="AO4" s="49">
        <f t="shared" ref="AO4:AO47" si="8">AVERAGE(AK4:AN4)</f>
        <v>82.125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82.125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78.5</v>
      </c>
      <c r="BF4" s="20">
        <f t="shared" si="1"/>
        <v>83.75</v>
      </c>
      <c r="BG4" s="93">
        <f t="shared" si="2"/>
        <v>85</v>
      </c>
      <c r="BH4" s="20">
        <f t="shared" si="3"/>
        <v>81.25</v>
      </c>
      <c r="BI4" s="20">
        <f>AVERAGE(BE4:BH4)</f>
        <v>82.125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77</v>
      </c>
      <c r="F5" s="20"/>
      <c r="G5" s="20">
        <v>80</v>
      </c>
      <c r="H5" s="20"/>
      <c r="I5" s="20">
        <v>88</v>
      </c>
      <c r="J5" s="20"/>
      <c r="K5" s="20">
        <v>80</v>
      </c>
      <c r="L5" s="21"/>
      <c r="M5" s="19">
        <v>78</v>
      </c>
      <c r="N5" s="20"/>
      <c r="O5" s="20">
        <v>80</v>
      </c>
      <c r="P5" s="20"/>
      <c r="Q5" s="20">
        <v>83</v>
      </c>
      <c r="R5" s="20"/>
      <c r="S5" s="20">
        <v>80</v>
      </c>
      <c r="T5" s="21"/>
      <c r="U5" s="19">
        <v>76</v>
      </c>
      <c r="V5" s="20"/>
      <c r="W5" s="20">
        <v>80</v>
      </c>
      <c r="X5" s="20"/>
      <c r="Y5" s="20">
        <v>86</v>
      </c>
      <c r="Z5" s="20"/>
      <c r="AA5" s="20">
        <v>80</v>
      </c>
      <c r="AB5" s="21"/>
      <c r="AC5" s="19">
        <v>70</v>
      </c>
      <c r="AD5" s="20"/>
      <c r="AE5" s="20">
        <v>79</v>
      </c>
      <c r="AF5" s="20"/>
      <c r="AG5" s="20">
        <v>83</v>
      </c>
      <c r="AH5" s="20"/>
      <c r="AI5" s="20">
        <v>85</v>
      </c>
      <c r="AJ5" s="21"/>
      <c r="AK5" s="45">
        <f t="shared" si="4"/>
        <v>81.25</v>
      </c>
      <c r="AL5" s="46">
        <f t="shared" si="5"/>
        <v>80.25</v>
      </c>
      <c r="AM5" s="47">
        <f t="shared" si="6"/>
        <v>80.5</v>
      </c>
      <c r="AN5" s="48">
        <f t="shared" si="7"/>
        <v>79.25</v>
      </c>
      <c r="AO5" s="49">
        <f t="shared" si="8"/>
        <v>80.3125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80.3125</v>
      </c>
      <c r="BC5" s="65" t="str">
        <f t="shared" si="17"/>
        <v/>
      </c>
      <c r="BE5" s="20">
        <f>SUM(E5+M5+U5+AC5)/4</f>
        <v>75.25</v>
      </c>
      <c r="BF5" s="20">
        <f>SUM(G5+O5+W5+AE5)/4</f>
        <v>79.75</v>
      </c>
      <c r="BG5" s="93">
        <f>SUM(I5+Q5+Y5+AG5)/4</f>
        <v>85</v>
      </c>
      <c r="BH5" s="20">
        <f>SUM(K5+S5+AA5+AI5)/4</f>
        <v>81.25</v>
      </c>
      <c r="BI5" s="20">
        <f>AVERAGE(BE5:BH5)</f>
        <v>80.3125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92</v>
      </c>
      <c r="H6" s="20"/>
      <c r="I6" s="20">
        <v>85</v>
      </c>
      <c r="J6" s="20"/>
      <c r="K6" s="20">
        <v>90</v>
      </c>
      <c r="L6" s="21"/>
      <c r="M6" s="19">
        <v>89</v>
      </c>
      <c r="N6" s="20"/>
      <c r="O6" s="20">
        <v>90</v>
      </c>
      <c r="P6" s="20"/>
      <c r="Q6" s="20">
        <v>86</v>
      </c>
      <c r="R6" s="20"/>
      <c r="S6" s="20">
        <v>85</v>
      </c>
      <c r="T6" s="21"/>
      <c r="U6" s="19">
        <v>92</v>
      </c>
      <c r="V6" s="20"/>
      <c r="W6" s="20">
        <v>95</v>
      </c>
      <c r="X6" s="20"/>
      <c r="Y6" s="20">
        <v>88</v>
      </c>
      <c r="Z6" s="20"/>
      <c r="AA6" s="20">
        <v>85</v>
      </c>
      <c r="AB6" s="21"/>
      <c r="AC6" s="19">
        <v>90</v>
      </c>
      <c r="AD6" s="20"/>
      <c r="AE6" s="20">
        <v>92</v>
      </c>
      <c r="AF6" s="20"/>
      <c r="AG6" s="20">
        <v>90</v>
      </c>
      <c r="AH6" s="20"/>
      <c r="AI6" s="20">
        <v>85</v>
      </c>
      <c r="AJ6" s="21"/>
      <c r="AK6" s="45">
        <f t="shared" si="4"/>
        <v>89.25</v>
      </c>
      <c r="AL6" s="46">
        <f t="shared" si="5"/>
        <v>87.5</v>
      </c>
      <c r="AM6" s="47">
        <f t="shared" si="6"/>
        <v>90</v>
      </c>
      <c r="AN6" s="48">
        <f t="shared" si="7"/>
        <v>89.25</v>
      </c>
      <c r="AO6" s="49">
        <f t="shared" si="8"/>
        <v>89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89</v>
      </c>
      <c r="BC6" s="65" t="str">
        <f t="shared" si="17"/>
        <v/>
      </c>
      <c r="BE6" s="20">
        <f t="shared" ref="BE6:BE47" si="18">SUM(E6+M6+U6+AC6)/4</f>
        <v>90.25</v>
      </c>
      <c r="BF6" s="20">
        <f t="shared" ref="BF6:BF47" si="19">SUM(G6+O6+W6+AE6)/4</f>
        <v>92.25</v>
      </c>
      <c r="BG6" s="93">
        <f t="shared" ref="BG6:BG47" si="20">SUM(I6+Q6+Y6+AG6)/4</f>
        <v>87.25</v>
      </c>
      <c r="BH6" s="20">
        <f t="shared" ref="BH6:BH47" si="21">SUM(K6+S6+AA6+AI6)/4</f>
        <v>86.25</v>
      </c>
      <c r="BI6" s="20">
        <f t="shared" ref="BI6:BI47" si="22">AVERAGE(BE6:BH6)</f>
        <v>89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96</v>
      </c>
      <c r="F7" s="20"/>
      <c r="G7" s="20">
        <v>95</v>
      </c>
      <c r="H7" s="20"/>
      <c r="I7" s="20">
        <v>98</v>
      </c>
      <c r="J7" s="20"/>
      <c r="K7" s="20">
        <v>99</v>
      </c>
      <c r="L7" s="21"/>
      <c r="M7" s="19">
        <v>90</v>
      </c>
      <c r="N7" s="20"/>
      <c r="O7" s="20">
        <v>99</v>
      </c>
      <c r="P7" s="20"/>
      <c r="Q7" s="20">
        <v>99</v>
      </c>
      <c r="R7" s="20"/>
      <c r="S7" s="20">
        <v>100</v>
      </c>
      <c r="T7" s="21"/>
      <c r="U7" s="19">
        <v>96</v>
      </c>
      <c r="V7" s="20"/>
      <c r="W7" s="20">
        <v>97</v>
      </c>
      <c r="X7" s="20"/>
      <c r="Y7" s="20">
        <v>98</v>
      </c>
      <c r="Z7" s="20"/>
      <c r="AA7" s="20">
        <v>100</v>
      </c>
      <c r="AB7" s="21"/>
      <c r="AC7" s="19">
        <v>97</v>
      </c>
      <c r="AD7" s="20"/>
      <c r="AE7" s="20">
        <v>92</v>
      </c>
      <c r="AF7" s="20"/>
      <c r="AG7" s="20">
        <v>93</v>
      </c>
      <c r="AH7" s="20"/>
      <c r="AI7" s="20">
        <v>100</v>
      </c>
      <c r="AJ7" s="21"/>
      <c r="AK7" s="45">
        <f t="shared" si="4"/>
        <v>97</v>
      </c>
      <c r="AL7" s="46">
        <f t="shared" si="5"/>
        <v>97</v>
      </c>
      <c r="AM7" s="47">
        <f t="shared" si="6"/>
        <v>97.75</v>
      </c>
      <c r="AN7" s="48">
        <f t="shared" si="7"/>
        <v>95.5</v>
      </c>
      <c r="AO7" s="49">
        <f t="shared" si="8"/>
        <v>96.8125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96.8125</v>
      </c>
      <c r="BC7" s="65" t="str">
        <f t="shared" si="17"/>
        <v/>
      </c>
      <c r="BE7" s="20">
        <f t="shared" si="18"/>
        <v>94.75</v>
      </c>
      <c r="BF7" s="20">
        <f t="shared" si="19"/>
        <v>95.75</v>
      </c>
      <c r="BG7" s="93">
        <f t="shared" si="20"/>
        <v>97</v>
      </c>
      <c r="BH7" s="20">
        <f t="shared" si="21"/>
        <v>99.75</v>
      </c>
      <c r="BI7" s="20">
        <f t="shared" si="22"/>
        <v>96.8125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85</v>
      </c>
      <c r="F8" s="20"/>
      <c r="G8" s="20">
        <v>70</v>
      </c>
      <c r="H8" s="20"/>
      <c r="I8" s="20">
        <v>60</v>
      </c>
      <c r="J8" s="20">
        <v>73</v>
      </c>
      <c r="K8" s="20">
        <v>70</v>
      </c>
      <c r="L8" s="21"/>
      <c r="M8" s="19">
        <v>80</v>
      </c>
      <c r="N8" s="20"/>
      <c r="O8" s="20">
        <v>78</v>
      </c>
      <c r="P8" s="20"/>
      <c r="Q8" s="20">
        <v>60</v>
      </c>
      <c r="R8" s="20">
        <v>70</v>
      </c>
      <c r="S8" s="20">
        <v>70</v>
      </c>
      <c r="T8" s="21"/>
      <c r="U8" s="19">
        <v>80</v>
      </c>
      <c r="V8" s="20"/>
      <c r="W8" s="20">
        <v>65</v>
      </c>
      <c r="X8" s="20">
        <v>71</v>
      </c>
      <c r="Y8" s="20">
        <v>70</v>
      </c>
      <c r="Z8" s="20"/>
      <c r="AA8" s="20">
        <v>70</v>
      </c>
      <c r="AB8" s="21"/>
      <c r="AC8" s="19">
        <v>78</v>
      </c>
      <c r="AD8" s="20"/>
      <c r="AE8" s="20">
        <v>60</v>
      </c>
      <c r="AF8" s="20">
        <v>72</v>
      </c>
      <c r="AG8" s="20">
        <v>70</v>
      </c>
      <c r="AH8" s="20"/>
      <c r="AI8" s="20">
        <v>70</v>
      </c>
      <c r="AJ8" s="21"/>
      <c r="AK8" s="45">
        <f t="shared" si="4"/>
        <v>74.5</v>
      </c>
      <c r="AL8" s="46">
        <f t="shared" si="5"/>
        <v>74.5</v>
      </c>
      <c r="AM8" s="47">
        <f t="shared" si="6"/>
        <v>72.75</v>
      </c>
      <c r="AN8" s="48">
        <f t="shared" si="7"/>
        <v>72.5</v>
      </c>
      <c r="AO8" s="49">
        <f t="shared" si="8"/>
        <v>73.5625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73.5625</v>
      </c>
      <c r="BC8" s="65" t="str">
        <f t="shared" si="17"/>
        <v/>
      </c>
      <c r="BE8" s="20">
        <f t="shared" si="18"/>
        <v>80.75</v>
      </c>
      <c r="BF8" s="20">
        <f t="shared" si="19"/>
        <v>68.25</v>
      </c>
      <c r="BG8" s="93">
        <f t="shared" si="20"/>
        <v>65</v>
      </c>
      <c r="BH8" s="20">
        <f t="shared" si="21"/>
        <v>70</v>
      </c>
      <c r="BI8" s="20">
        <f t="shared" si="22"/>
        <v>71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85</v>
      </c>
      <c r="F9" s="20"/>
      <c r="G9" s="20">
        <v>90</v>
      </c>
      <c r="H9" s="20"/>
      <c r="I9" s="20">
        <v>90</v>
      </c>
      <c r="J9" s="20"/>
      <c r="K9" s="20">
        <v>95</v>
      </c>
      <c r="L9" s="21"/>
      <c r="M9" s="19">
        <v>88</v>
      </c>
      <c r="N9" s="20"/>
      <c r="O9" s="20">
        <v>92</v>
      </c>
      <c r="P9" s="20"/>
      <c r="Q9" s="20">
        <v>85</v>
      </c>
      <c r="R9" s="20"/>
      <c r="S9" s="20">
        <v>95</v>
      </c>
      <c r="T9" s="21"/>
      <c r="U9" s="19">
        <v>89</v>
      </c>
      <c r="V9" s="20"/>
      <c r="W9" s="20">
        <v>93</v>
      </c>
      <c r="X9" s="20"/>
      <c r="Y9" s="20">
        <v>88</v>
      </c>
      <c r="Z9" s="20"/>
      <c r="AA9" s="20">
        <v>90</v>
      </c>
      <c r="AB9" s="21"/>
      <c r="AC9" s="19">
        <v>90</v>
      </c>
      <c r="AD9" s="20"/>
      <c r="AE9" s="20">
        <v>95</v>
      </c>
      <c r="AF9" s="20"/>
      <c r="AG9" s="20">
        <v>90</v>
      </c>
      <c r="AH9" s="20"/>
      <c r="AI9" s="20">
        <v>92</v>
      </c>
      <c r="AJ9" s="21"/>
      <c r="AK9" s="45">
        <f t="shared" si="4"/>
        <v>90</v>
      </c>
      <c r="AL9" s="46">
        <f t="shared" si="5"/>
        <v>90</v>
      </c>
      <c r="AM9" s="47">
        <f t="shared" si="6"/>
        <v>90</v>
      </c>
      <c r="AN9" s="48">
        <f t="shared" si="7"/>
        <v>91.75</v>
      </c>
      <c r="AO9" s="49">
        <f t="shared" si="8"/>
        <v>90.4375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90.4375</v>
      </c>
      <c r="BC9" s="65" t="str">
        <f t="shared" si="17"/>
        <v/>
      </c>
      <c r="BE9" s="20">
        <f t="shared" si="18"/>
        <v>88</v>
      </c>
      <c r="BF9" s="20">
        <f t="shared" si="19"/>
        <v>92.5</v>
      </c>
      <c r="BG9" s="93">
        <f t="shared" si="20"/>
        <v>88.25</v>
      </c>
      <c r="BH9" s="20">
        <f t="shared" si="21"/>
        <v>93</v>
      </c>
      <c r="BI9" s="20">
        <f t="shared" si="22"/>
        <v>90.4375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73</v>
      </c>
      <c r="H10" s="20"/>
      <c r="I10" s="20">
        <v>60</v>
      </c>
      <c r="J10" s="20">
        <v>72</v>
      </c>
      <c r="K10" s="20">
        <v>65</v>
      </c>
      <c r="L10" s="21">
        <v>70</v>
      </c>
      <c r="M10" s="19">
        <v>75</v>
      </c>
      <c r="N10" s="20"/>
      <c r="O10" s="20">
        <v>60</v>
      </c>
      <c r="P10" s="20">
        <v>72</v>
      </c>
      <c r="Q10" s="20">
        <v>60</v>
      </c>
      <c r="R10" s="20">
        <v>75</v>
      </c>
      <c r="S10" s="20">
        <v>70</v>
      </c>
      <c r="T10" s="21"/>
      <c r="U10" s="19">
        <v>70</v>
      </c>
      <c r="V10" s="20"/>
      <c r="W10" s="20">
        <v>65</v>
      </c>
      <c r="X10" s="20">
        <v>75</v>
      </c>
      <c r="Y10" s="20">
        <v>60</v>
      </c>
      <c r="Z10" s="20">
        <v>70</v>
      </c>
      <c r="AA10" s="20">
        <v>70</v>
      </c>
      <c r="AB10" s="21"/>
      <c r="AC10" s="19">
        <v>70</v>
      </c>
      <c r="AD10" s="20"/>
      <c r="AE10" s="20">
        <v>72</v>
      </c>
      <c r="AF10" s="20"/>
      <c r="AG10" s="20">
        <v>65</v>
      </c>
      <c r="AH10" s="20">
        <v>76</v>
      </c>
      <c r="AI10" s="20">
        <v>70</v>
      </c>
      <c r="AJ10" s="21"/>
      <c r="AK10" s="45">
        <f t="shared" si="4"/>
        <v>72.5</v>
      </c>
      <c r="AL10" s="46">
        <f t="shared" si="5"/>
        <v>73</v>
      </c>
      <c r="AM10" s="47">
        <f t="shared" si="6"/>
        <v>71.25</v>
      </c>
      <c r="AN10" s="48">
        <f t="shared" si="7"/>
        <v>88.25</v>
      </c>
      <c r="AO10" s="49">
        <f t="shared" si="8"/>
        <v>76.25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76.25</v>
      </c>
      <c r="BC10" s="65" t="str">
        <f t="shared" si="17"/>
        <v/>
      </c>
      <c r="BE10" s="20">
        <f t="shared" si="18"/>
        <v>72.5</v>
      </c>
      <c r="BF10" s="20">
        <f t="shared" si="19"/>
        <v>67.5</v>
      </c>
      <c r="BG10" s="93">
        <f t="shared" si="20"/>
        <v>61.25</v>
      </c>
      <c r="BH10" s="20">
        <f t="shared" si="21"/>
        <v>68.75</v>
      </c>
      <c r="BI10" s="20">
        <f t="shared" si="22"/>
        <v>67.5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70</v>
      </c>
      <c r="F11" s="20"/>
      <c r="G11" s="20">
        <v>60</v>
      </c>
      <c r="H11" s="20">
        <v>73</v>
      </c>
      <c r="I11" s="20">
        <v>76</v>
      </c>
      <c r="J11" s="20"/>
      <c r="K11" s="20">
        <v>70</v>
      </c>
      <c r="L11" s="21"/>
      <c r="M11" s="19">
        <v>73</v>
      </c>
      <c r="N11" s="20"/>
      <c r="O11" s="20">
        <v>65</v>
      </c>
      <c r="P11" s="20">
        <v>70</v>
      </c>
      <c r="Q11" s="20">
        <v>73</v>
      </c>
      <c r="R11" s="20"/>
      <c r="S11" s="20">
        <v>70</v>
      </c>
      <c r="T11" s="21"/>
      <c r="U11" s="19">
        <v>75</v>
      </c>
      <c r="V11" s="20"/>
      <c r="W11" s="20">
        <v>60</v>
      </c>
      <c r="X11" s="20">
        <v>72</v>
      </c>
      <c r="Y11" s="20">
        <v>70</v>
      </c>
      <c r="Z11" s="20"/>
      <c r="AA11" s="20">
        <v>72</v>
      </c>
      <c r="AB11" s="21"/>
      <c r="AC11" s="19">
        <v>77</v>
      </c>
      <c r="AD11" s="20"/>
      <c r="AE11" s="20">
        <v>65</v>
      </c>
      <c r="AF11" s="20">
        <v>70</v>
      </c>
      <c r="AG11" s="20">
        <v>70</v>
      </c>
      <c r="AH11" s="20"/>
      <c r="AI11" s="20">
        <v>72</v>
      </c>
      <c r="AJ11" s="21"/>
      <c r="AK11" s="45">
        <f t="shared" si="4"/>
        <v>72.25</v>
      </c>
      <c r="AL11" s="46">
        <f t="shared" si="5"/>
        <v>71.5</v>
      </c>
      <c r="AM11" s="47">
        <f t="shared" si="6"/>
        <v>72.25</v>
      </c>
      <c r="AN11" s="48">
        <f t="shared" si="7"/>
        <v>88.5</v>
      </c>
      <c r="AO11" s="49">
        <f t="shared" si="8"/>
        <v>76.125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76.125</v>
      </c>
      <c r="BC11" s="65" t="str">
        <f t="shared" si="17"/>
        <v/>
      </c>
      <c r="BE11" s="20">
        <f t="shared" si="18"/>
        <v>73.75</v>
      </c>
      <c r="BF11" s="20">
        <f t="shared" si="19"/>
        <v>62.5</v>
      </c>
      <c r="BG11" s="93">
        <f t="shared" si="20"/>
        <v>72.25</v>
      </c>
      <c r="BH11" s="20">
        <f t="shared" si="21"/>
        <v>71</v>
      </c>
      <c r="BI11" s="20">
        <f t="shared" si="22"/>
        <v>69.875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9"/>
      <c r="AD12" s="20"/>
      <c r="AE12" s="20"/>
      <c r="AF12" s="20"/>
      <c r="AG12" s="20"/>
      <c r="AH12" s="20"/>
      <c r="AI12" s="20"/>
      <c r="AJ12" s="21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9"/>
      <c r="AD13" s="20"/>
      <c r="AE13" s="20"/>
      <c r="AF13" s="20"/>
      <c r="AG13" s="20"/>
      <c r="AH13" s="20"/>
      <c r="AI13" s="20"/>
      <c r="AJ13" s="21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96</v>
      </c>
      <c r="H14" s="20"/>
      <c r="I14" s="20">
        <v>80</v>
      </c>
      <c r="J14" s="20"/>
      <c r="K14" s="20">
        <v>87</v>
      </c>
      <c r="L14" s="21"/>
      <c r="M14" s="19">
        <v>95</v>
      </c>
      <c r="N14" s="20"/>
      <c r="O14" s="20">
        <v>97</v>
      </c>
      <c r="P14" s="20"/>
      <c r="Q14" s="20">
        <v>90</v>
      </c>
      <c r="R14" s="20"/>
      <c r="S14" s="20">
        <v>90</v>
      </c>
      <c r="T14" s="21"/>
      <c r="U14" s="19">
        <v>90</v>
      </c>
      <c r="V14" s="20"/>
      <c r="W14" s="20">
        <v>96</v>
      </c>
      <c r="X14" s="20"/>
      <c r="Y14" s="20">
        <v>80</v>
      </c>
      <c r="Z14" s="20"/>
      <c r="AA14" s="20">
        <v>89</v>
      </c>
      <c r="AB14" s="21"/>
      <c r="AC14" s="19">
        <v>95</v>
      </c>
      <c r="AD14" s="20"/>
      <c r="AE14" s="20">
        <v>93</v>
      </c>
      <c r="AF14" s="20"/>
      <c r="AG14" s="20">
        <v>85</v>
      </c>
      <c r="AH14" s="20"/>
      <c r="AI14" s="20">
        <v>95</v>
      </c>
      <c r="AJ14" s="21"/>
      <c r="AK14" s="45">
        <f t="shared" si="4"/>
        <v>88.25</v>
      </c>
      <c r="AL14" s="46">
        <f t="shared" si="5"/>
        <v>93</v>
      </c>
      <c r="AM14" s="47">
        <f t="shared" si="6"/>
        <v>88.75</v>
      </c>
      <c r="AN14" s="48">
        <f t="shared" si="7"/>
        <v>92</v>
      </c>
      <c r="AO14" s="49">
        <f t="shared" si="8"/>
        <v>90.5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90.5</v>
      </c>
      <c r="BC14" s="65" t="str">
        <f t="shared" si="17"/>
        <v/>
      </c>
      <c r="BE14" s="20">
        <f t="shared" si="18"/>
        <v>92.5</v>
      </c>
      <c r="BF14" s="20">
        <f t="shared" si="19"/>
        <v>95.5</v>
      </c>
      <c r="BG14" s="93">
        <f t="shared" si="20"/>
        <v>83.75</v>
      </c>
      <c r="BH14" s="20">
        <f t="shared" si="21"/>
        <v>90.25</v>
      </c>
      <c r="BI14" s="20">
        <f t="shared" si="22"/>
        <v>90.5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80</v>
      </c>
      <c r="F15" s="20"/>
      <c r="G15" s="20">
        <v>75</v>
      </c>
      <c r="H15" s="20"/>
      <c r="I15" s="20">
        <v>85</v>
      </c>
      <c r="J15" s="20"/>
      <c r="K15" s="20">
        <v>90</v>
      </c>
      <c r="L15" s="21"/>
      <c r="M15" s="19">
        <v>78</v>
      </c>
      <c r="N15" s="20"/>
      <c r="O15" s="20">
        <v>82</v>
      </c>
      <c r="P15" s="20"/>
      <c r="Q15" s="20">
        <v>89</v>
      </c>
      <c r="R15" s="20"/>
      <c r="S15" s="20">
        <v>95</v>
      </c>
      <c r="T15" s="21"/>
      <c r="U15" s="19">
        <v>85</v>
      </c>
      <c r="V15" s="20"/>
      <c r="W15" s="20">
        <v>80</v>
      </c>
      <c r="X15" s="20"/>
      <c r="Y15" s="20">
        <v>89</v>
      </c>
      <c r="Z15" s="20"/>
      <c r="AA15" s="20">
        <v>90</v>
      </c>
      <c r="AB15" s="21"/>
      <c r="AC15" s="19">
        <v>80</v>
      </c>
      <c r="AD15" s="20"/>
      <c r="AE15" s="20">
        <v>79</v>
      </c>
      <c r="AF15" s="20"/>
      <c r="AG15" s="20">
        <v>87</v>
      </c>
      <c r="AH15" s="20"/>
      <c r="AI15" s="20">
        <v>90</v>
      </c>
      <c r="AJ15" s="21"/>
      <c r="AK15" s="45">
        <f t="shared" si="4"/>
        <v>82.5</v>
      </c>
      <c r="AL15" s="46">
        <f t="shared" si="5"/>
        <v>86</v>
      </c>
      <c r="AM15" s="47">
        <f t="shared" si="6"/>
        <v>86</v>
      </c>
      <c r="AN15" s="48">
        <f t="shared" si="7"/>
        <v>84</v>
      </c>
      <c r="AO15" s="49">
        <f t="shared" si="8"/>
        <v>84.625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84.625</v>
      </c>
      <c r="BC15" s="65" t="str">
        <f t="shared" si="17"/>
        <v/>
      </c>
      <c r="BE15" s="20">
        <f t="shared" si="18"/>
        <v>80.75</v>
      </c>
      <c r="BF15" s="20">
        <f t="shared" si="19"/>
        <v>79</v>
      </c>
      <c r="BG15" s="93">
        <f t="shared" si="20"/>
        <v>87.5</v>
      </c>
      <c r="BH15" s="20">
        <f t="shared" si="21"/>
        <v>91.25</v>
      </c>
      <c r="BI15" s="20">
        <f t="shared" si="22"/>
        <v>84.625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9"/>
      <c r="AD16" s="20"/>
      <c r="AE16" s="20"/>
      <c r="AF16" s="20"/>
      <c r="AG16" s="20"/>
      <c r="AH16" s="20"/>
      <c r="AI16" s="20"/>
      <c r="AJ16" s="21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70</v>
      </c>
      <c r="F17" s="20"/>
      <c r="G17" s="20">
        <v>78</v>
      </c>
      <c r="H17" s="20"/>
      <c r="I17" s="20">
        <v>70</v>
      </c>
      <c r="J17" s="20"/>
      <c r="K17" s="20">
        <v>76</v>
      </c>
      <c r="L17" s="21"/>
      <c r="M17" s="19">
        <v>86</v>
      </c>
      <c r="N17" s="20"/>
      <c r="O17" s="20">
        <v>80</v>
      </c>
      <c r="P17" s="20"/>
      <c r="Q17" s="20">
        <v>75</v>
      </c>
      <c r="R17" s="20"/>
      <c r="S17" s="20">
        <v>70</v>
      </c>
      <c r="T17" s="21"/>
      <c r="U17" s="19">
        <v>75</v>
      </c>
      <c r="V17" s="20"/>
      <c r="W17" s="20">
        <v>79</v>
      </c>
      <c r="X17" s="20"/>
      <c r="Y17" s="20">
        <v>80</v>
      </c>
      <c r="Z17" s="20"/>
      <c r="AA17" s="20">
        <v>72</v>
      </c>
      <c r="AB17" s="21"/>
      <c r="AC17" s="19">
        <v>77</v>
      </c>
      <c r="AD17" s="20"/>
      <c r="AE17" s="20">
        <v>80</v>
      </c>
      <c r="AF17" s="20"/>
      <c r="AG17" s="20">
        <v>85</v>
      </c>
      <c r="AH17" s="20"/>
      <c r="AI17" s="20">
        <v>88</v>
      </c>
      <c r="AJ17" s="21"/>
      <c r="AK17" s="45">
        <f t="shared" si="4"/>
        <v>73.5</v>
      </c>
      <c r="AL17" s="46">
        <f t="shared" si="5"/>
        <v>77.75</v>
      </c>
      <c r="AM17" s="47">
        <f t="shared" si="6"/>
        <v>76.5</v>
      </c>
      <c r="AN17" s="48">
        <f t="shared" si="7"/>
        <v>82.5</v>
      </c>
      <c r="AO17" s="49">
        <f t="shared" si="8"/>
        <v>77.5625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77.5625</v>
      </c>
      <c r="BC17" s="65" t="str">
        <f t="shared" si="17"/>
        <v/>
      </c>
      <c r="BE17" s="20">
        <f t="shared" si="18"/>
        <v>77</v>
      </c>
      <c r="BF17" s="20">
        <f t="shared" si="19"/>
        <v>79.25</v>
      </c>
      <c r="BG17" s="93">
        <f t="shared" si="20"/>
        <v>77.5</v>
      </c>
      <c r="BH17" s="20">
        <f t="shared" si="21"/>
        <v>76.5</v>
      </c>
      <c r="BI17" s="20">
        <f t="shared" si="22"/>
        <v>77.5625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85</v>
      </c>
      <c r="F18" s="20"/>
      <c r="G18" s="20">
        <v>90</v>
      </c>
      <c r="H18" s="20"/>
      <c r="I18" s="20">
        <v>90</v>
      </c>
      <c r="J18" s="20"/>
      <c r="K18" s="20">
        <v>89</v>
      </c>
      <c r="L18" s="21"/>
      <c r="M18" s="19">
        <v>90</v>
      </c>
      <c r="N18" s="20"/>
      <c r="O18" s="20">
        <v>80</v>
      </c>
      <c r="P18" s="20"/>
      <c r="Q18" s="20">
        <v>86</v>
      </c>
      <c r="R18" s="20"/>
      <c r="S18" s="20">
        <v>89</v>
      </c>
      <c r="T18" s="21"/>
      <c r="U18" s="19">
        <v>90</v>
      </c>
      <c r="V18" s="20"/>
      <c r="W18" s="20">
        <v>87</v>
      </c>
      <c r="X18" s="20"/>
      <c r="Y18" s="20">
        <v>91</v>
      </c>
      <c r="Z18" s="20"/>
      <c r="AA18" s="20">
        <v>93</v>
      </c>
      <c r="AB18" s="21"/>
      <c r="AC18" s="19">
        <v>95</v>
      </c>
      <c r="AD18" s="20"/>
      <c r="AE18" s="20">
        <v>89</v>
      </c>
      <c r="AF18" s="20"/>
      <c r="AG18" s="20">
        <v>99</v>
      </c>
      <c r="AH18" s="20"/>
      <c r="AI18" s="20">
        <v>95</v>
      </c>
      <c r="AJ18" s="21"/>
      <c r="AK18" s="45">
        <f t="shared" si="4"/>
        <v>88.5</v>
      </c>
      <c r="AL18" s="46">
        <f t="shared" si="5"/>
        <v>86.25</v>
      </c>
      <c r="AM18" s="47">
        <f t="shared" si="6"/>
        <v>90.25</v>
      </c>
      <c r="AN18" s="48">
        <f t="shared" si="7"/>
        <v>94.5</v>
      </c>
      <c r="AO18" s="49">
        <f t="shared" si="8"/>
        <v>89.875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89.875</v>
      </c>
      <c r="BC18" s="65" t="str">
        <f t="shared" si="17"/>
        <v/>
      </c>
      <c r="BE18" s="20">
        <f t="shared" si="18"/>
        <v>90</v>
      </c>
      <c r="BF18" s="20">
        <f t="shared" si="19"/>
        <v>86.5</v>
      </c>
      <c r="BG18" s="93">
        <f t="shared" si="20"/>
        <v>91.5</v>
      </c>
      <c r="BH18" s="20">
        <f t="shared" si="21"/>
        <v>91.5</v>
      </c>
      <c r="BI18" s="20">
        <f t="shared" si="22"/>
        <v>89.875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95</v>
      </c>
      <c r="F19" s="20"/>
      <c r="G19" s="20">
        <v>85</v>
      </c>
      <c r="H19" s="20"/>
      <c r="I19" s="20">
        <v>98</v>
      </c>
      <c r="J19" s="20"/>
      <c r="K19" s="20">
        <v>99</v>
      </c>
      <c r="L19" s="21"/>
      <c r="M19" s="19">
        <v>90</v>
      </c>
      <c r="N19" s="20"/>
      <c r="O19" s="20">
        <v>88</v>
      </c>
      <c r="P19" s="20"/>
      <c r="Q19" s="20">
        <v>90</v>
      </c>
      <c r="R19" s="20"/>
      <c r="S19" s="20">
        <v>99</v>
      </c>
      <c r="T19" s="21"/>
      <c r="U19" s="19">
        <v>89</v>
      </c>
      <c r="V19" s="20"/>
      <c r="W19" s="20">
        <v>90</v>
      </c>
      <c r="X19" s="20"/>
      <c r="Y19" s="20">
        <v>90</v>
      </c>
      <c r="Z19" s="20"/>
      <c r="AA19" s="20">
        <v>99</v>
      </c>
      <c r="AB19" s="21"/>
      <c r="AC19" s="19">
        <v>95</v>
      </c>
      <c r="AD19" s="20"/>
      <c r="AE19" s="20">
        <v>90</v>
      </c>
      <c r="AF19" s="20"/>
      <c r="AG19" s="20">
        <v>90</v>
      </c>
      <c r="AH19" s="20"/>
      <c r="AI19" s="20">
        <v>99</v>
      </c>
      <c r="AJ19" s="21"/>
      <c r="AK19" s="45">
        <f t="shared" si="4"/>
        <v>94.25</v>
      </c>
      <c r="AL19" s="46">
        <f t="shared" si="5"/>
        <v>91.75</v>
      </c>
      <c r="AM19" s="47">
        <f t="shared" si="6"/>
        <v>92</v>
      </c>
      <c r="AN19" s="48">
        <f t="shared" si="7"/>
        <v>93.5</v>
      </c>
      <c r="AO19" s="49">
        <f t="shared" si="8"/>
        <v>92.875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92.875</v>
      </c>
      <c r="BC19" s="65" t="str">
        <f t="shared" si="17"/>
        <v/>
      </c>
      <c r="BE19" s="20">
        <f t="shared" si="18"/>
        <v>92.25</v>
      </c>
      <c r="BF19" s="20">
        <f t="shared" si="19"/>
        <v>88.25</v>
      </c>
      <c r="BG19" s="93">
        <f t="shared" si="20"/>
        <v>92</v>
      </c>
      <c r="BH19" s="20">
        <f t="shared" si="21"/>
        <v>99</v>
      </c>
      <c r="BI19" s="20">
        <f t="shared" si="22"/>
        <v>92.875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80</v>
      </c>
      <c r="F20" s="20"/>
      <c r="G20" s="20">
        <v>85</v>
      </c>
      <c r="H20" s="20"/>
      <c r="I20" s="20">
        <v>99</v>
      </c>
      <c r="J20" s="20"/>
      <c r="K20" s="20">
        <v>98</v>
      </c>
      <c r="L20" s="21"/>
      <c r="M20" s="19">
        <v>85</v>
      </c>
      <c r="N20" s="20"/>
      <c r="O20" s="20">
        <v>90</v>
      </c>
      <c r="P20" s="20"/>
      <c r="Q20" s="20">
        <v>95</v>
      </c>
      <c r="R20" s="20"/>
      <c r="S20" s="20">
        <v>90</v>
      </c>
      <c r="T20" s="21"/>
      <c r="U20" s="19">
        <v>89</v>
      </c>
      <c r="V20" s="20"/>
      <c r="W20" s="20">
        <v>96</v>
      </c>
      <c r="X20" s="20"/>
      <c r="Y20" s="20">
        <v>95</v>
      </c>
      <c r="Z20" s="20"/>
      <c r="AA20" s="20">
        <v>98</v>
      </c>
      <c r="AB20" s="21"/>
      <c r="AC20" s="19">
        <v>95</v>
      </c>
      <c r="AD20" s="20"/>
      <c r="AE20" s="20">
        <v>98</v>
      </c>
      <c r="AF20" s="20"/>
      <c r="AG20" s="20">
        <v>95</v>
      </c>
      <c r="AH20" s="20"/>
      <c r="AI20" s="20">
        <v>99</v>
      </c>
      <c r="AJ20" s="21"/>
      <c r="AK20" s="45">
        <f t="shared" si="4"/>
        <v>90.5</v>
      </c>
      <c r="AL20" s="46">
        <f t="shared" si="5"/>
        <v>90</v>
      </c>
      <c r="AM20" s="47">
        <f t="shared" si="6"/>
        <v>94.5</v>
      </c>
      <c r="AN20" s="48">
        <f t="shared" si="7"/>
        <v>96.75</v>
      </c>
      <c r="AO20" s="49">
        <f t="shared" si="8"/>
        <v>92.9375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92.9375</v>
      </c>
      <c r="BC20" s="65" t="str">
        <f t="shared" si="17"/>
        <v/>
      </c>
      <c r="BE20" s="20">
        <f t="shared" si="18"/>
        <v>87.25</v>
      </c>
      <c r="BF20" s="20">
        <f t="shared" si="19"/>
        <v>92.25</v>
      </c>
      <c r="BG20" s="93">
        <f t="shared" si="20"/>
        <v>96</v>
      </c>
      <c r="BH20" s="20">
        <f t="shared" si="21"/>
        <v>96.25</v>
      </c>
      <c r="BI20" s="20">
        <f t="shared" si="22"/>
        <v>92.9375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85</v>
      </c>
      <c r="H21" s="20"/>
      <c r="I21" s="20">
        <v>83</v>
      </c>
      <c r="J21" s="20"/>
      <c r="K21" s="20">
        <v>87</v>
      </c>
      <c r="L21" s="21"/>
      <c r="M21" s="19">
        <v>92</v>
      </c>
      <c r="N21" s="20"/>
      <c r="O21" s="20">
        <v>80</v>
      </c>
      <c r="P21" s="20"/>
      <c r="Q21" s="20">
        <v>80</v>
      </c>
      <c r="R21" s="20"/>
      <c r="S21" s="20">
        <v>85</v>
      </c>
      <c r="T21" s="21"/>
      <c r="U21" s="19">
        <v>80</v>
      </c>
      <c r="V21" s="20"/>
      <c r="W21" s="20">
        <v>88</v>
      </c>
      <c r="X21" s="20"/>
      <c r="Y21" s="20">
        <v>80</v>
      </c>
      <c r="Z21" s="20"/>
      <c r="AA21" s="20">
        <v>85</v>
      </c>
      <c r="AB21" s="21"/>
      <c r="AC21" s="19">
        <v>90</v>
      </c>
      <c r="AD21" s="20"/>
      <c r="AE21" s="20">
        <v>90</v>
      </c>
      <c r="AF21" s="20"/>
      <c r="AG21" s="20">
        <v>90</v>
      </c>
      <c r="AH21" s="20"/>
      <c r="AI21" s="20">
        <v>89</v>
      </c>
      <c r="AJ21" s="21"/>
      <c r="AK21" s="45">
        <f t="shared" si="4"/>
        <v>86.25</v>
      </c>
      <c r="AL21" s="46">
        <f t="shared" si="5"/>
        <v>84.25</v>
      </c>
      <c r="AM21" s="47">
        <f t="shared" si="6"/>
        <v>83.25</v>
      </c>
      <c r="AN21" s="48">
        <f t="shared" si="7"/>
        <v>89.75</v>
      </c>
      <c r="AO21" s="49">
        <f t="shared" si="8"/>
        <v>85.875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85.875</v>
      </c>
      <c r="BC21" s="65" t="str">
        <f t="shared" si="17"/>
        <v/>
      </c>
      <c r="BE21" s="20">
        <f t="shared" si="18"/>
        <v>88</v>
      </c>
      <c r="BF21" s="20">
        <f t="shared" si="19"/>
        <v>85.75</v>
      </c>
      <c r="BG21" s="93">
        <f t="shared" si="20"/>
        <v>83.25</v>
      </c>
      <c r="BH21" s="20">
        <f t="shared" si="21"/>
        <v>86.5</v>
      </c>
      <c r="BI21" s="20">
        <f t="shared" si="22"/>
        <v>85.875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76</v>
      </c>
      <c r="F22" s="20"/>
      <c r="G22" s="20">
        <v>80</v>
      </c>
      <c r="H22" s="20"/>
      <c r="I22" s="20">
        <v>79</v>
      </c>
      <c r="J22" s="20"/>
      <c r="K22" s="20">
        <v>90</v>
      </c>
      <c r="L22" s="21"/>
      <c r="M22" s="19">
        <v>74</v>
      </c>
      <c r="N22" s="20"/>
      <c r="O22" s="20">
        <v>78</v>
      </c>
      <c r="P22" s="20"/>
      <c r="Q22" s="20">
        <v>80</v>
      </c>
      <c r="R22" s="20"/>
      <c r="S22" s="20">
        <v>85</v>
      </c>
      <c r="T22" s="21"/>
      <c r="U22" s="19">
        <v>75</v>
      </c>
      <c r="V22" s="20"/>
      <c r="W22" s="20">
        <v>79</v>
      </c>
      <c r="X22" s="20"/>
      <c r="Y22" s="20">
        <v>80</v>
      </c>
      <c r="Z22" s="20"/>
      <c r="AA22" s="20">
        <v>89</v>
      </c>
      <c r="AB22" s="21"/>
      <c r="AC22" s="19">
        <v>76</v>
      </c>
      <c r="AD22" s="20"/>
      <c r="AE22" s="20">
        <v>75</v>
      </c>
      <c r="AF22" s="20"/>
      <c r="AG22" s="20">
        <v>80</v>
      </c>
      <c r="AH22" s="20"/>
      <c r="AI22" s="20">
        <v>87</v>
      </c>
      <c r="AJ22" s="21"/>
      <c r="AK22" s="45">
        <f t="shared" si="4"/>
        <v>81.25</v>
      </c>
      <c r="AL22" s="46">
        <f t="shared" si="5"/>
        <v>79.25</v>
      </c>
      <c r="AM22" s="47">
        <f t="shared" si="6"/>
        <v>80.75</v>
      </c>
      <c r="AN22" s="48">
        <f t="shared" si="7"/>
        <v>79.5</v>
      </c>
      <c r="AO22" s="49">
        <f t="shared" si="8"/>
        <v>80.1875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80.1875</v>
      </c>
      <c r="BC22" s="65" t="str">
        <f t="shared" si="17"/>
        <v/>
      </c>
      <c r="BE22" s="20">
        <f t="shared" si="18"/>
        <v>75.25</v>
      </c>
      <c r="BF22" s="20">
        <f t="shared" si="19"/>
        <v>78</v>
      </c>
      <c r="BG22" s="93">
        <f t="shared" si="20"/>
        <v>79.75</v>
      </c>
      <c r="BH22" s="20">
        <f t="shared" si="21"/>
        <v>87.75</v>
      </c>
      <c r="BI22" s="20">
        <f t="shared" si="22"/>
        <v>80.1875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9"/>
      <c r="AD23" s="20"/>
      <c r="AE23" s="20"/>
      <c r="AF23" s="20"/>
      <c r="AG23" s="20"/>
      <c r="AH23" s="20"/>
      <c r="AI23" s="20"/>
      <c r="AJ23" s="21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9"/>
      <c r="AD24" s="20"/>
      <c r="AE24" s="20"/>
      <c r="AF24" s="20"/>
      <c r="AG24" s="20"/>
      <c r="AH24" s="20"/>
      <c r="AI24" s="20"/>
      <c r="AJ24" s="21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/>
      <c r="F25" s="20"/>
      <c r="G25" s="20"/>
      <c r="H25" s="20"/>
      <c r="I25" s="20"/>
      <c r="J25" s="20"/>
      <c r="K25" s="20"/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9"/>
      <c r="AD25" s="20"/>
      <c r="AE25" s="20"/>
      <c r="AF25" s="20"/>
      <c r="AG25" s="20"/>
      <c r="AH25" s="20"/>
      <c r="AI25" s="20"/>
      <c r="AJ25" s="21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/>
      <c r="F26" s="20"/>
      <c r="G26" s="20"/>
      <c r="H26" s="20"/>
      <c r="I26" s="20"/>
      <c r="J26" s="20"/>
      <c r="K26" s="20"/>
      <c r="L26" s="21"/>
      <c r="M26" s="19"/>
      <c r="N26" s="20"/>
      <c r="O26" s="20"/>
      <c r="P26" s="20"/>
      <c r="Q26" s="20"/>
      <c r="R26" s="20"/>
      <c r="S26" s="20"/>
      <c r="T26" s="21"/>
      <c r="U26" s="19"/>
      <c r="V26" s="20"/>
      <c r="W26" s="20"/>
      <c r="X26" s="20"/>
      <c r="Y26" s="20"/>
      <c r="Z26" s="20"/>
      <c r="AA26" s="20"/>
      <c r="AB26" s="21"/>
      <c r="AC26" s="19"/>
      <c r="AD26" s="20"/>
      <c r="AE26" s="20"/>
      <c r="AF26" s="20"/>
      <c r="AG26" s="20"/>
      <c r="AH26" s="20"/>
      <c r="AI26" s="20"/>
      <c r="AJ26" s="21"/>
      <c r="AK26" s="45">
        <f t="shared" si="4"/>
        <v>0</v>
      </c>
      <c r="AL26" s="46">
        <f t="shared" si="5"/>
        <v>0</v>
      </c>
      <c r="AM26" s="47">
        <f t="shared" si="6"/>
        <v>0</v>
      </c>
      <c r="AN26" s="48">
        <f t="shared" si="7"/>
        <v>0</v>
      </c>
      <c r="AO26" s="49">
        <f t="shared" si="8"/>
        <v>0</v>
      </c>
      <c r="AP26" s="38"/>
      <c r="AR26" s="55">
        <f t="shared" si="9"/>
        <v>0</v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 t="str">
        <f t="shared" si="16"/>
        <v/>
      </c>
      <c r="BC26" s="65">
        <f t="shared" si="17"/>
        <v>0</v>
      </c>
      <c r="BE26" s="20">
        <f t="shared" si="18"/>
        <v>0</v>
      </c>
      <c r="BF26" s="20">
        <f t="shared" si="19"/>
        <v>0</v>
      </c>
      <c r="BG26" s="93">
        <f t="shared" si="20"/>
        <v>0</v>
      </c>
      <c r="BH26" s="20">
        <f t="shared" si="21"/>
        <v>0</v>
      </c>
      <c r="BI26" s="20">
        <f t="shared" si="22"/>
        <v>0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9"/>
      <c r="AD27" s="20"/>
      <c r="AE27" s="20"/>
      <c r="AF27" s="20"/>
      <c r="AG27" s="20"/>
      <c r="AH27" s="20"/>
      <c r="AI27" s="20"/>
      <c r="AJ27" s="21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90</v>
      </c>
      <c r="F28" s="20"/>
      <c r="G28" s="20">
        <v>95</v>
      </c>
      <c r="H28" s="20"/>
      <c r="I28" s="20">
        <v>90</v>
      </c>
      <c r="J28" s="20"/>
      <c r="K28" s="20">
        <v>90</v>
      </c>
      <c r="L28" s="21"/>
      <c r="M28" s="19">
        <v>96</v>
      </c>
      <c r="N28" s="20"/>
      <c r="O28" s="20">
        <v>90</v>
      </c>
      <c r="P28" s="20"/>
      <c r="Q28" s="20">
        <v>98</v>
      </c>
      <c r="R28" s="20"/>
      <c r="S28" s="20">
        <v>96</v>
      </c>
      <c r="T28" s="21"/>
      <c r="U28" s="19">
        <v>97</v>
      </c>
      <c r="V28" s="20"/>
      <c r="W28" s="20">
        <v>90</v>
      </c>
      <c r="X28" s="20"/>
      <c r="Y28" s="20">
        <v>90</v>
      </c>
      <c r="Z28" s="20"/>
      <c r="AA28" s="20">
        <v>95</v>
      </c>
      <c r="AB28" s="21"/>
      <c r="AC28" s="19">
        <v>90</v>
      </c>
      <c r="AD28" s="20"/>
      <c r="AE28" s="20">
        <v>91</v>
      </c>
      <c r="AF28" s="20"/>
      <c r="AG28" s="20">
        <v>96</v>
      </c>
      <c r="AH28" s="20"/>
      <c r="AI28" s="20">
        <v>95</v>
      </c>
      <c r="AJ28" s="21"/>
      <c r="AK28" s="45">
        <f t="shared" si="4"/>
        <v>91.25</v>
      </c>
      <c r="AL28" s="46">
        <f t="shared" si="5"/>
        <v>95</v>
      </c>
      <c r="AM28" s="47">
        <f t="shared" si="6"/>
        <v>93</v>
      </c>
      <c r="AN28" s="48">
        <f t="shared" si="7"/>
        <v>93</v>
      </c>
      <c r="AO28" s="49">
        <f t="shared" si="8"/>
        <v>93.0625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93.0625</v>
      </c>
      <c r="BC28" s="65" t="str">
        <f t="shared" si="17"/>
        <v/>
      </c>
      <c r="BE28" s="20">
        <f t="shared" si="18"/>
        <v>93.25</v>
      </c>
      <c r="BF28" s="20">
        <f t="shared" si="19"/>
        <v>91.5</v>
      </c>
      <c r="BG28" s="93">
        <f t="shared" si="20"/>
        <v>93.5</v>
      </c>
      <c r="BH28" s="20">
        <f t="shared" si="21"/>
        <v>94</v>
      </c>
      <c r="BI28" s="20">
        <f t="shared" si="22"/>
        <v>93.0625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/>
      <c r="F29" s="20"/>
      <c r="G29" s="20"/>
      <c r="H29" s="20"/>
      <c r="I29" s="20"/>
      <c r="J29" s="20"/>
      <c r="K29" s="20"/>
      <c r="L29" s="21"/>
      <c r="M29" s="19"/>
      <c r="N29" s="20"/>
      <c r="O29" s="20"/>
      <c r="P29" s="20"/>
      <c r="Q29" s="20"/>
      <c r="R29" s="20"/>
      <c r="S29" s="20"/>
      <c r="T29" s="21"/>
      <c r="U29" s="19"/>
      <c r="V29" s="20"/>
      <c r="W29" s="20"/>
      <c r="X29" s="20"/>
      <c r="Y29" s="20"/>
      <c r="Z29" s="20"/>
      <c r="AA29" s="20"/>
      <c r="AB29" s="21"/>
      <c r="AC29" s="19"/>
      <c r="AD29" s="20"/>
      <c r="AE29" s="20"/>
      <c r="AF29" s="20"/>
      <c r="AG29" s="20"/>
      <c r="AH29" s="20"/>
      <c r="AI29" s="20"/>
      <c r="AJ29" s="21"/>
      <c r="AK29" s="45">
        <f t="shared" si="4"/>
        <v>0</v>
      </c>
      <c r="AL29" s="46">
        <f t="shared" si="5"/>
        <v>0</v>
      </c>
      <c r="AM29" s="47">
        <f t="shared" si="6"/>
        <v>0</v>
      </c>
      <c r="AN29" s="48">
        <f t="shared" si="7"/>
        <v>0</v>
      </c>
      <c r="AO29" s="49">
        <f t="shared" si="8"/>
        <v>0</v>
      </c>
      <c r="AP29" s="38"/>
      <c r="AR29" s="55">
        <f t="shared" si="9"/>
        <v>0</v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 t="str">
        <f t="shared" si="16"/>
        <v/>
      </c>
      <c r="BC29" s="65">
        <f t="shared" si="17"/>
        <v>0</v>
      </c>
      <c r="BE29" s="20">
        <f t="shared" si="18"/>
        <v>0</v>
      </c>
      <c r="BF29" s="20">
        <f t="shared" si="19"/>
        <v>0</v>
      </c>
      <c r="BG29" s="93">
        <f t="shared" si="20"/>
        <v>0</v>
      </c>
      <c r="BH29" s="20">
        <f t="shared" si="21"/>
        <v>0</v>
      </c>
      <c r="BI29" s="20">
        <f t="shared" si="22"/>
        <v>0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86</v>
      </c>
      <c r="F30" s="20"/>
      <c r="G30" s="20">
        <v>89</v>
      </c>
      <c r="H30" s="20"/>
      <c r="I30" s="20">
        <v>95</v>
      </c>
      <c r="J30" s="20"/>
      <c r="K30" s="20">
        <v>99</v>
      </c>
      <c r="L30" s="21"/>
      <c r="M30" s="19">
        <v>85</v>
      </c>
      <c r="N30" s="20"/>
      <c r="O30" s="20">
        <v>88</v>
      </c>
      <c r="P30" s="20"/>
      <c r="Q30" s="20">
        <v>98</v>
      </c>
      <c r="R30" s="20"/>
      <c r="S30" s="20">
        <v>95</v>
      </c>
      <c r="T30" s="21"/>
      <c r="U30" s="19">
        <v>89</v>
      </c>
      <c r="V30" s="20"/>
      <c r="W30" s="20">
        <v>90</v>
      </c>
      <c r="X30" s="20"/>
      <c r="Y30" s="20">
        <v>95</v>
      </c>
      <c r="Z30" s="20"/>
      <c r="AA30" s="20">
        <v>90</v>
      </c>
      <c r="AB30" s="21"/>
      <c r="AC30" s="19">
        <v>87</v>
      </c>
      <c r="AD30" s="20"/>
      <c r="AE30" s="20">
        <v>90</v>
      </c>
      <c r="AF30" s="20"/>
      <c r="AG30" s="20">
        <v>97</v>
      </c>
      <c r="AH30" s="20"/>
      <c r="AI30" s="20">
        <v>99</v>
      </c>
      <c r="AJ30" s="21"/>
      <c r="AK30" s="45">
        <f t="shared" si="4"/>
        <v>92.25</v>
      </c>
      <c r="AL30" s="46">
        <f t="shared" si="5"/>
        <v>91.5</v>
      </c>
      <c r="AM30" s="47">
        <f t="shared" si="6"/>
        <v>91</v>
      </c>
      <c r="AN30" s="48">
        <f t="shared" si="7"/>
        <v>93.25</v>
      </c>
      <c r="AO30" s="49">
        <f t="shared" si="8"/>
        <v>92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92</v>
      </c>
      <c r="BC30" s="65" t="str">
        <f t="shared" si="17"/>
        <v/>
      </c>
      <c r="BE30" s="20">
        <f t="shared" si="18"/>
        <v>86.75</v>
      </c>
      <c r="BF30" s="20">
        <f t="shared" si="19"/>
        <v>89.25</v>
      </c>
      <c r="BG30" s="93">
        <f t="shared" si="20"/>
        <v>96.25</v>
      </c>
      <c r="BH30" s="20">
        <f t="shared" si="21"/>
        <v>95.75</v>
      </c>
      <c r="BI30" s="20">
        <f t="shared" si="22"/>
        <v>92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9"/>
      <c r="AD31" s="20"/>
      <c r="AE31" s="20"/>
      <c r="AF31" s="20"/>
      <c r="AG31" s="20"/>
      <c r="AH31" s="20"/>
      <c r="AI31" s="20"/>
      <c r="AJ31" s="21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80</v>
      </c>
      <c r="F32" s="20"/>
      <c r="G32" s="20">
        <v>82</v>
      </c>
      <c r="H32" s="20"/>
      <c r="I32" s="20">
        <v>84</v>
      </c>
      <c r="J32" s="20"/>
      <c r="K32" s="20">
        <v>86</v>
      </c>
      <c r="L32" s="21"/>
      <c r="M32" s="19">
        <v>80</v>
      </c>
      <c r="N32" s="20"/>
      <c r="O32" s="20">
        <v>80</v>
      </c>
      <c r="P32" s="20"/>
      <c r="Q32" s="20">
        <v>85</v>
      </c>
      <c r="R32" s="20"/>
      <c r="S32" s="20">
        <v>82</v>
      </c>
      <c r="T32" s="21"/>
      <c r="U32" s="19">
        <v>76</v>
      </c>
      <c r="V32" s="20"/>
      <c r="W32" s="20">
        <v>81</v>
      </c>
      <c r="X32" s="20"/>
      <c r="Y32" s="20">
        <v>85</v>
      </c>
      <c r="Z32" s="20"/>
      <c r="AA32" s="20">
        <v>80</v>
      </c>
      <c r="AB32" s="21"/>
      <c r="AC32" s="19">
        <v>83</v>
      </c>
      <c r="AD32" s="20"/>
      <c r="AE32" s="20">
        <v>85</v>
      </c>
      <c r="AF32" s="20"/>
      <c r="AG32" s="20">
        <v>90</v>
      </c>
      <c r="AH32" s="20"/>
      <c r="AI32" s="20">
        <v>86</v>
      </c>
      <c r="AJ32" s="21"/>
      <c r="AK32" s="45">
        <f t="shared" si="4"/>
        <v>83</v>
      </c>
      <c r="AL32" s="46">
        <f t="shared" si="5"/>
        <v>81.75</v>
      </c>
      <c r="AM32" s="47">
        <f t="shared" si="6"/>
        <v>80.5</v>
      </c>
      <c r="AN32" s="48">
        <f t="shared" si="7"/>
        <v>86</v>
      </c>
      <c r="AO32" s="49">
        <f t="shared" si="8"/>
        <v>82.8125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82.8125</v>
      </c>
      <c r="BC32" s="65" t="str">
        <f t="shared" si="17"/>
        <v/>
      </c>
      <c r="BE32" s="20">
        <f t="shared" si="18"/>
        <v>79.75</v>
      </c>
      <c r="BF32" s="20">
        <f t="shared" si="19"/>
        <v>82</v>
      </c>
      <c r="BG32" s="93">
        <f t="shared" si="20"/>
        <v>86</v>
      </c>
      <c r="BH32" s="20">
        <f t="shared" si="21"/>
        <v>83.5</v>
      </c>
      <c r="BI32" s="20">
        <f t="shared" si="22"/>
        <v>82.8125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85</v>
      </c>
      <c r="F33" s="20"/>
      <c r="G33" s="20">
        <v>88</v>
      </c>
      <c r="H33" s="20"/>
      <c r="I33" s="20">
        <v>90</v>
      </c>
      <c r="J33" s="20"/>
      <c r="K33" s="20">
        <v>93</v>
      </c>
      <c r="L33" s="21"/>
      <c r="M33" s="19">
        <v>90</v>
      </c>
      <c r="N33" s="20"/>
      <c r="O33" s="20">
        <v>89</v>
      </c>
      <c r="P33" s="20"/>
      <c r="Q33" s="20">
        <v>90</v>
      </c>
      <c r="R33" s="20"/>
      <c r="S33" s="20">
        <v>90</v>
      </c>
      <c r="T33" s="21"/>
      <c r="U33" s="19">
        <v>90</v>
      </c>
      <c r="V33" s="20"/>
      <c r="W33" s="20">
        <v>85</v>
      </c>
      <c r="X33" s="20"/>
      <c r="Y33" s="20">
        <v>90</v>
      </c>
      <c r="Z33" s="20"/>
      <c r="AA33" s="20">
        <v>93</v>
      </c>
      <c r="AB33" s="21"/>
      <c r="AC33" s="19">
        <v>91</v>
      </c>
      <c r="AD33" s="20"/>
      <c r="AE33" s="20">
        <v>89</v>
      </c>
      <c r="AF33" s="20"/>
      <c r="AG33" s="20">
        <v>95</v>
      </c>
      <c r="AH33" s="20"/>
      <c r="AI33" s="20">
        <v>97</v>
      </c>
      <c r="AJ33" s="21"/>
      <c r="AK33" s="45">
        <f t="shared" si="4"/>
        <v>89</v>
      </c>
      <c r="AL33" s="46">
        <f t="shared" si="5"/>
        <v>89.75</v>
      </c>
      <c r="AM33" s="47">
        <f t="shared" si="6"/>
        <v>89.5</v>
      </c>
      <c r="AN33" s="48">
        <f t="shared" si="7"/>
        <v>93</v>
      </c>
      <c r="AO33" s="49">
        <f t="shared" si="8"/>
        <v>90.3125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90.3125</v>
      </c>
      <c r="BC33" s="65" t="str">
        <f t="shared" si="17"/>
        <v/>
      </c>
      <c r="BE33" s="20">
        <f t="shared" si="18"/>
        <v>89</v>
      </c>
      <c r="BF33" s="20">
        <f t="shared" si="19"/>
        <v>87.75</v>
      </c>
      <c r="BG33" s="93">
        <f t="shared" si="20"/>
        <v>91.25</v>
      </c>
      <c r="BH33" s="20">
        <f t="shared" si="21"/>
        <v>93.25</v>
      </c>
      <c r="BI33" s="20">
        <f t="shared" si="22"/>
        <v>90.3125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/>
      <c r="F34" s="20"/>
      <c r="G34" s="20"/>
      <c r="H34" s="20"/>
      <c r="I34" s="20"/>
      <c r="J34" s="20"/>
      <c r="K34" s="20"/>
      <c r="L34" s="21"/>
      <c r="M34" s="19"/>
      <c r="N34" s="20"/>
      <c r="O34" s="20"/>
      <c r="P34" s="20"/>
      <c r="Q34" s="20"/>
      <c r="R34" s="20"/>
      <c r="S34" s="20"/>
      <c r="T34" s="21"/>
      <c r="U34" s="19"/>
      <c r="V34" s="20"/>
      <c r="W34" s="20"/>
      <c r="X34" s="20"/>
      <c r="Y34" s="20"/>
      <c r="Z34" s="20"/>
      <c r="AA34" s="20"/>
      <c r="AB34" s="21"/>
      <c r="AC34" s="19"/>
      <c r="AD34" s="20"/>
      <c r="AE34" s="20"/>
      <c r="AF34" s="20"/>
      <c r="AG34" s="20"/>
      <c r="AH34" s="20"/>
      <c r="AI34" s="20"/>
      <c r="AJ34" s="21"/>
      <c r="AK34" s="45">
        <f t="shared" si="4"/>
        <v>0</v>
      </c>
      <c r="AL34" s="46">
        <f t="shared" si="5"/>
        <v>0</v>
      </c>
      <c r="AM34" s="47">
        <f t="shared" si="6"/>
        <v>0</v>
      </c>
      <c r="AN34" s="48">
        <f t="shared" si="7"/>
        <v>0</v>
      </c>
      <c r="AO34" s="49">
        <f t="shared" si="8"/>
        <v>0</v>
      </c>
      <c r="AP34" s="38"/>
      <c r="AR34" s="55">
        <f t="shared" si="9"/>
        <v>0</v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 t="str">
        <f t="shared" si="16"/>
        <v/>
      </c>
      <c r="BC34" s="65">
        <f t="shared" si="17"/>
        <v>0</v>
      </c>
      <c r="BE34" s="20">
        <f t="shared" si="18"/>
        <v>0</v>
      </c>
      <c r="BF34" s="20">
        <f t="shared" si="19"/>
        <v>0</v>
      </c>
      <c r="BG34" s="93">
        <f t="shared" si="20"/>
        <v>0</v>
      </c>
      <c r="BH34" s="20">
        <f t="shared" si="21"/>
        <v>0</v>
      </c>
      <c r="BI34" s="20">
        <f t="shared" si="22"/>
        <v>0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95</v>
      </c>
      <c r="H35" s="20"/>
      <c r="I35" s="20">
        <v>98</v>
      </c>
      <c r="J35" s="20"/>
      <c r="K35" s="20">
        <v>85</v>
      </c>
      <c r="L35" s="21"/>
      <c r="M35" s="19">
        <v>96</v>
      </c>
      <c r="N35" s="20"/>
      <c r="O35" s="20">
        <v>90</v>
      </c>
      <c r="P35" s="20"/>
      <c r="Q35" s="20">
        <v>89</v>
      </c>
      <c r="R35" s="20"/>
      <c r="S35" s="20">
        <v>90</v>
      </c>
      <c r="T35" s="21"/>
      <c r="U35" s="19">
        <v>95</v>
      </c>
      <c r="V35" s="20"/>
      <c r="W35" s="20">
        <v>99</v>
      </c>
      <c r="X35" s="20"/>
      <c r="Y35" s="20">
        <v>92</v>
      </c>
      <c r="Z35" s="20"/>
      <c r="AA35" s="20">
        <v>90</v>
      </c>
      <c r="AB35" s="21"/>
      <c r="AC35" s="19">
        <v>98</v>
      </c>
      <c r="AD35" s="20"/>
      <c r="AE35" s="20">
        <v>99</v>
      </c>
      <c r="AF35" s="20"/>
      <c r="AG35" s="20">
        <v>90</v>
      </c>
      <c r="AH35" s="20"/>
      <c r="AI35" s="20">
        <v>91</v>
      </c>
      <c r="AJ35" s="21"/>
      <c r="AK35" s="45">
        <f t="shared" si="4"/>
        <v>92</v>
      </c>
      <c r="AL35" s="46">
        <f t="shared" si="5"/>
        <v>91.25</v>
      </c>
      <c r="AM35" s="47">
        <f t="shared" si="6"/>
        <v>94</v>
      </c>
      <c r="AN35" s="48">
        <f t="shared" si="7"/>
        <v>94.5</v>
      </c>
      <c r="AO35" s="49">
        <f t="shared" si="8"/>
        <v>92.9375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92.9375</v>
      </c>
      <c r="BC35" s="65" t="str">
        <f t="shared" si="17"/>
        <v/>
      </c>
      <c r="BE35" s="20">
        <f t="shared" si="18"/>
        <v>94.75</v>
      </c>
      <c r="BF35" s="20">
        <f t="shared" si="19"/>
        <v>95.75</v>
      </c>
      <c r="BG35" s="93">
        <f t="shared" si="20"/>
        <v>92.25</v>
      </c>
      <c r="BH35" s="20">
        <f t="shared" si="21"/>
        <v>89</v>
      </c>
      <c r="BI35" s="20">
        <f t="shared" si="22"/>
        <v>92.9375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80</v>
      </c>
      <c r="F36" s="20"/>
      <c r="G36" s="20">
        <v>85</v>
      </c>
      <c r="H36" s="20"/>
      <c r="I36" s="20">
        <v>90</v>
      </c>
      <c r="J36" s="20"/>
      <c r="K36" s="20">
        <v>99</v>
      </c>
      <c r="L36" s="21"/>
      <c r="M36" s="19">
        <v>89</v>
      </c>
      <c r="N36" s="20"/>
      <c r="O36" s="20">
        <v>93</v>
      </c>
      <c r="P36" s="20"/>
      <c r="Q36" s="20">
        <v>99</v>
      </c>
      <c r="R36" s="20"/>
      <c r="S36" s="20">
        <v>95</v>
      </c>
      <c r="T36" s="21"/>
      <c r="U36" s="19">
        <v>85</v>
      </c>
      <c r="V36" s="20"/>
      <c r="W36" s="20">
        <v>90</v>
      </c>
      <c r="X36" s="20"/>
      <c r="Y36" s="20">
        <v>87</v>
      </c>
      <c r="Z36" s="20"/>
      <c r="AA36" s="20">
        <v>97</v>
      </c>
      <c r="AB36" s="21"/>
      <c r="AC36" s="19">
        <v>88</v>
      </c>
      <c r="AD36" s="20"/>
      <c r="AE36" s="20">
        <v>92</v>
      </c>
      <c r="AF36" s="20"/>
      <c r="AG36" s="20">
        <v>98</v>
      </c>
      <c r="AH36" s="20"/>
      <c r="AI36" s="20">
        <v>99</v>
      </c>
      <c r="AJ36" s="21"/>
      <c r="AK36" s="45">
        <f t="shared" si="4"/>
        <v>88.5</v>
      </c>
      <c r="AL36" s="46">
        <f t="shared" si="5"/>
        <v>94</v>
      </c>
      <c r="AM36" s="47">
        <f t="shared" si="6"/>
        <v>89.75</v>
      </c>
      <c r="AN36" s="48">
        <f t="shared" si="7"/>
        <v>94.25</v>
      </c>
      <c r="AO36" s="49">
        <f t="shared" si="8"/>
        <v>91.625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91.625</v>
      </c>
      <c r="BC36" s="65" t="str">
        <f t="shared" si="17"/>
        <v/>
      </c>
      <c r="BE36" s="20">
        <f t="shared" si="18"/>
        <v>85.5</v>
      </c>
      <c r="BF36" s="20">
        <f t="shared" si="19"/>
        <v>90</v>
      </c>
      <c r="BG36" s="93">
        <f t="shared" si="20"/>
        <v>93.5</v>
      </c>
      <c r="BH36" s="20">
        <f t="shared" si="21"/>
        <v>97.5</v>
      </c>
      <c r="BI36" s="20">
        <f t="shared" si="22"/>
        <v>91.625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85</v>
      </c>
      <c r="F37" s="20"/>
      <c r="G37" s="20">
        <v>80</v>
      </c>
      <c r="H37" s="20"/>
      <c r="I37" s="20">
        <v>83</v>
      </c>
      <c r="J37" s="20"/>
      <c r="K37" s="20">
        <v>80</v>
      </c>
      <c r="L37" s="21"/>
      <c r="M37" s="19">
        <v>85</v>
      </c>
      <c r="N37" s="20"/>
      <c r="O37" s="20">
        <v>80</v>
      </c>
      <c r="P37" s="20"/>
      <c r="Q37" s="20">
        <v>87</v>
      </c>
      <c r="R37" s="20"/>
      <c r="S37" s="20">
        <v>86</v>
      </c>
      <c r="T37" s="21"/>
      <c r="U37" s="19">
        <v>80</v>
      </c>
      <c r="V37" s="20"/>
      <c r="W37" s="20">
        <v>87</v>
      </c>
      <c r="X37" s="20"/>
      <c r="Y37" s="20">
        <v>80</v>
      </c>
      <c r="Z37" s="20"/>
      <c r="AA37" s="20">
        <v>83</v>
      </c>
      <c r="AB37" s="21"/>
      <c r="AC37" s="19">
        <v>85</v>
      </c>
      <c r="AD37" s="20"/>
      <c r="AE37" s="20">
        <v>86</v>
      </c>
      <c r="AF37" s="20"/>
      <c r="AG37" s="20">
        <v>85</v>
      </c>
      <c r="AH37" s="20"/>
      <c r="AI37" s="20">
        <v>80</v>
      </c>
      <c r="AJ37" s="3"/>
      <c r="AK37" s="45">
        <f t="shared" si="4"/>
        <v>82</v>
      </c>
      <c r="AL37" s="46">
        <f t="shared" si="5"/>
        <v>84.5</v>
      </c>
      <c r="AM37" s="47">
        <f t="shared" si="6"/>
        <v>82.5</v>
      </c>
      <c r="AN37" s="48">
        <f t="shared" si="7"/>
        <v>84</v>
      </c>
      <c r="AO37" s="49">
        <f t="shared" si="8"/>
        <v>83.25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83.25</v>
      </c>
      <c r="BC37" s="65" t="str">
        <f t="shared" si="17"/>
        <v/>
      </c>
      <c r="BE37" s="20">
        <f t="shared" si="18"/>
        <v>83.75</v>
      </c>
      <c r="BF37" s="20">
        <f t="shared" si="19"/>
        <v>83.25</v>
      </c>
      <c r="BG37" s="93">
        <f t="shared" si="20"/>
        <v>83.75</v>
      </c>
      <c r="BH37" s="20">
        <f t="shared" si="21"/>
        <v>82.25</v>
      </c>
      <c r="BI37" s="20">
        <f t="shared" si="22"/>
        <v>83.25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76</v>
      </c>
      <c r="F38" s="20"/>
      <c r="G38" s="20">
        <v>65</v>
      </c>
      <c r="H38" s="20">
        <v>76</v>
      </c>
      <c r="I38" s="20">
        <v>60</v>
      </c>
      <c r="J38" s="20">
        <v>75</v>
      </c>
      <c r="K38" s="20">
        <v>70</v>
      </c>
      <c r="L38" s="21"/>
      <c r="M38" s="19">
        <v>77</v>
      </c>
      <c r="N38" s="20"/>
      <c r="O38" s="20">
        <v>60</v>
      </c>
      <c r="P38" s="20">
        <v>70</v>
      </c>
      <c r="Q38" s="20">
        <v>65</v>
      </c>
      <c r="R38" s="20">
        <v>70</v>
      </c>
      <c r="S38" s="20">
        <v>70</v>
      </c>
      <c r="T38" s="21"/>
      <c r="U38" s="19">
        <v>75</v>
      </c>
      <c r="V38" s="20"/>
      <c r="W38" s="20">
        <v>65</v>
      </c>
      <c r="X38" s="20">
        <v>73</v>
      </c>
      <c r="Y38" s="20">
        <v>60</v>
      </c>
      <c r="Z38" s="20">
        <v>76</v>
      </c>
      <c r="AA38" s="20">
        <v>70</v>
      </c>
      <c r="AB38" s="21"/>
      <c r="AC38" s="19">
        <v>75</v>
      </c>
      <c r="AD38" s="20"/>
      <c r="AE38" s="20">
        <v>60</v>
      </c>
      <c r="AF38" s="20">
        <v>70</v>
      </c>
      <c r="AG38" s="20">
        <v>60</v>
      </c>
      <c r="AH38" s="20">
        <v>75</v>
      </c>
      <c r="AI38" s="20">
        <v>70</v>
      </c>
      <c r="AJ38" s="3"/>
      <c r="AK38" s="45">
        <f t="shared" si="4"/>
        <v>74.25</v>
      </c>
      <c r="AL38" s="46">
        <f t="shared" si="5"/>
        <v>71.75</v>
      </c>
      <c r="AM38" s="47">
        <f t="shared" si="6"/>
        <v>73.5</v>
      </c>
      <c r="AN38" s="48">
        <f t="shared" si="7"/>
        <v>72.5</v>
      </c>
      <c r="AO38" s="49">
        <f t="shared" si="8"/>
        <v>73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73</v>
      </c>
      <c r="BC38" s="65" t="str">
        <f t="shared" si="17"/>
        <v/>
      </c>
      <c r="BE38" s="20">
        <f t="shared" si="18"/>
        <v>75.75</v>
      </c>
      <c r="BF38" s="20">
        <f t="shared" si="19"/>
        <v>62.5</v>
      </c>
      <c r="BG38" s="93">
        <f t="shared" si="20"/>
        <v>61.25</v>
      </c>
      <c r="BH38" s="20">
        <f t="shared" si="21"/>
        <v>70</v>
      </c>
      <c r="BI38" s="20">
        <f t="shared" si="22"/>
        <v>67.375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90</v>
      </c>
      <c r="F39" s="20"/>
      <c r="G39" s="20">
        <v>95</v>
      </c>
      <c r="H39" s="20"/>
      <c r="I39" s="20">
        <v>98</v>
      </c>
      <c r="J39" s="20"/>
      <c r="K39" s="20">
        <v>85</v>
      </c>
      <c r="L39" s="21"/>
      <c r="M39" s="19">
        <v>96</v>
      </c>
      <c r="N39" s="20"/>
      <c r="O39" s="20">
        <v>90</v>
      </c>
      <c r="P39" s="20"/>
      <c r="Q39" s="20">
        <v>89</v>
      </c>
      <c r="R39" s="20"/>
      <c r="S39" s="20">
        <v>90</v>
      </c>
      <c r="T39" s="21"/>
      <c r="U39" s="19">
        <v>95</v>
      </c>
      <c r="V39" s="20"/>
      <c r="W39" s="20">
        <v>99</v>
      </c>
      <c r="X39" s="20"/>
      <c r="Y39" s="20">
        <v>92</v>
      </c>
      <c r="Z39" s="20"/>
      <c r="AA39" s="20">
        <v>90</v>
      </c>
      <c r="AB39" s="21"/>
      <c r="AC39" s="19">
        <v>98</v>
      </c>
      <c r="AD39" s="20"/>
      <c r="AE39" s="20">
        <v>99</v>
      </c>
      <c r="AF39" s="20"/>
      <c r="AG39" s="20">
        <v>90</v>
      </c>
      <c r="AH39" s="20"/>
      <c r="AI39" s="20">
        <v>91</v>
      </c>
      <c r="AJ39" s="3"/>
      <c r="AK39" s="45">
        <f t="shared" si="4"/>
        <v>92</v>
      </c>
      <c r="AL39" s="46">
        <f t="shared" si="5"/>
        <v>91.25</v>
      </c>
      <c r="AM39" s="47">
        <f t="shared" si="6"/>
        <v>94</v>
      </c>
      <c r="AN39" s="48">
        <f t="shared" si="7"/>
        <v>94.5</v>
      </c>
      <c r="AO39" s="49">
        <f t="shared" si="8"/>
        <v>92.9375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92.9375</v>
      </c>
      <c r="BC39" s="65" t="str">
        <f t="shared" si="17"/>
        <v/>
      </c>
      <c r="BE39" s="20">
        <f t="shared" si="18"/>
        <v>94.75</v>
      </c>
      <c r="BF39" s="20">
        <f t="shared" si="19"/>
        <v>95.75</v>
      </c>
      <c r="BG39" s="93">
        <f t="shared" si="20"/>
        <v>92.25</v>
      </c>
      <c r="BH39" s="20">
        <f t="shared" si="21"/>
        <v>89</v>
      </c>
      <c r="BI39" s="20">
        <f t="shared" si="22"/>
        <v>92.9375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80</v>
      </c>
      <c r="F40" s="20"/>
      <c r="G40" s="20">
        <v>85</v>
      </c>
      <c r="H40" s="20"/>
      <c r="I40" s="20">
        <v>90</v>
      </c>
      <c r="J40" s="20"/>
      <c r="K40" s="20">
        <v>99</v>
      </c>
      <c r="L40" s="21"/>
      <c r="M40" s="19">
        <v>89</v>
      </c>
      <c r="N40" s="20"/>
      <c r="O40" s="20">
        <v>93</v>
      </c>
      <c r="P40" s="20"/>
      <c r="Q40" s="20">
        <v>99</v>
      </c>
      <c r="R40" s="20"/>
      <c r="S40" s="20">
        <v>95</v>
      </c>
      <c r="T40" s="21"/>
      <c r="U40" s="19">
        <v>85</v>
      </c>
      <c r="V40" s="20"/>
      <c r="W40" s="20">
        <v>90</v>
      </c>
      <c r="X40" s="20"/>
      <c r="Y40" s="20">
        <v>87</v>
      </c>
      <c r="Z40" s="20"/>
      <c r="AA40" s="20">
        <v>97</v>
      </c>
      <c r="AB40" s="21"/>
      <c r="AC40" s="19">
        <v>88</v>
      </c>
      <c r="AD40" s="20"/>
      <c r="AE40" s="20">
        <v>92</v>
      </c>
      <c r="AF40" s="20"/>
      <c r="AG40" s="20">
        <v>98</v>
      </c>
      <c r="AH40" s="20"/>
      <c r="AI40" s="20">
        <v>99</v>
      </c>
      <c r="AJ40" s="3"/>
      <c r="AK40" s="45">
        <f t="shared" si="4"/>
        <v>88.5</v>
      </c>
      <c r="AL40" s="46">
        <f t="shared" si="5"/>
        <v>94</v>
      </c>
      <c r="AM40" s="47">
        <f t="shared" si="6"/>
        <v>89.75</v>
      </c>
      <c r="AN40" s="48">
        <f t="shared" si="7"/>
        <v>94.25</v>
      </c>
      <c r="AO40" s="49">
        <f t="shared" si="8"/>
        <v>91.625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91.625</v>
      </c>
      <c r="BC40" s="65" t="str">
        <f t="shared" si="17"/>
        <v/>
      </c>
      <c r="BE40" s="20">
        <f t="shared" si="18"/>
        <v>85.5</v>
      </c>
      <c r="BF40" s="20">
        <f t="shared" si="19"/>
        <v>90</v>
      </c>
      <c r="BG40" s="93">
        <f t="shared" si="20"/>
        <v>93.5</v>
      </c>
      <c r="BH40" s="20">
        <f t="shared" si="21"/>
        <v>97.5</v>
      </c>
      <c r="BI40" s="20">
        <f t="shared" si="22"/>
        <v>91.625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85</v>
      </c>
      <c r="F41" s="20"/>
      <c r="G41" s="20">
        <v>80</v>
      </c>
      <c r="H41" s="20"/>
      <c r="I41" s="20">
        <v>83</v>
      </c>
      <c r="J41" s="20"/>
      <c r="K41" s="20">
        <v>80</v>
      </c>
      <c r="L41" s="21"/>
      <c r="M41" s="19">
        <v>85</v>
      </c>
      <c r="N41" s="20"/>
      <c r="O41" s="20">
        <v>80</v>
      </c>
      <c r="P41" s="20"/>
      <c r="Q41" s="20">
        <v>87</v>
      </c>
      <c r="R41" s="20"/>
      <c r="S41" s="20">
        <v>86</v>
      </c>
      <c r="T41" s="21"/>
      <c r="U41" s="19">
        <v>80</v>
      </c>
      <c r="V41" s="20"/>
      <c r="W41" s="20">
        <v>87</v>
      </c>
      <c r="X41" s="20"/>
      <c r="Y41" s="20">
        <v>80</v>
      </c>
      <c r="Z41" s="20"/>
      <c r="AA41" s="20">
        <v>83</v>
      </c>
      <c r="AB41" s="21"/>
      <c r="AC41" s="19">
        <v>85</v>
      </c>
      <c r="AD41" s="20"/>
      <c r="AE41" s="20">
        <v>86</v>
      </c>
      <c r="AF41" s="20"/>
      <c r="AG41" s="20">
        <v>85</v>
      </c>
      <c r="AH41" s="20"/>
      <c r="AI41" s="20">
        <v>80</v>
      </c>
      <c r="AJ41" s="3"/>
      <c r="AK41" s="45">
        <f t="shared" si="4"/>
        <v>82</v>
      </c>
      <c r="AL41" s="46">
        <f t="shared" si="5"/>
        <v>84.5</v>
      </c>
      <c r="AM41" s="47">
        <f t="shared" si="6"/>
        <v>82.5</v>
      </c>
      <c r="AN41" s="48">
        <f t="shared" si="7"/>
        <v>84</v>
      </c>
      <c r="AO41" s="49">
        <f t="shared" si="8"/>
        <v>83.25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83.25</v>
      </c>
      <c r="BC41" s="65" t="str">
        <f t="shared" si="17"/>
        <v/>
      </c>
      <c r="BE41" s="20">
        <f t="shared" si="18"/>
        <v>83.75</v>
      </c>
      <c r="BF41" s="20">
        <f t="shared" si="19"/>
        <v>83.25</v>
      </c>
      <c r="BG41" s="93">
        <f t="shared" si="20"/>
        <v>83.75</v>
      </c>
      <c r="BH41" s="20">
        <f t="shared" si="21"/>
        <v>82.25</v>
      </c>
      <c r="BI41" s="20">
        <f t="shared" si="22"/>
        <v>83.25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76</v>
      </c>
      <c r="F42" s="20"/>
      <c r="G42" s="20">
        <v>65</v>
      </c>
      <c r="H42" s="20">
        <v>76</v>
      </c>
      <c r="I42" s="20">
        <v>60</v>
      </c>
      <c r="J42" s="20">
        <v>75</v>
      </c>
      <c r="K42" s="20">
        <v>70</v>
      </c>
      <c r="L42" s="21"/>
      <c r="M42" s="19">
        <v>77</v>
      </c>
      <c r="N42" s="20"/>
      <c r="O42" s="20">
        <v>60</v>
      </c>
      <c r="P42" s="20">
        <v>70</v>
      </c>
      <c r="Q42" s="20">
        <v>65</v>
      </c>
      <c r="R42" s="20">
        <v>70</v>
      </c>
      <c r="S42" s="20">
        <v>70</v>
      </c>
      <c r="T42" s="21"/>
      <c r="U42" s="19">
        <v>75</v>
      </c>
      <c r="V42" s="20"/>
      <c r="W42" s="20">
        <v>65</v>
      </c>
      <c r="X42" s="20">
        <v>73</v>
      </c>
      <c r="Y42" s="20">
        <v>60</v>
      </c>
      <c r="Z42" s="20">
        <v>76</v>
      </c>
      <c r="AA42" s="20">
        <v>70</v>
      </c>
      <c r="AB42" s="21"/>
      <c r="AC42" s="19">
        <v>75</v>
      </c>
      <c r="AD42" s="20"/>
      <c r="AE42" s="20">
        <v>60</v>
      </c>
      <c r="AF42" s="20">
        <v>70</v>
      </c>
      <c r="AG42" s="20">
        <v>60</v>
      </c>
      <c r="AH42" s="20">
        <v>75</v>
      </c>
      <c r="AI42" s="20">
        <v>70</v>
      </c>
      <c r="AJ42" s="3"/>
      <c r="AK42" s="45">
        <f t="shared" si="4"/>
        <v>74.25</v>
      </c>
      <c r="AL42" s="46">
        <f t="shared" si="5"/>
        <v>71.75</v>
      </c>
      <c r="AM42" s="47">
        <f t="shared" si="6"/>
        <v>73.5</v>
      </c>
      <c r="AN42" s="48">
        <f t="shared" si="7"/>
        <v>72.5</v>
      </c>
      <c r="AO42" s="49">
        <f t="shared" si="8"/>
        <v>73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73</v>
      </c>
      <c r="BC42" s="65" t="str">
        <f t="shared" si="17"/>
        <v/>
      </c>
      <c r="BE42" s="20">
        <f t="shared" si="18"/>
        <v>75.75</v>
      </c>
      <c r="BF42" s="20">
        <f t="shared" si="19"/>
        <v>62.5</v>
      </c>
      <c r="BG42" s="93">
        <f t="shared" si="20"/>
        <v>61.25</v>
      </c>
      <c r="BH42" s="20">
        <f t="shared" si="21"/>
        <v>70</v>
      </c>
      <c r="BI42" s="20">
        <f t="shared" si="22"/>
        <v>67.375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4:F33 E34:AJ47 M4:N33 AC4:AD33">
    <cfRule type="cellIs" dxfId="67" priority="6" operator="lessThan">
      <formula>70</formula>
    </cfRule>
  </conditionalFormatting>
  <conditionalFormatting sqref="E3:AJ3">
    <cfRule type="cellIs" dxfId="66" priority="13" operator="lessThan">
      <formula>70</formula>
    </cfRule>
  </conditionalFormatting>
  <conditionalFormatting sqref="G4:L33">
    <cfRule type="cellIs" dxfId="65" priority="5" operator="lessThan">
      <formula>70</formula>
    </cfRule>
  </conditionalFormatting>
  <conditionalFormatting sqref="O4:AB33">
    <cfRule type="cellIs" dxfId="64" priority="4" operator="lessThan">
      <formula>70</formula>
    </cfRule>
  </conditionalFormatting>
  <conditionalFormatting sqref="AE4:AJ33">
    <cfRule type="cellIs" dxfId="63" priority="3" operator="lessThan">
      <formula>70</formula>
    </cfRule>
  </conditionalFormatting>
  <conditionalFormatting sqref="AK3:AP47">
    <cfRule type="cellIs" dxfId="62" priority="19" operator="lessThan">
      <formula>70</formula>
    </cfRule>
  </conditionalFormatting>
  <conditionalFormatting sqref="AR3:AR47">
    <cfRule type="cellIs" dxfId="61" priority="17" operator="lessThan">
      <formula>70</formula>
    </cfRule>
  </conditionalFormatting>
  <conditionalFormatting sqref="AR3:AY47">
    <cfRule type="cellIs" dxfId="60" priority="18" operator="lessThan">
      <formula>70</formula>
    </cfRule>
  </conditionalFormatting>
  <conditionalFormatting sqref="AZ3:AZ47">
    <cfRule type="cellIs" dxfId="59" priority="12" operator="lessThan">
      <formula>70</formula>
    </cfRule>
  </conditionalFormatting>
  <dataValidations count="1">
    <dataValidation type="custom" allowBlank="1" showInputMessage="1" showErrorMessage="1" sqref="E4:AI42" xr:uid="{C98D7BA4-311B-4F9B-B20C-009356CA4F3A}">
      <formula1>ISNUMBER(E4:E53)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9E17-33BF-4CEF-BAA8-870CFE366C97}">
  <dimension ref="A1:BI47"/>
  <sheetViews>
    <sheetView topLeftCell="A2" zoomScaleNormal="10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95</v>
      </c>
      <c r="F4" s="20"/>
      <c r="G4" s="20">
        <v>95</v>
      </c>
      <c r="H4" s="20"/>
      <c r="I4" s="20">
        <v>95</v>
      </c>
      <c r="J4" s="20"/>
      <c r="K4" s="20">
        <v>98</v>
      </c>
      <c r="L4" s="21"/>
      <c r="M4" s="19">
        <v>93</v>
      </c>
      <c r="N4" s="20"/>
      <c r="O4" s="20">
        <v>90</v>
      </c>
      <c r="P4" s="20"/>
      <c r="Q4" s="20">
        <v>94</v>
      </c>
      <c r="R4" s="20"/>
      <c r="S4" s="20">
        <v>95</v>
      </c>
      <c r="T4" s="21"/>
      <c r="U4" s="19">
        <v>95</v>
      </c>
      <c r="V4" s="20"/>
      <c r="W4" s="20">
        <v>92</v>
      </c>
      <c r="X4" s="20"/>
      <c r="Y4" s="20">
        <v>94</v>
      </c>
      <c r="Z4" s="20"/>
      <c r="AA4" s="20">
        <v>95</v>
      </c>
      <c r="AB4" s="21"/>
      <c r="AC4" s="1">
        <v>95</v>
      </c>
      <c r="AD4" s="20"/>
      <c r="AE4" s="20">
        <v>97</v>
      </c>
      <c r="AF4" s="20"/>
      <c r="AG4" s="20">
        <v>90</v>
      </c>
      <c r="AH4" s="20"/>
      <c r="AI4" s="20">
        <v>90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95.75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93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94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93</v>
      </c>
      <c r="AO4" s="49">
        <f t="shared" ref="AO4:AO47" si="8">AVERAGE(AK4:AN4)</f>
        <v>93.9375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93.9375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94.5</v>
      </c>
      <c r="BF4" s="20">
        <f t="shared" si="1"/>
        <v>93.5</v>
      </c>
      <c r="BG4" s="93">
        <f t="shared" si="2"/>
        <v>93.25</v>
      </c>
      <c r="BH4" s="20">
        <f t="shared" si="3"/>
        <v>94.5</v>
      </c>
      <c r="BI4" s="20">
        <f>AVERAGE(BE4:BH4)</f>
        <v>93.9375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100</v>
      </c>
      <c r="F5" s="20"/>
      <c r="G5" s="20">
        <v>95</v>
      </c>
      <c r="H5" s="20"/>
      <c r="I5" s="20">
        <v>95</v>
      </c>
      <c r="J5" s="20"/>
      <c r="K5" s="20">
        <v>98</v>
      </c>
      <c r="L5" s="21"/>
      <c r="M5" s="19">
        <v>93</v>
      </c>
      <c r="N5" s="20"/>
      <c r="O5" s="20">
        <v>90</v>
      </c>
      <c r="P5" s="20"/>
      <c r="Q5" s="20">
        <v>94</v>
      </c>
      <c r="R5" s="20"/>
      <c r="S5" s="20">
        <v>95</v>
      </c>
      <c r="T5" s="21"/>
      <c r="U5" s="19">
        <v>95</v>
      </c>
      <c r="V5" s="20"/>
      <c r="W5" s="20">
        <v>92</v>
      </c>
      <c r="X5" s="20"/>
      <c r="Y5" s="20">
        <v>94</v>
      </c>
      <c r="Z5" s="20"/>
      <c r="AA5" s="20">
        <v>95</v>
      </c>
      <c r="AB5" s="21"/>
      <c r="AC5" s="1">
        <v>95</v>
      </c>
      <c r="AD5" s="20"/>
      <c r="AE5" s="20">
        <v>97</v>
      </c>
      <c r="AF5" s="20"/>
      <c r="AG5" s="20">
        <v>90</v>
      </c>
      <c r="AH5" s="20"/>
      <c r="AI5" s="20">
        <v>90</v>
      </c>
      <c r="AJ5" s="3"/>
      <c r="AK5" s="45">
        <f t="shared" si="4"/>
        <v>97</v>
      </c>
      <c r="AL5" s="46">
        <f t="shared" si="5"/>
        <v>93</v>
      </c>
      <c r="AM5" s="47">
        <f t="shared" si="6"/>
        <v>94</v>
      </c>
      <c r="AN5" s="48">
        <f t="shared" si="7"/>
        <v>93</v>
      </c>
      <c r="AO5" s="49">
        <f t="shared" si="8"/>
        <v>94.25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94.25</v>
      </c>
      <c r="BC5" s="65" t="str">
        <f t="shared" si="17"/>
        <v/>
      </c>
      <c r="BE5" s="20">
        <f>SUM(E5+M5+U5+AC5)/4</f>
        <v>95.75</v>
      </c>
      <c r="BF5" s="20">
        <f>SUM(G5+O5+W5+AE5)/4</f>
        <v>93.5</v>
      </c>
      <c r="BG5" s="93">
        <f>SUM(I5+Q5+Y5+AG5)/4</f>
        <v>93.25</v>
      </c>
      <c r="BH5" s="20">
        <f>SUM(K5+S5+AA5+AI5)/4</f>
        <v>94.5</v>
      </c>
      <c r="BI5" s="20">
        <f>AVERAGE(BE5:BH5)</f>
        <v>94.25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93</v>
      </c>
      <c r="F6" s="20"/>
      <c r="G6" s="20">
        <v>80</v>
      </c>
      <c r="H6" s="20"/>
      <c r="I6" s="20">
        <v>85</v>
      </c>
      <c r="J6" s="20"/>
      <c r="K6" s="20">
        <v>70</v>
      </c>
      <c r="L6" s="21"/>
      <c r="M6" s="19">
        <v>85</v>
      </c>
      <c r="N6" s="20"/>
      <c r="O6" s="20">
        <v>98</v>
      </c>
      <c r="P6" s="20"/>
      <c r="Q6" s="20">
        <v>80</v>
      </c>
      <c r="R6" s="20"/>
      <c r="S6" s="20">
        <v>70</v>
      </c>
      <c r="T6" s="21"/>
      <c r="U6" s="19">
        <v>85</v>
      </c>
      <c r="V6" s="20"/>
      <c r="W6" s="20">
        <v>82</v>
      </c>
      <c r="X6" s="20"/>
      <c r="Y6" s="20">
        <v>80</v>
      </c>
      <c r="Z6" s="20"/>
      <c r="AA6" s="20">
        <v>70</v>
      </c>
      <c r="AB6" s="21"/>
      <c r="AC6" s="1">
        <v>95</v>
      </c>
      <c r="AD6" s="20"/>
      <c r="AE6" s="20">
        <v>72</v>
      </c>
      <c r="AF6" s="20"/>
      <c r="AG6" s="20">
        <v>75</v>
      </c>
      <c r="AH6" s="20"/>
      <c r="AI6" s="20">
        <v>90</v>
      </c>
      <c r="AJ6" s="3"/>
      <c r="AK6" s="45">
        <f t="shared" si="4"/>
        <v>82</v>
      </c>
      <c r="AL6" s="46">
        <f t="shared" si="5"/>
        <v>83.25</v>
      </c>
      <c r="AM6" s="47">
        <f t="shared" si="6"/>
        <v>79.25</v>
      </c>
      <c r="AN6" s="48">
        <f t="shared" si="7"/>
        <v>83</v>
      </c>
      <c r="AO6" s="49">
        <f t="shared" si="8"/>
        <v>81.875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81.875</v>
      </c>
      <c r="BC6" s="65" t="str">
        <f t="shared" si="17"/>
        <v/>
      </c>
      <c r="BE6" s="20">
        <f t="shared" ref="BE6:BE47" si="18">SUM(E6+M6+U6+AC6)/4</f>
        <v>89.5</v>
      </c>
      <c r="BF6" s="20">
        <f t="shared" ref="BF6:BF47" si="19">SUM(G6+O6+W6+AE6)/4</f>
        <v>83</v>
      </c>
      <c r="BG6" s="93">
        <f t="shared" ref="BG6:BG47" si="20">SUM(I6+Q6+Y6+AG6)/4</f>
        <v>80</v>
      </c>
      <c r="BH6" s="20">
        <f t="shared" ref="BH6:BH47" si="21">SUM(K6+S6+AA6+AI6)/4</f>
        <v>75</v>
      </c>
      <c r="BI6" s="20">
        <f t="shared" ref="BI6:BI47" si="22">AVERAGE(BE6:BH6)</f>
        <v>81.875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98</v>
      </c>
      <c r="F7" s="20"/>
      <c r="G7" s="20">
        <v>100</v>
      </c>
      <c r="H7" s="20"/>
      <c r="I7" s="20">
        <v>90</v>
      </c>
      <c r="J7" s="20"/>
      <c r="K7" s="20">
        <v>85</v>
      </c>
      <c r="L7" s="21"/>
      <c r="M7" s="19">
        <v>95</v>
      </c>
      <c r="N7" s="20"/>
      <c r="O7" s="20">
        <v>95</v>
      </c>
      <c r="P7" s="20"/>
      <c r="Q7" s="20">
        <v>92</v>
      </c>
      <c r="R7" s="20"/>
      <c r="S7" s="20">
        <v>80</v>
      </c>
      <c r="T7" s="21"/>
      <c r="U7" s="19">
        <v>100</v>
      </c>
      <c r="V7" s="20"/>
      <c r="W7" s="20">
        <v>98</v>
      </c>
      <c r="X7" s="20"/>
      <c r="Y7" s="20">
        <v>93</v>
      </c>
      <c r="Z7" s="20"/>
      <c r="AA7" s="20">
        <v>85</v>
      </c>
      <c r="AB7" s="21"/>
      <c r="AC7" s="1">
        <v>100</v>
      </c>
      <c r="AD7" s="20"/>
      <c r="AE7" s="20">
        <v>98</v>
      </c>
      <c r="AF7" s="20"/>
      <c r="AG7" s="20">
        <v>95</v>
      </c>
      <c r="AH7" s="20"/>
      <c r="AI7" s="20">
        <v>78</v>
      </c>
      <c r="AJ7" s="3"/>
      <c r="AK7" s="45">
        <f t="shared" si="4"/>
        <v>93.25</v>
      </c>
      <c r="AL7" s="46">
        <f t="shared" si="5"/>
        <v>90.5</v>
      </c>
      <c r="AM7" s="47">
        <f t="shared" si="6"/>
        <v>94</v>
      </c>
      <c r="AN7" s="48">
        <f t="shared" si="7"/>
        <v>92.75</v>
      </c>
      <c r="AO7" s="49">
        <f t="shared" si="8"/>
        <v>92.625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92.625</v>
      </c>
      <c r="BC7" s="65" t="str">
        <f t="shared" si="17"/>
        <v/>
      </c>
      <c r="BE7" s="20">
        <f t="shared" si="18"/>
        <v>98.25</v>
      </c>
      <c r="BF7" s="20">
        <f t="shared" si="19"/>
        <v>97.75</v>
      </c>
      <c r="BG7" s="93">
        <f t="shared" si="20"/>
        <v>92.5</v>
      </c>
      <c r="BH7" s="20">
        <f t="shared" si="21"/>
        <v>82</v>
      </c>
      <c r="BI7" s="20">
        <f t="shared" si="22"/>
        <v>92.625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85</v>
      </c>
      <c r="H8" s="20"/>
      <c r="I8" s="20">
        <v>78</v>
      </c>
      <c r="J8" s="20"/>
      <c r="K8" s="20">
        <v>80</v>
      </c>
      <c r="L8" s="21"/>
      <c r="M8" s="19">
        <v>80</v>
      </c>
      <c r="N8" s="20"/>
      <c r="O8" s="20">
        <v>84</v>
      </c>
      <c r="P8" s="20"/>
      <c r="Q8" s="20">
        <v>75</v>
      </c>
      <c r="R8" s="20"/>
      <c r="S8" s="20">
        <v>78</v>
      </c>
      <c r="T8" s="21"/>
      <c r="U8" s="19">
        <v>75</v>
      </c>
      <c r="V8" s="20"/>
      <c r="W8" s="20">
        <v>80</v>
      </c>
      <c r="X8" s="20"/>
      <c r="Y8" s="20">
        <v>78</v>
      </c>
      <c r="Z8" s="20"/>
      <c r="AA8" s="20">
        <v>87</v>
      </c>
      <c r="AB8" s="21"/>
      <c r="AC8" s="1">
        <v>85</v>
      </c>
      <c r="AD8" s="20"/>
      <c r="AE8" s="20">
        <v>83</v>
      </c>
      <c r="AF8" s="20"/>
      <c r="AG8" s="20">
        <v>80</v>
      </c>
      <c r="AH8" s="20"/>
      <c r="AI8" s="20">
        <v>90</v>
      </c>
      <c r="AJ8" s="3"/>
      <c r="AK8" s="45">
        <f t="shared" si="4"/>
        <v>80.75</v>
      </c>
      <c r="AL8" s="46">
        <f t="shared" si="5"/>
        <v>79.25</v>
      </c>
      <c r="AM8" s="47">
        <f t="shared" si="6"/>
        <v>80</v>
      </c>
      <c r="AN8" s="48">
        <f t="shared" si="7"/>
        <v>84.5</v>
      </c>
      <c r="AO8" s="49">
        <f t="shared" si="8"/>
        <v>81.125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81.125</v>
      </c>
      <c r="BC8" s="65" t="str">
        <f t="shared" si="17"/>
        <v/>
      </c>
      <c r="BE8" s="20">
        <f t="shared" si="18"/>
        <v>80</v>
      </c>
      <c r="BF8" s="20">
        <f t="shared" si="19"/>
        <v>83</v>
      </c>
      <c r="BG8" s="93">
        <f t="shared" si="20"/>
        <v>77.75</v>
      </c>
      <c r="BH8" s="20">
        <f t="shared" si="21"/>
        <v>83.75</v>
      </c>
      <c r="BI8" s="20">
        <f t="shared" si="22"/>
        <v>81.125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93</v>
      </c>
      <c r="F9" s="20"/>
      <c r="G9" s="20">
        <v>100</v>
      </c>
      <c r="H9" s="20"/>
      <c r="I9" s="20">
        <v>98</v>
      </c>
      <c r="J9" s="20"/>
      <c r="K9" s="20">
        <v>95</v>
      </c>
      <c r="L9" s="21"/>
      <c r="M9" s="19">
        <v>95</v>
      </c>
      <c r="N9" s="20"/>
      <c r="O9" s="20">
        <v>98</v>
      </c>
      <c r="P9" s="20"/>
      <c r="Q9" s="20">
        <v>100</v>
      </c>
      <c r="R9" s="20"/>
      <c r="S9" s="20">
        <v>98</v>
      </c>
      <c r="T9" s="21"/>
      <c r="U9" s="19">
        <v>98</v>
      </c>
      <c r="V9" s="20"/>
      <c r="W9" s="20">
        <v>98</v>
      </c>
      <c r="X9" s="20"/>
      <c r="Y9" s="20">
        <v>95</v>
      </c>
      <c r="Z9" s="20"/>
      <c r="AA9" s="20">
        <v>100</v>
      </c>
      <c r="AB9" s="21"/>
      <c r="AC9" s="1">
        <v>100</v>
      </c>
      <c r="AD9" s="20"/>
      <c r="AE9" s="20">
        <v>100</v>
      </c>
      <c r="AF9" s="20"/>
      <c r="AG9" s="20">
        <v>98</v>
      </c>
      <c r="AH9" s="20"/>
      <c r="AI9" s="20">
        <v>91</v>
      </c>
      <c r="AJ9" s="3"/>
      <c r="AK9" s="45">
        <f t="shared" si="4"/>
        <v>96.5</v>
      </c>
      <c r="AL9" s="46">
        <f t="shared" si="5"/>
        <v>97.75</v>
      </c>
      <c r="AM9" s="47">
        <f t="shared" si="6"/>
        <v>97.75</v>
      </c>
      <c r="AN9" s="48">
        <f t="shared" si="7"/>
        <v>97.25</v>
      </c>
      <c r="AO9" s="49">
        <f t="shared" si="8"/>
        <v>97.3125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97.3125</v>
      </c>
      <c r="BC9" s="65" t="str">
        <f t="shared" si="17"/>
        <v/>
      </c>
      <c r="BE9" s="20">
        <f t="shared" si="18"/>
        <v>96.5</v>
      </c>
      <c r="BF9" s="20">
        <f t="shared" si="19"/>
        <v>99</v>
      </c>
      <c r="BG9" s="93">
        <f t="shared" si="20"/>
        <v>97.75</v>
      </c>
      <c r="BH9" s="20">
        <f t="shared" si="21"/>
        <v>96</v>
      </c>
      <c r="BI9" s="20">
        <f t="shared" si="22"/>
        <v>97.3125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80</v>
      </c>
      <c r="F10" s="20"/>
      <c r="G10" s="20">
        <v>85</v>
      </c>
      <c r="H10" s="20"/>
      <c r="I10" s="20">
        <v>75</v>
      </c>
      <c r="J10" s="20"/>
      <c r="K10" s="20">
        <v>70</v>
      </c>
      <c r="L10" s="21"/>
      <c r="M10" s="19">
        <v>82</v>
      </c>
      <c r="N10" s="20"/>
      <c r="O10" s="20">
        <v>80</v>
      </c>
      <c r="P10" s="20"/>
      <c r="Q10" s="20">
        <v>72</v>
      </c>
      <c r="R10" s="20"/>
      <c r="S10" s="20">
        <v>75</v>
      </c>
      <c r="T10" s="21"/>
      <c r="U10" s="19">
        <v>80</v>
      </c>
      <c r="V10" s="20"/>
      <c r="W10" s="20">
        <v>87</v>
      </c>
      <c r="X10" s="20"/>
      <c r="Y10" s="20">
        <v>73</v>
      </c>
      <c r="Z10" s="20"/>
      <c r="AA10" s="20">
        <v>72</v>
      </c>
      <c r="AB10" s="21"/>
      <c r="AC10" s="1">
        <v>80</v>
      </c>
      <c r="AD10" s="20"/>
      <c r="AE10" s="20">
        <v>82</v>
      </c>
      <c r="AF10" s="20"/>
      <c r="AG10" s="20">
        <v>70</v>
      </c>
      <c r="AH10" s="20"/>
      <c r="AI10" s="20">
        <v>73</v>
      </c>
      <c r="AJ10" s="3"/>
      <c r="AK10" s="45">
        <f t="shared" si="4"/>
        <v>77.5</v>
      </c>
      <c r="AL10" s="46">
        <f t="shared" si="5"/>
        <v>77.25</v>
      </c>
      <c r="AM10" s="47">
        <f t="shared" si="6"/>
        <v>78</v>
      </c>
      <c r="AN10" s="48">
        <f t="shared" si="7"/>
        <v>76.25</v>
      </c>
      <c r="AO10" s="49">
        <f t="shared" si="8"/>
        <v>77.25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77.25</v>
      </c>
      <c r="BC10" s="65" t="str">
        <f t="shared" si="17"/>
        <v/>
      </c>
      <c r="BE10" s="20">
        <f t="shared" si="18"/>
        <v>80.5</v>
      </c>
      <c r="BF10" s="20">
        <f t="shared" si="19"/>
        <v>83.5</v>
      </c>
      <c r="BG10" s="93">
        <f t="shared" si="20"/>
        <v>72.5</v>
      </c>
      <c r="BH10" s="20">
        <f t="shared" si="21"/>
        <v>72.5</v>
      </c>
      <c r="BI10" s="20">
        <f t="shared" si="22"/>
        <v>77.25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70</v>
      </c>
      <c r="H11" s="20"/>
      <c r="I11" s="20">
        <v>85</v>
      </c>
      <c r="J11" s="20"/>
      <c r="K11" s="20">
        <v>90</v>
      </c>
      <c r="L11" s="21"/>
      <c r="M11" s="19">
        <v>85</v>
      </c>
      <c r="N11" s="20"/>
      <c r="O11" s="20">
        <v>90</v>
      </c>
      <c r="P11" s="20"/>
      <c r="Q11" s="20">
        <v>80</v>
      </c>
      <c r="R11" s="20"/>
      <c r="S11" s="20">
        <v>90</v>
      </c>
      <c r="T11" s="21"/>
      <c r="U11" s="19">
        <v>80</v>
      </c>
      <c r="V11" s="20"/>
      <c r="W11" s="20">
        <v>82</v>
      </c>
      <c r="X11" s="20"/>
      <c r="Y11" s="20">
        <v>80</v>
      </c>
      <c r="Z11" s="20"/>
      <c r="AA11" s="20">
        <v>90</v>
      </c>
      <c r="AB11" s="21"/>
      <c r="AC11" s="1">
        <v>90</v>
      </c>
      <c r="AD11" s="20"/>
      <c r="AE11" s="20">
        <v>79</v>
      </c>
      <c r="AF11" s="20"/>
      <c r="AG11" s="20">
        <v>75</v>
      </c>
      <c r="AH11" s="20"/>
      <c r="AI11" s="20">
        <v>90</v>
      </c>
      <c r="AJ11" s="3"/>
      <c r="AK11" s="45">
        <f t="shared" si="4"/>
        <v>81.25</v>
      </c>
      <c r="AL11" s="46">
        <f t="shared" si="5"/>
        <v>86.25</v>
      </c>
      <c r="AM11" s="47">
        <f t="shared" si="6"/>
        <v>83</v>
      </c>
      <c r="AN11" s="48">
        <f t="shared" si="7"/>
        <v>83.5</v>
      </c>
      <c r="AO11" s="49">
        <f t="shared" si="8"/>
        <v>83.5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83.5</v>
      </c>
      <c r="BC11" s="65" t="str">
        <f t="shared" si="17"/>
        <v/>
      </c>
      <c r="BE11" s="20">
        <f t="shared" si="18"/>
        <v>83.75</v>
      </c>
      <c r="BF11" s="20">
        <f t="shared" si="19"/>
        <v>80.25</v>
      </c>
      <c r="BG11" s="93">
        <f t="shared" si="20"/>
        <v>80</v>
      </c>
      <c r="BH11" s="20">
        <f t="shared" si="21"/>
        <v>90</v>
      </c>
      <c r="BI11" s="20">
        <f t="shared" si="22"/>
        <v>83.5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70</v>
      </c>
      <c r="F13" s="20"/>
      <c r="G13" s="20">
        <v>71</v>
      </c>
      <c r="H13" s="20"/>
      <c r="I13" s="20">
        <v>70</v>
      </c>
      <c r="J13" s="20"/>
      <c r="K13" s="20">
        <v>70</v>
      </c>
      <c r="L13" s="21"/>
      <c r="M13" s="19">
        <v>70</v>
      </c>
      <c r="N13" s="20"/>
      <c r="O13" s="20">
        <v>70</v>
      </c>
      <c r="P13" s="20"/>
      <c r="Q13" s="20">
        <v>70</v>
      </c>
      <c r="R13" s="20"/>
      <c r="S13" s="20">
        <v>70</v>
      </c>
      <c r="T13" s="21"/>
      <c r="U13" s="19">
        <v>70</v>
      </c>
      <c r="V13" s="20"/>
      <c r="W13" s="20">
        <v>70</v>
      </c>
      <c r="X13" s="20"/>
      <c r="Y13" s="20">
        <v>70</v>
      </c>
      <c r="Z13" s="20"/>
      <c r="AA13" s="20">
        <v>70</v>
      </c>
      <c r="AB13" s="21"/>
      <c r="AC13" s="1">
        <v>72</v>
      </c>
      <c r="AD13" s="20"/>
      <c r="AE13" s="20">
        <v>71</v>
      </c>
      <c r="AF13" s="20"/>
      <c r="AG13" s="20">
        <v>70</v>
      </c>
      <c r="AH13" s="20"/>
      <c r="AI13" s="20">
        <v>70</v>
      </c>
      <c r="AJ13" s="3"/>
      <c r="AK13" s="45">
        <f t="shared" si="4"/>
        <v>70.25</v>
      </c>
      <c r="AL13" s="46">
        <f t="shared" si="5"/>
        <v>70</v>
      </c>
      <c r="AM13" s="47">
        <f t="shared" si="6"/>
        <v>70</v>
      </c>
      <c r="AN13" s="48">
        <f t="shared" si="7"/>
        <v>70.75</v>
      </c>
      <c r="AO13" s="49">
        <f t="shared" si="8"/>
        <v>70.25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70.25</v>
      </c>
      <c r="BC13" s="65" t="str">
        <f t="shared" si="17"/>
        <v/>
      </c>
      <c r="BE13" s="20">
        <f t="shared" si="18"/>
        <v>70.5</v>
      </c>
      <c r="BF13" s="20">
        <f t="shared" si="19"/>
        <v>70.5</v>
      </c>
      <c r="BG13" s="93">
        <f t="shared" si="20"/>
        <v>70</v>
      </c>
      <c r="BH13" s="20">
        <f t="shared" si="21"/>
        <v>70</v>
      </c>
      <c r="BI13" s="20">
        <f t="shared" si="22"/>
        <v>70.25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93</v>
      </c>
      <c r="F14" s="20"/>
      <c r="G14" s="20">
        <v>95</v>
      </c>
      <c r="H14" s="20"/>
      <c r="I14" s="20">
        <v>90</v>
      </c>
      <c r="J14" s="20"/>
      <c r="K14" s="20">
        <v>95</v>
      </c>
      <c r="L14" s="21"/>
      <c r="M14" s="19">
        <v>95</v>
      </c>
      <c r="N14" s="20"/>
      <c r="O14" s="20">
        <v>90</v>
      </c>
      <c r="P14" s="20"/>
      <c r="Q14" s="20">
        <v>92</v>
      </c>
      <c r="R14" s="20"/>
      <c r="S14" s="20">
        <v>90</v>
      </c>
      <c r="T14" s="21"/>
      <c r="U14" s="19">
        <v>93</v>
      </c>
      <c r="V14" s="20"/>
      <c r="W14" s="20">
        <v>90</v>
      </c>
      <c r="X14" s="20"/>
      <c r="Y14" s="20">
        <v>95</v>
      </c>
      <c r="Z14" s="20"/>
      <c r="AA14" s="20">
        <v>92</v>
      </c>
      <c r="AB14" s="21"/>
      <c r="AC14" s="1">
        <v>95</v>
      </c>
      <c r="AD14" s="20"/>
      <c r="AE14" s="20">
        <v>95</v>
      </c>
      <c r="AF14" s="20"/>
      <c r="AG14" s="20">
        <v>90</v>
      </c>
      <c r="AH14" s="20"/>
      <c r="AI14" s="20">
        <v>93</v>
      </c>
      <c r="AJ14" s="3"/>
      <c r="AK14" s="45">
        <f t="shared" si="4"/>
        <v>93.25</v>
      </c>
      <c r="AL14" s="46">
        <f t="shared" si="5"/>
        <v>91.75</v>
      </c>
      <c r="AM14" s="47">
        <f t="shared" si="6"/>
        <v>92.5</v>
      </c>
      <c r="AN14" s="48">
        <f t="shared" si="7"/>
        <v>93.25</v>
      </c>
      <c r="AO14" s="49">
        <f t="shared" si="8"/>
        <v>92.6875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92.6875</v>
      </c>
      <c r="BC14" s="65" t="str">
        <f t="shared" si="17"/>
        <v/>
      </c>
      <c r="BE14" s="20">
        <f t="shared" si="18"/>
        <v>94</v>
      </c>
      <c r="BF14" s="20">
        <f t="shared" si="19"/>
        <v>92.5</v>
      </c>
      <c r="BG14" s="93">
        <f t="shared" si="20"/>
        <v>91.75</v>
      </c>
      <c r="BH14" s="20">
        <f t="shared" si="21"/>
        <v>92.5</v>
      </c>
      <c r="BI14" s="20">
        <f t="shared" si="22"/>
        <v>92.6875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75</v>
      </c>
      <c r="F15" s="20"/>
      <c r="G15" s="20">
        <v>80</v>
      </c>
      <c r="H15" s="20"/>
      <c r="I15" s="20">
        <v>85</v>
      </c>
      <c r="J15" s="20"/>
      <c r="K15" s="20">
        <v>80</v>
      </c>
      <c r="L15" s="21"/>
      <c r="M15" s="19">
        <v>78</v>
      </c>
      <c r="N15" s="20"/>
      <c r="O15" s="20">
        <v>82</v>
      </c>
      <c r="P15" s="20"/>
      <c r="Q15" s="20">
        <v>81</v>
      </c>
      <c r="R15" s="20"/>
      <c r="S15" s="20">
        <v>79</v>
      </c>
      <c r="T15" s="21"/>
      <c r="U15" s="19">
        <v>80</v>
      </c>
      <c r="V15" s="20"/>
      <c r="W15" s="20">
        <v>82</v>
      </c>
      <c r="X15" s="20"/>
      <c r="Y15" s="20">
        <v>80</v>
      </c>
      <c r="Z15" s="20"/>
      <c r="AA15" s="20">
        <v>82</v>
      </c>
      <c r="AB15" s="21"/>
      <c r="AC15" s="1">
        <v>84</v>
      </c>
      <c r="AD15" s="20"/>
      <c r="AE15" s="20">
        <v>80</v>
      </c>
      <c r="AF15" s="20"/>
      <c r="AG15" s="20">
        <v>80</v>
      </c>
      <c r="AH15" s="20"/>
      <c r="AI15" s="20">
        <v>80</v>
      </c>
      <c r="AJ15" s="3"/>
      <c r="AK15" s="45">
        <f t="shared" si="4"/>
        <v>80</v>
      </c>
      <c r="AL15" s="46">
        <f t="shared" si="5"/>
        <v>80</v>
      </c>
      <c r="AM15" s="47">
        <f t="shared" si="6"/>
        <v>81</v>
      </c>
      <c r="AN15" s="48">
        <f t="shared" si="7"/>
        <v>81</v>
      </c>
      <c r="AO15" s="49">
        <f t="shared" si="8"/>
        <v>80.5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80.5</v>
      </c>
      <c r="BC15" s="65" t="str">
        <f t="shared" si="17"/>
        <v/>
      </c>
      <c r="BE15" s="20">
        <f t="shared" si="18"/>
        <v>79.25</v>
      </c>
      <c r="BF15" s="20">
        <f t="shared" si="19"/>
        <v>81</v>
      </c>
      <c r="BG15" s="93">
        <f t="shared" si="20"/>
        <v>81.5</v>
      </c>
      <c r="BH15" s="20">
        <f t="shared" si="21"/>
        <v>80.25</v>
      </c>
      <c r="BI15" s="20">
        <f t="shared" si="22"/>
        <v>80.5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75</v>
      </c>
      <c r="H17" s="20"/>
      <c r="I17" s="20">
        <v>82</v>
      </c>
      <c r="J17" s="20"/>
      <c r="K17" s="20">
        <v>80</v>
      </c>
      <c r="L17" s="21"/>
      <c r="M17" s="19">
        <v>77</v>
      </c>
      <c r="N17" s="20"/>
      <c r="O17" s="20">
        <v>75</v>
      </c>
      <c r="P17" s="20"/>
      <c r="Q17" s="20">
        <v>84</v>
      </c>
      <c r="R17" s="20"/>
      <c r="S17" s="20">
        <v>80</v>
      </c>
      <c r="T17" s="21"/>
      <c r="U17" s="19">
        <v>80</v>
      </c>
      <c r="V17" s="20"/>
      <c r="W17" s="20">
        <v>79</v>
      </c>
      <c r="X17" s="20"/>
      <c r="Y17" s="20">
        <v>81</v>
      </c>
      <c r="Z17" s="20"/>
      <c r="AA17" s="20">
        <v>75</v>
      </c>
      <c r="AB17" s="21"/>
      <c r="AC17" s="1">
        <v>84</v>
      </c>
      <c r="AD17" s="20"/>
      <c r="AE17" s="20">
        <v>80</v>
      </c>
      <c r="AF17" s="20"/>
      <c r="AG17" s="20">
        <v>78</v>
      </c>
      <c r="AH17" s="20"/>
      <c r="AI17" s="20">
        <v>80</v>
      </c>
      <c r="AJ17" s="3"/>
      <c r="AK17" s="45">
        <f t="shared" si="4"/>
        <v>78.75</v>
      </c>
      <c r="AL17" s="46">
        <f t="shared" si="5"/>
        <v>79</v>
      </c>
      <c r="AM17" s="47">
        <f t="shared" si="6"/>
        <v>78.75</v>
      </c>
      <c r="AN17" s="48">
        <f t="shared" si="7"/>
        <v>80.5</v>
      </c>
      <c r="AO17" s="49">
        <f t="shared" si="8"/>
        <v>79.25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79.25</v>
      </c>
      <c r="BC17" s="65" t="str">
        <f t="shared" si="17"/>
        <v/>
      </c>
      <c r="BE17" s="20">
        <f t="shared" si="18"/>
        <v>79.75</v>
      </c>
      <c r="BF17" s="20">
        <f t="shared" si="19"/>
        <v>77.25</v>
      </c>
      <c r="BG17" s="93">
        <f t="shared" si="20"/>
        <v>81.25</v>
      </c>
      <c r="BH17" s="20">
        <f t="shared" si="21"/>
        <v>78.75</v>
      </c>
      <c r="BI17" s="20">
        <f t="shared" si="22"/>
        <v>79.25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100</v>
      </c>
      <c r="F18" s="20"/>
      <c r="G18" s="20">
        <v>95</v>
      </c>
      <c r="H18" s="20"/>
      <c r="I18" s="20">
        <v>100</v>
      </c>
      <c r="J18" s="20"/>
      <c r="K18" s="20">
        <v>100</v>
      </c>
      <c r="L18" s="21"/>
      <c r="M18" s="19">
        <v>98</v>
      </c>
      <c r="N18" s="20"/>
      <c r="O18" s="20">
        <v>100</v>
      </c>
      <c r="P18" s="20"/>
      <c r="Q18" s="20">
        <v>100</v>
      </c>
      <c r="R18" s="20"/>
      <c r="S18" s="20">
        <v>100</v>
      </c>
      <c r="T18" s="21"/>
      <c r="U18" s="19">
        <v>100</v>
      </c>
      <c r="V18" s="20"/>
      <c r="W18" s="20">
        <v>100</v>
      </c>
      <c r="X18" s="20"/>
      <c r="Y18" s="20">
        <v>98</v>
      </c>
      <c r="Z18" s="20"/>
      <c r="AA18" s="20">
        <v>100</v>
      </c>
      <c r="AB18" s="21"/>
      <c r="AC18" s="1">
        <v>98</v>
      </c>
      <c r="AD18" s="20"/>
      <c r="AE18" s="20">
        <v>95</v>
      </c>
      <c r="AF18" s="20"/>
      <c r="AG18" s="20">
        <v>100</v>
      </c>
      <c r="AH18" s="20"/>
      <c r="AI18" s="20">
        <v>100</v>
      </c>
      <c r="AJ18" s="3"/>
      <c r="AK18" s="45">
        <f t="shared" si="4"/>
        <v>98.75</v>
      </c>
      <c r="AL18" s="46">
        <f t="shared" si="5"/>
        <v>99.5</v>
      </c>
      <c r="AM18" s="47">
        <f t="shared" si="6"/>
        <v>99.5</v>
      </c>
      <c r="AN18" s="48">
        <f t="shared" si="7"/>
        <v>98.25</v>
      </c>
      <c r="AO18" s="49">
        <f t="shared" si="8"/>
        <v>99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99</v>
      </c>
      <c r="BC18" s="65" t="str">
        <f t="shared" si="17"/>
        <v/>
      </c>
      <c r="BE18" s="20">
        <f t="shared" si="18"/>
        <v>99</v>
      </c>
      <c r="BF18" s="20">
        <f t="shared" si="19"/>
        <v>97.5</v>
      </c>
      <c r="BG18" s="93">
        <f t="shared" si="20"/>
        <v>99.5</v>
      </c>
      <c r="BH18" s="20">
        <f t="shared" si="21"/>
        <v>100</v>
      </c>
      <c r="BI18" s="20">
        <f t="shared" si="22"/>
        <v>99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95</v>
      </c>
      <c r="F19" s="20"/>
      <c r="G19" s="20">
        <v>90</v>
      </c>
      <c r="H19" s="20"/>
      <c r="I19" s="20">
        <v>98</v>
      </c>
      <c r="J19" s="20"/>
      <c r="K19" s="20">
        <v>98</v>
      </c>
      <c r="L19" s="21"/>
      <c r="M19" s="19">
        <v>93</v>
      </c>
      <c r="N19" s="20"/>
      <c r="O19" s="20">
        <v>100</v>
      </c>
      <c r="P19" s="20"/>
      <c r="Q19" s="20">
        <v>100</v>
      </c>
      <c r="R19" s="20"/>
      <c r="S19" s="20">
        <v>95</v>
      </c>
      <c r="T19" s="21"/>
      <c r="U19" s="19">
        <v>100</v>
      </c>
      <c r="V19" s="20"/>
      <c r="W19" s="20">
        <v>100</v>
      </c>
      <c r="X19" s="20"/>
      <c r="Y19" s="20">
        <v>95</v>
      </c>
      <c r="Z19" s="20"/>
      <c r="AA19" s="20">
        <v>92</v>
      </c>
      <c r="AB19" s="21"/>
      <c r="AC19" s="1">
        <v>98</v>
      </c>
      <c r="AD19" s="20"/>
      <c r="AE19" s="20">
        <v>98</v>
      </c>
      <c r="AF19" s="20"/>
      <c r="AG19" s="20">
        <v>100</v>
      </c>
      <c r="AH19" s="20"/>
      <c r="AI19" s="20">
        <v>100</v>
      </c>
      <c r="AJ19" s="3"/>
      <c r="AK19" s="45">
        <f t="shared" si="4"/>
        <v>95.25</v>
      </c>
      <c r="AL19" s="46">
        <f t="shared" si="5"/>
        <v>97</v>
      </c>
      <c r="AM19" s="47">
        <f t="shared" si="6"/>
        <v>96.75</v>
      </c>
      <c r="AN19" s="48">
        <f t="shared" si="7"/>
        <v>99</v>
      </c>
      <c r="AO19" s="49">
        <f t="shared" si="8"/>
        <v>97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97</v>
      </c>
      <c r="BC19" s="65" t="str">
        <f t="shared" si="17"/>
        <v/>
      </c>
      <c r="BE19" s="20">
        <f t="shared" si="18"/>
        <v>96.5</v>
      </c>
      <c r="BF19" s="20">
        <f t="shared" si="19"/>
        <v>97</v>
      </c>
      <c r="BG19" s="93">
        <f t="shared" si="20"/>
        <v>98.25</v>
      </c>
      <c r="BH19" s="20">
        <f t="shared" si="21"/>
        <v>96.25</v>
      </c>
      <c r="BI19" s="20">
        <f t="shared" si="22"/>
        <v>97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88</v>
      </c>
      <c r="F20" s="20"/>
      <c r="G20" s="20">
        <v>95</v>
      </c>
      <c r="H20" s="20"/>
      <c r="I20" s="20">
        <v>90</v>
      </c>
      <c r="J20" s="20"/>
      <c r="K20" s="20">
        <v>95</v>
      </c>
      <c r="L20" s="21"/>
      <c r="M20" s="19">
        <v>90</v>
      </c>
      <c r="N20" s="20"/>
      <c r="O20" s="20">
        <v>85</v>
      </c>
      <c r="P20" s="20"/>
      <c r="Q20" s="20">
        <v>88</v>
      </c>
      <c r="R20" s="20"/>
      <c r="S20" s="20">
        <v>92</v>
      </c>
      <c r="T20" s="21"/>
      <c r="U20" s="19">
        <v>85</v>
      </c>
      <c r="V20" s="20"/>
      <c r="W20" s="20">
        <v>90</v>
      </c>
      <c r="X20" s="20"/>
      <c r="Y20" s="20">
        <v>97</v>
      </c>
      <c r="Z20" s="20"/>
      <c r="AA20" s="20">
        <v>90</v>
      </c>
      <c r="AB20" s="21"/>
      <c r="AC20" s="1">
        <v>90</v>
      </c>
      <c r="AD20" s="20"/>
      <c r="AE20" s="20">
        <v>80</v>
      </c>
      <c r="AF20" s="20"/>
      <c r="AG20" s="20">
        <v>90</v>
      </c>
      <c r="AH20" s="20"/>
      <c r="AI20" s="20">
        <v>95</v>
      </c>
      <c r="AJ20" s="3"/>
      <c r="AK20" s="45">
        <f t="shared" si="4"/>
        <v>92</v>
      </c>
      <c r="AL20" s="46">
        <f t="shared" si="5"/>
        <v>88.75</v>
      </c>
      <c r="AM20" s="47">
        <f t="shared" si="6"/>
        <v>90.5</v>
      </c>
      <c r="AN20" s="48">
        <f t="shared" si="7"/>
        <v>88.75</v>
      </c>
      <c r="AO20" s="49">
        <f t="shared" si="8"/>
        <v>90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90</v>
      </c>
      <c r="BC20" s="65" t="str">
        <f t="shared" si="17"/>
        <v/>
      </c>
      <c r="BE20" s="20">
        <f t="shared" si="18"/>
        <v>88.25</v>
      </c>
      <c r="BF20" s="20">
        <f t="shared" si="19"/>
        <v>87.5</v>
      </c>
      <c r="BG20" s="93">
        <f t="shared" si="20"/>
        <v>91.25</v>
      </c>
      <c r="BH20" s="20">
        <f t="shared" si="21"/>
        <v>93</v>
      </c>
      <c r="BI20" s="20">
        <f t="shared" si="22"/>
        <v>90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85</v>
      </c>
      <c r="H21" s="20"/>
      <c r="I21" s="20">
        <v>95</v>
      </c>
      <c r="J21" s="20"/>
      <c r="K21" s="20">
        <v>92</v>
      </c>
      <c r="L21" s="21"/>
      <c r="M21" s="19">
        <v>90</v>
      </c>
      <c r="N21" s="20"/>
      <c r="O21" s="20">
        <v>90</v>
      </c>
      <c r="P21" s="20"/>
      <c r="Q21" s="20">
        <v>93</v>
      </c>
      <c r="R21" s="20"/>
      <c r="S21" s="20">
        <v>95</v>
      </c>
      <c r="T21" s="21"/>
      <c r="U21" s="19">
        <v>100</v>
      </c>
      <c r="V21" s="20"/>
      <c r="W21" s="20">
        <v>90</v>
      </c>
      <c r="X21" s="20"/>
      <c r="Y21" s="20">
        <v>95</v>
      </c>
      <c r="Z21" s="20"/>
      <c r="AA21" s="20">
        <v>91</v>
      </c>
      <c r="AB21" s="21"/>
      <c r="AC21" s="1">
        <v>95</v>
      </c>
      <c r="AD21" s="20"/>
      <c r="AE21" s="20">
        <v>98</v>
      </c>
      <c r="AF21" s="20"/>
      <c r="AG21" s="20">
        <v>90</v>
      </c>
      <c r="AH21" s="20"/>
      <c r="AI21" s="20">
        <v>90</v>
      </c>
      <c r="AJ21" s="3"/>
      <c r="AK21" s="45">
        <f t="shared" si="4"/>
        <v>90.5</v>
      </c>
      <c r="AL21" s="46">
        <f t="shared" si="5"/>
        <v>92</v>
      </c>
      <c r="AM21" s="47">
        <f t="shared" si="6"/>
        <v>94</v>
      </c>
      <c r="AN21" s="48">
        <f t="shared" si="7"/>
        <v>93.25</v>
      </c>
      <c r="AO21" s="49">
        <f t="shared" si="8"/>
        <v>92.4375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92.4375</v>
      </c>
      <c r="BC21" s="65" t="str">
        <f t="shared" si="17"/>
        <v/>
      </c>
      <c r="BE21" s="20">
        <f t="shared" si="18"/>
        <v>93.75</v>
      </c>
      <c r="BF21" s="20">
        <f t="shared" si="19"/>
        <v>90.75</v>
      </c>
      <c r="BG21" s="93">
        <f t="shared" si="20"/>
        <v>93.25</v>
      </c>
      <c r="BH21" s="20">
        <f t="shared" si="21"/>
        <v>92</v>
      </c>
      <c r="BI21" s="20">
        <f t="shared" si="22"/>
        <v>92.4375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85</v>
      </c>
      <c r="F22" s="20"/>
      <c r="G22" s="20">
        <v>90</v>
      </c>
      <c r="H22" s="20"/>
      <c r="I22" s="20">
        <v>92</v>
      </c>
      <c r="J22" s="20"/>
      <c r="K22" s="20">
        <v>90</v>
      </c>
      <c r="L22" s="21"/>
      <c r="M22" s="19">
        <v>80</v>
      </c>
      <c r="N22" s="20"/>
      <c r="O22" s="20">
        <v>85</v>
      </c>
      <c r="P22" s="20"/>
      <c r="Q22" s="20">
        <v>90</v>
      </c>
      <c r="R22" s="20"/>
      <c r="S22" s="20">
        <v>85</v>
      </c>
      <c r="T22" s="21"/>
      <c r="U22" s="19">
        <v>95</v>
      </c>
      <c r="V22" s="20"/>
      <c r="W22" s="20">
        <v>80</v>
      </c>
      <c r="X22" s="20"/>
      <c r="Y22" s="20">
        <v>91</v>
      </c>
      <c r="Z22" s="20"/>
      <c r="AA22" s="20">
        <v>91</v>
      </c>
      <c r="AB22" s="21"/>
      <c r="AC22" s="1">
        <v>100</v>
      </c>
      <c r="AD22" s="20"/>
      <c r="AE22" s="20">
        <v>90</v>
      </c>
      <c r="AF22" s="20"/>
      <c r="AG22" s="20">
        <v>92</v>
      </c>
      <c r="AH22" s="20"/>
      <c r="AI22" s="20">
        <v>88</v>
      </c>
      <c r="AJ22" s="3"/>
      <c r="AK22" s="45">
        <f t="shared" si="4"/>
        <v>89.25</v>
      </c>
      <c r="AL22" s="46">
        <f t="shared" si="5"/>
        <v>85</v>
      </c>
      <c r="AM22" s="47">
        <f t="shared" si="6"/>
        <v>89.25</v>
      </c>
      <c r="AN22" s="48">
        <f t="shared" si="7"/>
        <v>92.5</v>
      </c>
      <c r="AO22" s="49">
        <f t="shared" si="8"/>
        <v>89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89</v>
      </c>
      <c r="BC22" s="65" t="str">
        <f t="shared" si="17"/>
        <v/>
      </c>
      <c r="BE22" s="20">
        <f t="shared" si="18"/>
        <v>90</v>
      </c>
      <c r="BF22" s="20">
        <f t="shared" si="19"/>
        <v>86.25</v>
      </c>
      <c r="BG22" s="93">
        <f t="shared" si="20"/>
        <v>91.25</v>
      </c>
      <c r="BH22" s="20">
        <f t="shared" si="21"/>
        <v>88.5</v>
      </c>
      <c r="BI22" s="20">
        <f t="shared" si="22"/>
        <v>89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/>
      <c r="F25" s="20"/>
      <c r="G25" s="20"/>
      <c r="H25" s="20"/>
      <c r="I25" s="20"/>
      <c r="J25" s="20"/>
      <c r="K25" s="20"/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"/>
      <c r="AD25" s="20"/>
      <c r="AE25" s="20"/>
      <c r="AF25" s="20"/>
      <c r="AG25" s="20"/>
      <c r="AH25" s="20"/>
      <c r="AI25" s="20"/>
      <c r="AJ25" s="3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80</v>
      </c>
      <c r="H26" s="20"/>
      <c r="I26" s="20">
        <v>70</v>
      </c>
      <c r="J26" s="20"/>
      <c r="K26" s="20">
        <v>75</v>
      </c>
      <c r="L26" s="21"/>
      <c r="M26" s="19">
        <v>78</v>
      </c>
      <c r="N26" s="20"/>
      <c r="O26" s="20">
        <v>82</v>
      </c>
      <c r="P26" s="20"/>
      <c r="Q26" s="20">
        <v>72</v>
      </c>
      <c r="R26" s="20"/>
      <c r="S26" s="20">
        <v>76</v>
      </c>
      <c r="T26" s="21"/>
      <c r="U26" s="19">
        <v>78</v>
      </c>
      <c r="V26" s="20"/>
      <c r="W26" s="20">
        <v>75</v>
      </c>
      <c r="X26" s="20"/>
      <c r="Y26" s="20">
        <v>75</v>
      </c>
      <c r="Z26" s="20"/>
      <c r="AA26" s="20">
        <v>78</v>
      </c>
      <c r="AB26" s="21"/>
      <c r="AC26" s="1">
        <v>75</v>
      </c>
      <c r="AD26" s="20"/>
      <c r="AE26" s="20">
        <v>80</v>
      </c>
      <c r="AF26" s="20"/>
      <c r="AG26" s="20">
        <v>78</v>
      </c>
      <c r="AH26" s="20"/>
      <c r="AI26" s="20">
        <v>75</v>
      </c>
      <c r="AJ26" s="3"/>
      <c r="AK26" s="45">
        <f t="shared" si="4"/>
        <v>75</v>
      </c>
      <c r="AL26" s="46">
        <f t="shared" si="5"/>
        <v>77</v>
      </c>
      <c r="AM26" s="47">
        <f t="shared" si="6"/>
        <v>76.5</v>
      </c>
      <c r="AN26" s="48">
        <f t="shared" si="7"/>
        <v>77</v>
      </c>
      <c r="AO26" s="49">
        <f t="shared" si="8"/>
        <v>76.375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76.375</v>
      </c>
      <c r="BC26" s="65" t="str">
        <f t="shared" si="17"/>
        <v/>
      </c>
      <c r="BE26" s="20">
        <f t="shared" si="18"/>
        <v>76.5</v>
      </c>
      <c r="BF26" s="20">
        <f t="shared" si="19"/>
        <v>79.25</v>
      </c>
      <c r="BG26" s="93">
        <f t="shared" si="20"/>
        <v>73.75</v>
      </c>
      <c r="BH26" s="20">
        <f t="shared" si="21"/>
        <v>76</v>
      </c>
      <c r="BI26" s="20">
        <f t="shared" si="22"/>
        <v>76.375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98</v>
      </c>
      <c r="F28" s="20"/>
      <c r="G28" s="20">
        <v>100</v>
      </c>
      <c r="H28" s="20"/>
      <c r="I28" s="20">
        <v>100</v>
      </c>
      <c r="J28" s="20"/>
      <c r="K28" s="20">
        <v>95</v>
      </c>
      <c r="L28" s="21"/>
      <c r="M28" s="19">
        <v>95</v>
      </c>
      <c r="N28" s="20"/>
      <c r="O28" s="20">
        <v>95</v>
      </c>
      <c r="P28" s="20"/>
      <c r="Q28" s="20">
        <v>98</v>
      </c>
      <c r="R28" s="20"/>
      <c r="S28" s="20">
        <v>95</v>
      </c>
      <c r="T28" s="21"/>
      <c r="U28" s="19">
        <v>100</v>
      </c>
      <c r="V28" s="20"/>
      <c r="W28" s="20">
        <v>90</v>
      </c>
      <c r="X28" s="20"/>
      <c r="Y28" s="20">
        <v>98</v>
      </c>
      <c r="Z28" s="20"/>
      <c r="AA28" s="20">
        <v>98</v>
      </c>
      <c r="AB28" s="21"/>
      <c r="AC28" s="1">
        <v>95</v>
      </c>
      <c r="AD28" s="20"/>
      <c r="AE28" s="20">
        <v>98</v>
      </c>
      <c r="AF28" s="20"/>
      <c r="AG28" s="20">
        <v>98</v>
      </c>
      <c r="AH28" s="20"/>
      <c r="AI28" s="20">
        <v>100</v>
      </c>
      <c r="AJ28" s="3"/>
      <c r="AK28" s="45">
        <f t="shared" si="4"/>
        <v>98.25</v>
      </c>
      <c r="AL28" s="46">
        <f t="shared" si="5"/>
        <v>95.75</v>
      </c>
      <c r="AM28" s="47">
        <f t="shared" si="6"/>
        <v>96.5</v>
      </c>
      <c r="AN28" s="48">
        <f t="shared" si="7"/>
        <v>97.75</v>
      </c>
      <c r="AO28" s="49">
        <f t="shared" si="8"/>
        <v>97.0625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97.0625</v>
      </c>
      <c r="BC28" s="65" t="str">
        <f t="shared" si="17"/>
        <v/>
      </c>
      <c r="BE28" s="20">
        <f t="shared" si="18"/>
        <v>97</v>
      </c>
      <c r="BF28" s="20">
        <f t="shared" si="19"/>
        <v>95.75</v>
      </c>
      <c r="BG28" s="93">
        <f t="shared" si="20"/>
        <v>98.5</v>
      </c>
      <c r="BH28" s="20">
        <f t="shared" si="21"/>
        <v>97</v>
      </c>
      <c r="BI28" s="20">
        <f t="shared" si="22"/>
        <v>97.0625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80</v>
      </c>
      <c r="F29" s="20"/>
      <c r="G29" s="20">
        <v>100</v>
      </c>
      <c r="H29" s="20"/>
      <c r="I29" s="20">
        <v>93</v>
      </c>
      <c r="J29" s="20"/>
      <c r="K29" s="20">
        <v>80</v>
      </c>
      <c r="L29" s="21"/>
      <c r="M29" s="19">
        <v>98</v>
      </c>
      <c r="N29" s="20"/>
      <c r="O29" s="20">
        <v>95</v>
      </c>
      <c r="P29" s="20"/>
      <c r="Q29" s="20">
        <v>90</v>
      </c>
      <c r="R29" s="20"/>
      <c r="S29" s="20">
        <v>85</v>
      </c>
      <c r="T29" s="21"/>
      <c r="U29" s="19">
        <v>90</v>
      </c>
      <c r="V29" s="20"/>
      <c r="W29" s="20">
        <v>98</v>
      </c>
      <c r="X29" s="20"/>
      <c r="Y29" s="20">
        <v>95</v>
      </c>
      <c r="Z29" s="20"/>
      <c r="AA29" s="20">
        <v>80</v>
      </c>
      <c r="AB29" s="21"/>
      <c r="AC29" s="1">
        <v>85</v>
      </c>
      <c r="AD29" s="20"/>
      <c r="AE29" s="20">
        <v>90</v>
      </c>
      <c r="AF29" s="20"/>
      <c r="AG29" s="20">
        <v>90</v>
      </c>
      <c r="AH29" s="20"/>
      <c r="AI29" s="20">
        <v>82</v>
      </c>
      <c r="AJ29" s="3"/>
      <c r="AK29" s="45">
        <f t="shared" si="4"/>
        <v>88.25</v>
      </c>
      <c r="AL29" s="46">
        <f t="shared" si="5"/>
        <v>92</v>
      </c>
      <c r="AM29" s="47">
        <f t="shared" si="6"/>
        <v>90.75</v>
      </c>
      <c r="AN29" s="48">
        <f t="shared" si="7"/>
        <v>86.75</v>
      </c>
      <c r="AO29" s="49">
        <f t="shared" si="8"/>
        <v>89.4375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89.4375</v>
      </c>
      <c r="BC29" s="65" t="str">
        <f t="shared" si="17"/>
        <v/>
      </c>
      <c r="BE29" s="20">
        <f t="shared" si="18"/>
        <v>88.25</v>
      </c>
      <c r="BF29" s="20">
        <f t="shared" si="19"/>
        <v>95.75</v>
      </c>
      <c r="BG29" s="93">
        <f t="shared" si="20"/>
        <v>92</v>
      </c>
      <c r="BH29" s="20">
        <f t="shared" si="21"/>
        <v>81.75</v>
      </c>
      <c r="BI29" s="20">
        <f t="shared" si="22"/>
        <v>89.4375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98</v>
      </c>
      <c r="F30" s="20"/>
      <c r="G30" s="20">
        <v>100</v>
      </c>
      <c r="H30" s="20"/>
      <c r="I30" s="20">
        <v>90</v>
      </c>
      <c r="J30" s="20"/>
      <c r="K30" s="20">
        <v>95</v>
      </c>
      <c r="L30" s="21"/>
      <c r="M30" s="19">
        <v>95</v>
      </c>
      <c r="N30" s="20"/>
      <c r="O30" s="20">
        <v>92</v>
      </c>
      <c r="P30" s="20"/>
      <c r="Q30" s="20">
        <v>90</v>
      </c>
      <c r="R30" s="20"/>
      <c r="S30" s="20">
        <v>95</v>
      </c>
      <c r="T30" s="21"/>
      <c r="U30" s="19">
        <v>95</v>
      </c>
      <c r="V30" s="20"/>
      <c r="W30" s="20">
        <v>100</v>
      </c>
      <c r="X30" s="20"/>
      <c r="Y30" s="20">
        <v>90</v>
      </c>
      <c r="Z30" s="20"/>
      <c r="AA30" s="20">
        <v>95</v>
      </c>
      <c r="AB30" s="21"/>
      <c r="AC30" s="1">
        <v>90</v>
      </c>
      <c r="AD30" s="20"/>
      <c r="AE30" s="20">
        <v>95</v>
      </c>
      <c r="AF30" s="20"/>
      <c r="AG30" s="20">
        <v>98</v>
      </c>
      <c r="AH30" s="20"/>
      <c r="AI30" s="20">
        <v>95</v>
      </c>
      <c r="AJ30" s="3"/>
      <c r="AK30" s="45">
        <f t="shared" si="4"/>
        <v>95.75</v>
      </c>
      <c r="AL30" s="46">
        <f t="shared" si="5"/>
        <v>93</v>
      </c>
      <c r="AM30" s="47">
        <f t="shared" si="6"/>
        <v>95</v>
      </c>
      <c r="AN30" s="48">
        <f t="shared" si="7"/>
        <v>94.5</v>
      </c>
      <c r="AO30" s="49">
        <f t="shared" si="8"/>
        <v>94.5625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94.5625</v>
      </c>
      <c r="BC30" s="65" t="str">
        <f t="shared" si="17"/>
        <v/>
      </c>
      <c r="BE30" s="20">
        <f t="shared" si="18"/>
        <v>94.5</v>
      </c>
      <c r="BF30" s="20">
        <f t="shared" si="19"/>
        <v>96.75</v>
      </c>
      <c r="BG30" s="93">
        <f t="shared" si="20"/>
        <v>92</v>
      </c>
      <c r="BH30" s="20">
        <f t="shared" si="21"/>
        <v>95</v>
      </c>
      <c r="BI30" s="20">
        <f t="shared" si="22"/>
        <v>94.5625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>
        <v>85</v>
      </c>
      <c r="F31" s="20"/>
      <c r="G31" s="20"/>
      <c r="H31" s="20"/>
      <c r="I31" s="20"/>
      <c r="J31" s="20"/>
      <c r="K31" s="20"/>
      <c r="L31" s="21"/>
      <c r="M31" s="19">
        <v>95</v>
      </c>
      <c r="N31" s="20"/>
      <c r="O31" s="20"/>
      <c r="P31" s="20"/>
      <c r="Q31" s="20"/>
      <c r="R31" s="20"/>
      <c r="S31" s="20"/>
      <c r="T31" s="21"/>
      <c r="U31" s="19">
        <v>87</v>
      </c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21.25</v>
      </c>
      <c r="AL31" s="46">
        <f t="shared" si="5"/>
        <v>23.75</v>
      </c>
      <c r="AM31" s="47">
        <f t="shared" si="6"/>
        <v>21.75</v>
      </c>
      <c r="AN31" s="48">
        <f t="shared" si="7"/>
        <v>0</v>
      </c>
      <c r="AO31" s="49">
        <f t="shared" si="8"/>
        <v>16.6875</v>
      </c>
      <c r="AP31" s="38"/>
      <c r="AR31" s="55">
        <f t="shared" si="9"/>
        <v>8.34375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16.6875</v>
      </c>
      <c r="BE31" s="20">
        <f t="shared" si="18"/>
        <v>66.75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16.6875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80</v>
      </c>
      <c r="F32" s="20"/>
      <c r="G32" s="20">
        <v>75</v>
      </c>
      <c r="H32" s="20"/>
      <c r="I32" s="20">
        <v>82</v>
      </c>
      <c r="J32" s="20"/>
      <c r="K32" s="20">
        <v>78</v>
      </c>
      <c r="L32" s="21"/>
      <c r="M32" s="19">
        <v>85</v>
      </c>
      <c r="N32" s="20"/>
      <c r="O32" s="20">
        <v>78</v>
      </c>
      <c r="P32" s="20"/>
      <c r="Q32" s="20">
        <v>80</v>
      </c>
      <c r="R32" s="20"/>
      <c r="S32" s="20">
        <v>87</v>
      </c>
      <c r="T32" s="21"/>
      <c r="U32" s="19">
        <v>80</v>
      </c>
      <c r="V32" s="20"/>
      <c r="W32" s="20">
        <v>80</v>
      </c>
      <c r="X32" s="20"/>
      <c r="Y32" s="20">
        <v>75</v>
      </c>
      <c r="Z32" s="20"/>
      <c r="AA32" s="20">
        <v>78</v>
      </c>
      <c r="AB32" s="21"/>
      <c r="AC32" s="1">
        <v>80</v>
      </c>
      <c r="AD32" s="20"/>
      <c r="AE32" s="20">
        <v>78</v>
      </c>
      <c r="AF32" s="20"/>
      <c r="AG32" s="20">
        <v>85</v>
      </c>
      <c r="AH32" s="20"/>
      <c r="AI32" s="20">
        <v>80</v>
      </c>
      <c r="AJ32" s="3"/>
      <c r="AK32" s="45">
        <f t="shared" si="4"/>
        <v>78.75</v>
      </c>
      <c r="AL32" s="46">
        <f t="shared" si="5"/>
        <v>82.5</v>
      </c>
      <c r="AM32" s="47">
        <f t="shared" si="6"/>
        <v>78.25</v>
      </c>
      <c r="AN32" s="48">
        <f t="shared" si="7"/>
        <v>80.75</v>
      </c>
      <c r="AO32" s="49">
        <f t="shared" si="8"/>
        <v>80.0625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80.0625</v>
      </c>
      <c r="BC32" s="65" t="str">
        <f t="shared" si="17"/>
        <v/>
      </c>
      <c r="BE32" s="20">
        <f t="shared" si="18"/>
        <v>81.25</v>
      </c>
      <c r="BF32" s="20">
        <f t="shared" si="19"/>
        <v>77.75</v>
      </c>
      <c r="BG32" s="93">
        <f t="shared" si="20"/>
        <v>80.5</v>
      </c>
      <c r="BH32" s="20">
        <f t="shared" si="21"/>
        <v>80.75</v>
      </c>
      <c r="BI32" s="20">
        <f t="shared" si="22"/>
        <v>80.0625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85</v>
      </c>
      <c r="F33" s="20"/>
      <c r="G33" s="20">
        <v>78</v>
      </c>
      <c r="H33" s="20"/>
      <c r="I33" s="20">
        <v>90</v>
      </c>
      <c r="J33" s="20"/>
      <c r="K33" s="20">
        <v>90</v>
      </c>
      <c r="L33" s="21"/>
      <c r="M33" s="19">
        <v>85</v>
      </c>
      <c r="N33" s="20"/>
      <c r="O33" s="20">
        <v>75</v>
      </c>
      <c r="P33" s="20"/>
      <c r="Q33" s="20">
        <v>92</v>
      </c>
      <c r="R33" s="20"/>
      <c r="S33" s="20">
        <v>90</v>
      </c>
      <c r="T33" s="21"/>
      <c r="U33" s="19">
        <v>80</v>
      </c>
      <c r="V33" s="20"/>
      <c r="W33" s="20">
        <v>83</v>
      </c>
      <c r="X33" s="20"/>
      <c r="Y33" s="20">
        <v>90</v>
      </c>
      <c r="Z33" s="20"/>
      <c r="AA33" s="20">
        <v>90</v>
      </c>
      <c r="AB33" s="21"/>
      <c r="AC33" s="1">
        <v>91</v>
      </c>
      <c r="AD33" s="20"/>
      <c r="AE33" s="20">
        <v>85</v>
      </c>
      <c r="AF33" s="20"/>
      <c r="AG33" s="20">
        <v>90</v>
      </c>
      <c r="AH33" s="20"/>
      <c r="AI33" s="20">
        <v>92</v>
      </c>
      <c r="AJ33" s="3"/>
      <c r="AK33" s="45">
        <f t="shared" si="4"/>
        <v>85.75</v>
      </c>
      <c r="AL33" s="46">
        <f t="shared" si="5"/>
        <v>85.5</v>
      </c>
      <c r="AM33" s="47">
        <f t="shared" si="6"/>
        <v>85.75</v>
      </c>
      <c r="AN33" s="48">
        <f t="shared" si="7"/>
        <v>89.5</v>
      </c>
      <c r="AO33" s="49">
        <f t="shared" si="8"/>
        <v>86.625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86.625</v>
      </c>
      <c r="BC33" s="65" t="str">
        <f t="shared" si="17"/>
        <v/>
      </c>
      <c r="BE33" s="20">
        <f t="shared" si="18"/>
        <v>85.25</v>
      </c>
      <c r="BF33" s="20">
        <f t="shared" si="19"/>
        <v>80.25</v>
      </c>
      <c r="BG33" s="93">
        <f t="shared" si="20"/>
        <v>90.5</v>
      </c>
      <c r="BH33" s="20">
        <f t="shared" si="21"/>
        <v>90.5</v>
      </c>
      <c r="BI33" s="20">
        <f t="shared" si="22"/>
        <v>86.625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85</v>
      </c>
      <c r="F34" s="20"/>
      <c r="G34" s="20">
        <v>75</v>
      </c>
      <c r="H34" s="20"/>
      <c r="I34" s="20">
        <v>78</v>
      </c>
      <c r="J34" s="20"/>
      <c r="K34" s="20">
        <v>80</v>
      </c>
      <c r="L34" s="21"/>
      <c r="M34" s="19">
        <v>88</v>
      </c>
      <c r="N34" s="20"/>
      <c r="O34" s="20">
        <v>80</v>
      </c>
      <c r="P34" s="20"/>
      <c r="Q34" s="20">
        <v>85</v>
      </c>
      <c r="R34" s="20"/>
      <c r="S34" s="20">
        <v>75</v>
      </c>
      <c r="T34" s="21"/>
      <c r="U34" s="19">
        <v>90</v>
      </c>
      <c r="V34" s="20"/>
      <c r="W34" s="20">
        <v>79</v>
      </c>
      <c r="X34" s="20"/>
      <c r="Y34" s="20">
        <v>82</v>
      </c>
      <c r="Z34" s="20"/>
      <c r="AA34" s="20">
        <v>75</v>
      </c>
      <c r="AB34" s="21"/>
      <c r="AC34" s="1">
        <v>85</v>
      </c>
      <c r="AD34" s="20"/>
      <c r="AE34" s="20">
        <v>83</v>
      </c>
      <c r="AF34" s="20"/>
      <c r="AG34" s="20">
        <v>80</v>
      </c>
      <c r="AH34" s="20"/>
      <c r="AI34" s="20">
        <v>70</v>
      </c>
      <c r="AJ34" s="3"/>
      <c r="AK34" s="45">
        <f t="shared" si="4"/>
        <v>79.5</v>
      </c>
      <c r="AL34" s="46">
        <f t="shared" si="5"/>
        <v>82</v>
      </c>
      <c r="AM34" s="47">
        <f t="shared" si="6"/>
        <v>81.5</v>
      </c>
      <c r="AN34" s="48">
        <f t="shared" si="7"/>
        <v>79.5</v>
      </c>
      <c r="AO34" s="49">
        <f t="shared" si="8"/>
        <v>80.625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80.625</v>
      </c>
      <c r="BC34" s="65" t="str">
        <f t="shared" si="17"/>
        <v/>
      </c>
      <c r="BE34" s="20">
        <f t="shared" si="18"/>
        <v>87</v>
      </c>
      <c r="BF34" s="20">
        <f t="shared" si="19"/>
        <v>79.25</v>
      </c>
      <c r="BG34" s="93">
        <f t="shared" si="20"/>
        <v>81.25</v>
      </c>
      <c r="BH34" s="20">
        <f t="shared" si="21"/>
        <v>75</v>
      </c>
      <c r="BI34" s="20">
        <f t="shared" si="22"/>
        <v>80.625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80</v>
      </c>
      <c r="F35" s="20"/>
      <c r="G35" s="20">
        <v>82</v>
      </c>
      <c r="H35" s="20"/>
      <c r="I35" s="20">
        <v>85</v>
      </c>
      <c r="J35" s="20"/>
      <c r="K35" s="20">
        <v>84</v>
      </c>
      <c r="L35" s="21"/>
      <c r="M35" s="19">
        <v>85</v>
      </c>
      <c r="N35" s="20"/>
      <c r="O35" s="20">
        <v>80</v>
      </c>
      <c r="P35" s="20"/>
      <c r="Q35" s="20">
        <v>82</v>
      </c>
      <c r="R35" s="20"/>
      <c r="S35" s="20">
        <v>85</v>
      </c>
      <c r="T35" s="21"/>
      <c r="U35" s="19">
        <v>87</v>
      </c>
      <c r="V35" s="20"/>
      <c r="W35" s="20">
        <v>81</v>
      </c>
      <c r="X35" s="20"/>
      <c r="Y35" s="20">
        <v>85</v>
      </c>
      <c r="Z35" s="20"/>
      <c r="AA35" s="20">
        <v>80</v>
      </c>
      <c r="AB35" s="21"/>
      <c r="AC35" s="1">
        <v>80</v>
      </c>
      <c r="AD35" s="20"/>
      <c r="AE35" s="20">
        <v>85</v>
      </c>
      <c r="AF35" s="20"/>
      <c r="AG35" s="20">
        <v>87</v>
      </c>
      <c r="AH35" s="20"/>
      <c r="AI35" s="20">
        <v>89</v>
      </c>
      <c r="AJ35" s="3"/>
      <c r="AK35" s="45">
        <f t="shared" si="4"/>
        <v>82.75</v>
      </c>
      <c r="AL35" s="46">
        <f t="shared" si="5"/>
        <v>83</v>
      </c>
      <c r="AM35" s="47">
        <f t="shared" si="6"/>
        <v>83.25</v>
      </c>
      <c r="AN35" s="48">
        <f t="shared" si="7"/>
        <v>85.25</v>
      </c>
      <c r="AO35" s="49">
        <f t="shared" si="8"/>
        <v>83.5625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83.5625</v>
      </c>
      <c r="BC35" s="65" t="str">
        <f t="shared" si="17"/>
        <v/>
      </c>
      <c r="BE35" s="20">
        <f t="shared" si="18"/>
        <v>83</v>
      </c>
      <c r="BF35" s="20">
        <f t="shared" si="19"/>
        <v>82</v>
      </c>
      <c r="BG35" s="93">
        <f t="shared" si="20"/>
        <v>84.75</v>
      </c>
      <c r="BH35" s="20">
        <f t="shared" si="21"/>
        <v>84.5</v>
      </c>
      <c r="BI35" s="20">
        <f t="shared" si="22"/>
        <v>83.5625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95</v>
      </c>
      <c r="F36" s="20"/>
      <c r="G36" s="20">
        <v>100</v>
      </c>
      <c r="H36" s="20"/>
      <c r="I36" s="20">
        <v>95</v>
      </c>
      <c r="J36" s="20"/>
      <c r="K36" s="20">
        <v>98</v>
      </c>
      <c r="L36" s="21"/>
      <c r="M36" s="19">
        <v>100</v>
      </c>
      <c r="N36" s="20"/>
      <c r="O36" s="20">
        <v>100</v>
      </c>
      <c r="P36" s="20"/>
      <c r="Q36" s="20">
        <v>98</v>
      </c>
      <c r="R36" s="20"/>
      <c r="S36" s="20">
        <v>100</v>
      </c>
      <c r="T36" s="21"/>
      <c r="U36" s="19">
        <v>100</v>
      </c>
      <c r="V36" s="20"/>
      <c r="W36" s="20">
        <v>98</v>
      </c>
      <c r="X36" s="20"/>
      <c r="Y36" s="20">
        <v>98</v>
      </c>
      <c r="Z36" s="20"/>
      <c r="AA36" s="20">
        <v>95</v>
      </c>
      <c r="AB36" s="21"/>
      <c r="AC36" s="1">
        <v>100</v>
      </c>
      <c r="AD36" s="20"/>
      <c r="AE36" s="20">
        <v>98</v>
      </c>
      <c r="AF36" s="20"/>
      <c r="AG36" s="20">
        <v>95</v>
      </c>
      <c r="AH36" s="20"/>
      <c r="AI36" s="20">
        <v>100</v>
      </c>
      <c r="AJ36" s="3"/>
      <c r="AK36" s="45">
        <f t="shared" si="4"/>
        <v>97</v>
      </c>
      <c r="AL36" s="46">
        <f t="shared" si="5"/>
        <v>99.5</v>
      </c>
      <c r="AM36" s="47">
        <f t="shared" si="6"/>
        <v>97.75</v>
      </c>
      <c r="AN36" s="48">
        <f t="shared" si="7"/>
        <v>98.25</v>
      </c>
      <c r="AO36" s="49">
        <f t="shared" si="8"/>
        <v>98.125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98.125</v>
      </c>
      <c r="BC36" s="65" t="str">
        <f t="shared" si="17"/>
        <v/>
      </c>
      <c r="BE36" s="20">
        <f t="shared" si="18"/>
        <v>98.75</v>
      </c>
      <c r="BF36" s="20">
        <f t="shared" si="19"/>
        <v>99</v>
      </c>
      <c r="BG36" s="93">
        <f t="shared" si="20"/>
        <v>96.5</v>
      </c>
      <c r="BH36" s="20">
        <f t="shared" si="21"/>
        <v>98.25</v>
      </c>
      <c r="BI36" s="20">
        <f t="shared" si="22"/>
        <v>98.125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98</v>
      </c>
      <c r="H37" s="20"/>
      <c r="I37" s="20">
        <v>90</v>
      </c>
      <c r="J37" s="20"/>
      <c r="K37" s="20">
        <v>93</v>
      </c>
      <c r="L37" s="21"/>
      <c r="M37" s="19">
        <v>85</v>
      </c>
      <c r="N37" s="20"/>
      <c r="O37" s="20">
        <v>94</v>
      </c>
      <c r="P37" s="20"/>
      <c r="Q37" s="20">
        <v>92</v>
      </c>
      <c r="R37" s="20"/>
      <c r="S37" s="20">
        <v>90</v>
      </c>
      <c r="T37" s="3"/>
      <c r="U37" s="19">
        <v>90</v>
      </c>
      <c r="V37" s="20"/>
      <c r="W37" s="20">
        <v>85</v>
      </c>
      <c r="X37" s="20"/>
      <c r="Y37" s="20">
        <v>87</v>
      </c>
      <c r="Z37" s="20"/>
      <c r="AA37" s="20">
        <v>90</v>
      </c>
      <c r="AB37" s="21"/>
      <c r="AC37" s="1">
        <v>90</v>
      </c>
      <c r="AD37" s="20"/>
      <c r="AE37" s="20">
        <v>88</v>
      </c>
      <c r="AF37" s="20"/>
      <c r="AG37" s="20">
        <v>92</v>
      </c>
      <c r="AH37" s="20"/>
      <c r="AI37" s="20">
        <v>90</v>
      </c>
      <c r="AJ37" s="3"/>
      <c r="AK37" s="45">
        <f t="shared" si="4"/>
        <v>92.75</v>
      </c>
      <c r="AL37" s="46">
        <f t="shared" si="5"/>
        <v>90.25</v>
      </c>
      <c r="AM37" s="47">
        <f t="shared" si="6"/>
        <v>88</v>
      </c>
      <c r="AN37" s="48">
        <f t="shared" si="7"/>
        <v>90</v>
      </c>
      <c r="AO37" s="49">
        <f t="shared" si="8"/>
        <v>90.25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90.25</v>
      </c>
      <c r="BC37" s="65" t="str">
        <f t="shared" si="17"/>
        <v/>
      </c>
      <c r="BE37" s="20">
        <f t="shared" si="18"/>
        <v>88.75</v>
      </c>
      <c r="BF37" s="20">
        <f t="shared" si="19"/>
        <v>91.25</v>
      </c>
      <c r="BG37" s="93">
        <f t="shared" si="20"/>
        <v>90.25</v>
      </c>
      <c r="BH37" s="20">
        <f t="shared" si="21"/>
        <v>90.75</v>
      </c>
      <c r="BI37" s="20">
        <f t="shared" si="22"/>
        <v>90.25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80">
        <v>80</v>
      </c>
      <c r="F38" s="81"/>
      <c r="G38" s="81">
        <v>82</v>
      </c>
      <c r="H38" s="81"/>
      <c r="I38" s="81">
        <v>80</v>
      </c>
      <c r="J38" s="81"/>
      <c r="K38" s="81">
        <v>85</v>
      </c>
      <c r="L38" s="82"/>
      <c r="M38" s="80">
        <v>80</v>
      </c>
      <c r="N38" s="81"/>
      <c r="O38" s="81">
        <v>80</v>
      </c>
      <c r="P38" s="81"/>
      <c r="Q38" s="81">
        <v>84</v>
      </c>
      <c r="R38" s="81"/>
      <c r="S38" s="81">
        <v>84</v>
      </c>
      <c r="T38" s="82"/>
      <c r="U38" s="80">
        <v>83</v>
      </c>
      <c r="V38" s="81"/>
      <c r="W38" s="81">
        <v>85</v>
      </c>
      <c r="X38" s="81"/>
      <c r="Y38" s="81">
        <v>88</v>
      </c>
      <c r="Z38" s="81"/>
      <c r="AA38" s="81">
        <v>85</v>
      </c>
      <c r="AB38" s="82"/>
      <c r="AC38" s="80">
        <v>87</v>
      </c>
      <c r="AD38" s="81"/>
      <c r="AE38" s="81">
        <v>85</v>
      </c>
      <c r="AF38" s="81"/>
      <c r="AG38" s="81">
        <v>89</v>
      </c>
      <c r="AH38" s="81"/>
      <c r="AI38" s="81">
        <v>85</v>
      </c>
      <c r="AJ38" s="82"/>
      <c r="AK38" s="83">
        <f t="shared" ref="AK38:AK42" si="23">SUMIF(E38, "&gt;=70") / 4 +SUMIF(G38, "&gt;=70") / 4 +SUMIF(I38, "&gt;=70") / 4 +SUMIF(K38, "&gt;=70") / 4 + SUMIF(F38, "&gt;1") / 4 + SUMIF(H38, "&gt;1") / 4 + SUMIF(J38, "&gt;1") / 4 + SUMIF(L38, "&gt;1") / 4</f>
        <v>81.75</v>
      </c>
      <c r="AL38" s="84">
        <f t="shared" ref="AL38:AL42" si="24">SUMIF(M38, "&gt;=70") / 4 +SUMIF(O38, "&gt;=70") / 4 +SUMIF(Q38, "&gt;=70") / 4 +SUMIF(S38, "&gt;=70") / 4 + SUMIF(N38, "&gt;1") / 4 + SUMIF(P38, "&gt;1") / 4 + SUMIF(R38, "&gt;1") / 4 + SUMIF(T38, "&gt;1") / 4</f>
        <v>82</v>
      </c>
      <c r="AM38" s="85">
        <f t="shared" ref="AM38:AM42" si="25">SUMIF(U38, "&gt;=70") / 4 +SUMIF(W38, "&gt;=70") / 4 +SUMIF(Y38, "&gt;=70") / 4 +SUMIF(AA38, "&gt;=70") / 4 + SUMIF(V38, "&gt;1") / 4 + SUMIF(X38, "&gt;1") / 4 + SUMIF(Z38, "&gt;1") / 4 + SUMIF(AB38, "&gt;1") / 4</f>
        <v>85.25</v>
      </c>
      <c r="AN38" s="86">
        <f t="shared" ref="AN38:AN42" si="26">SUMIF(AC38, "&gt;=65") / 4 +SUMIF(AE38, "&gt;=65") / 4 +SUMIF(AG38, "&gt;=65") / 4 +SUMIF(AI38, "&gt;=65") / 4 + SUMIF(AD38, "&gt;1") / 4 + SUMIF(AF38, "&gt;1") / 4 + SUMIF(AH38, "&gt;1") / 4 + SUMIF(AJ38, "&gt;1") / 4</f>
        <v>86.5</v>
      </c>
      <c r="AO38" s="87">
        <f t="shared" si="8"/>
        <v>83.875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83.875</v>
      </c>
      <c r="BC38" s="65" t="str">
        <f t="shared" si="17"/>
        <v/>
      </c>
      <c r="BE38" s="20">
        <f t="shared" si="18"/>
        <v>82.5</v>
      </c>
      <c r="BF38" s="20">
        <f t="shared" si="19"/>
        <v>83</v>
      </c>
      <c r="BG38" s="93">
        <f t="shared" si="20"/>
        <v>85.25</v>
      </c>
      <c r="BH38" s="20">
        <f t="shared" si="21"/>
        <v>84.75</v>
      </c>
      <c r="BI38" s="20">
        <f t="shared" si="22"/>
        <v>83.875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80">
        <v>0</v>
      </c>
      <c r="F39" s="81"/>
      <c r="G39" s="81">
        <v>0</v>
      </c>
      <c r="H39" s="81"/>
      <c r="I39" s="81">
        <v>0</v>
      </c>
      <c r="J39" s="81"/>
      <c r="K39" s="81">
        <v>0</v>
      </c>
      <c r="L39" s="82"/>
      <c r="M39" s="80">
        <v>0</v>
      </c>
      <c r="N39" s="81"/>
      <c r="O39" s="81">
        <v>0</v>
      </c>
      <c r="P39" s="81"/>
      <c r="Q39" s="81">
        <v>0</v>
      </c>
      <c r="R39" s="81"/>
      <c r="S39" s="81">
        <v>0</v>
      </c>
      <c r="T39" s="82"/>
      <c r="U39" s="80">
        <v>0</v>
      </c>
      <c r="V39" s="81"/>
      <c r="W39" s="81">
        <v>0</v>
      </c>
      <c r="X39" s="81"/>
      <c r="Y39" s="81">
        <v>0</v>
      </c>
      <c r="Z39" s="81"/>
      <c r="AA39" s="81">
        <v>0</v>
      </c>
      <c r="AB39" s="82"/>
      <c r="AC39" s="80">
        <v>0</v>
      </c>
      <c r="AD39" s="81"/>
      <c r="AE39" s="81">
        <v>0</v>
      </c>
      <c r="AF39" s="81"/>
      <c r="AG39" s="81">
        <v>0</v>
      </c>
      <c r="AH39" s="81"/>
      <c r="AI39" s="81">
        <v>0</v>
      </c>
      <c r="AJ39" s="82"/>
      <c r="AK39" s="83">
        <f t="shared" si="23"/>
        <v>0</v>
      </c>
      <c r="AL39" s="84">
        <f t="shared" si="24"/>
        <v>0</v>
      </c>
      <c r="AM39" s="85">
        <f t="shared" si="25"/>
        <v>0</v>
      </c>
      <c r="AN39" s="86">
        <f t="shared" si="26"/>
        <v>0</v>
      </c>
      <c r="AO39" s="87">
        <f t="shared" si="8"/>
        <v>0</v>
      </c>
      <c r="AP39" s="38"/>
      <c r="AR39" s="55">
        <f t="shared" si="9"/>
        <v>0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0</v>
      </c>
      <c r="BE39" s="20">
        <f t="shared" si="18"/>
        <v>0</v>
      </c>
      <c r="BF39" s="20">
        <f t="shared" si="19"/>
        <v>0</v>
      </c>
      <c r="BG39" s="93">
        <f t="shared" si="20"/>
        <v>0</v>
      </c>
      <c r="BH39" s="20">
        <f t="shared" si="21"/>
        <v>0</v>
      </c>
      <c r="BI39" s="20">
        <f t="shared" si="22"/>
        <v>0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80">
        <v>80</v>
      </c>
      <c r="F40" s="81"/>
      <c r="G40" s="81">
        <v>84</v>
      </c>
      <c r="H40" s="81"/>
      <c r="I40" s="81">
        <v>82</v>
      </c>
      <c r="J40" s="81"/>
      <c r="K40" s="81">
        <v>80</v>
      </c>
      <c r="L40" s="82"/>
      <c r="M40" s="80">
        <v>78</v>
      </c>
      <c r="N40" s="81"/>
      <c r="O40" s="81">
        <v>77</v>
      </c>
      <c r="P40" s="81"/>
      <c r="Q40" s="81">
        <v>76</v>
      </c>
      <c r="R40" s="81"/>
      <c r="S40" s="81">
        <v>79</v>
      </c>
      <c r="T40" s="82"/>
      <c r="U40" s="80">
        <v>80</v>
      </c>
      <c r="V40" s="81"/>
      <c r="W40" s="81">
        <v>80</v>
      </c>
      <c r="X40" s="81"/>
      <c r="Y40" s="81">
        <v>80</v>
      </c>
      <c r="Z40" s="81"/>
      <c r="AA40" s="81">
        <v>84</v>
      </c>
      <c r="AB40" s="82"/>
      <c r="AC40" s="80">
        <v>82</v>
      </c>
      <c r="AD40" s="81"/>
      <c r="AE40" s="81">
        <v>80</v>
      </c>
      <c r="AF40" s="81"/>
      <c r="AG40" s="81">
        <v>80</v>
      </c>
      <c r="AH40" s="81"/>
      <c r="AI40" s="81">
        <v>82</v>
      </c>
      <c r="AJ40" s="82"/>
      <c r="AK40" s="83">
        <f t="shared" si="23"/>
        <v>81.5</v>
      </c>
      <c r="AL40" s="84">
        <f t="shared" si="24"/>
        <v>77.5</v>
      </c>
      <c r="AM40" s="85">
        <f t="shared" si="25"/>
        <v>81</v>
      </c>
      <c r="AN40" s="86">
        <f t="shared" si="26"/>
        <v>81</v>
      </c>
      <c r="AO40" s="87">
        <f t="shared" si="8"/>
        <v>80.25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80.25</v>
      </c>
      <c r="BC40" s="65" t="str">
        <f t="shared" si="17"/>
        <v/>
      </c>
      <c r="BE40" s="20">
        <f t="shared" si="18"/>
        <v>80</v>
      </c>
      <c r="BF40" s="20">
        <f t="shared" si="19"/>
        <v>80.25</v>
      </c>
      <c r="BG40" s="93">
        <f t="shared" si="20"/>
        <v>79.5</v>
      </c>
      <c r="BH40" s="20">
        <f t="shared" si="21"/>
        <v>81.25</v>
      </c>
      <c r="BI40" s="20">
        <f t="shared" si="22"/>
        <v>80.25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80">
        <v>81</v>
      </c>
      <c r="F41" s="81"/>
      <c r="G41" s="81">
        <v>75</v>
      </c>
      <c r="H41" s="81"/>
      <c r="I41" s="81">
        <v>77</v>
      </c>
      <c r="J41" s="81"/>
      <c r="K41" s="81">
        <v>80</v>
      </c>
      <c r="L41" s="82"/>
      <c r="M41" s="80">
        <v>85</v>
      </c>
      <c r="N41" s="81"/>
      <c r="O41" s="81">
        <v>70</v>
      </c>
      <c r="P41" s="81"/>
      <c r="Q41" s="81">
        <v>78</v>
      </c>
      <c r="R41" s="81"/>
      <c r="S41" s="81">
        <v>70</v>
      </c>
      <c r="T41" s="82"/>
      <c r="U41" s="80">
        <v>87</v>
      </c>
      <c r="V41" s="81"/>
      <c r="W41" s="81">
        <v>75</v>
      </c>
      <c r="X41" s="81"/>
      <c r="Y41" s="81">
        <v>80</v>
      </c>
      <c r="Z41" s="81"/>
      <c r="AA41" s="81">
        <v>82</v>
      </c>
      <c r="AB41" s="82"/>
      <c r="AC41" s="80">
        <v>80</v>
      </c>
      <c r="AD41" s="81"/>
      <c r="AE41" s="81">
        <v>75</v>
      </c>
      <c r="AF41" s="81"/>
      <c r="AG41" s="81">
        <v>85</v>
      </c>
      <c r="AH41" s="81"/>
      <c r="AI41" s="81">
        <v>84</v>
      </c>
      <c r="AJ41" s="82"/>
      <c r="AK41" s="83">
        <f t="shared" si="23"/>
        <v>78.25</v>
      </c>
      <c r="AL41" s="84">
        <f t="shared" si="24"/>
        <v>75.75</v>
      </c>
      <c r="AM41" s="85">
        <f t="shared" si="25"/>
        <v>81</v>
      </c>
      <c r="AN41" s="86">
        <f t="shared" si="26"/>
        <v>81</v>
      </c>
      <c r="AO41" s="87">
        <f t="shared" si="8"/>
        <v>79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79</v>
      </c>
      <c r="BC41" s="65" t="str">
        <f t="shared" si="17"/>
        <v/>
      </c>
      <c r="BE41" s="20">
        <f t="shared" si="18"/>
        <v>83.25</v>
      </c>
      <c r="BF41" s="20">
        <f t="shared" si="19"/>
        <v>73.75</v>
      </c>
      <c r="BG41" s="93">
        <f t="shared" si="20"/>
        <v>80</v>
      </c>
      <c r="BH41" s="20">
        <f t="shared" si="21"/>
        <v>79</v>
      </c>
      <c r="BI41" s="20">
        <f t="shared" si="22"/>
        <v>79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80">
        <v>0</v>
      </c>
      <c r="F42" s="81"/>
      <c r="G42" s="81">
        <v>0</v>
      </c>
      <c r="H42" s="81"/>
      <c r="I42" s="81">
        <v>0</v>
      </c>
      <c r="J42" s="81"/>
      <c r="K42" s="81">
        <v>80</v>
      </c>
      <c r="L42" s="82"/>
      <c r="M42" s="80">
        <v>0</v>
      </c>
      <c r="N42" s="81"/>
      <c r="O42" s="81">
        <v>0</v>
      </c>
      <c r="P42" s="81"/>
      <c r="Q42" s="81">
        <v>0</v>
      </c>
      <c r="R42" s="81"/>
      <c r="S42" s="81">
        <v>78</v>
      </c>
      <c r="T42" s="82"/>
      <c r="U42" s="80">
        <v>0</v>
      </c>
      <c r="V42" s="81"/>
      <c r="W42" s="81">
        <v>0</v>
      </c>
      <c r="X42" s="81"/>
      <c r="Y42" s="81">
        <v>0</v>
      </c>
      <c r="Z42" s="81"/>
      <c r="AA42" s="81">
        <v>77</v>
      </c>
      <c r="AB42" s="82"/>
      <c r="AC42" s="80">
        <v>0</v>
      </c>
      <c r="AD42" s="81"/>
      <c r="AE42" s="81">
        <v>0</v>
      </c>
      <c r="AF42" s="81"/>
      <c r="AG42" s="81">
        <v>0</v>
      </c>
      <c r="AH42" s="81"/>
      <c r="AI42" s="81">
        <v>80</v>
      </c>
      <c r="AJ42" s="82"/>
      <c r="AK42" s="83">
        <f t="shared" si="23"/>
        <v>20</v>
      </c>
      <c r="AL42" s="84">
        <f t="shared" si="24"/>
        <v>19.5</v>
      </c>
      <c r="AM42" s="85">
        <f t="shared" si="25"/>
        <v>19.25</v>
      </c>
      <c r="AN42" s="86">
        <f t="shared" si="26"/>
        <v>20</v>
      </c>
      <c r="AO42" s="87">
        <f t="shared" si="8"/>
        <v>19.6875</v>
      </c>
      <c r="AP42" s="38"/>
      <c r="AR42" s="55">
        <f t="shared" si="9"/>
        <v>9.84375</v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 t="str">
        <f t="shared" si="16"/>
        <v/>
      </c>
      <c r="BC42" s="65">
        <f t="shared" si="17"/>
        <v>19.6875</v>
      </c>
      <c r="BE42" s="20">
        <f t="shared" si="18"/>
        <v>0</v>
      </c>
      <c r="BF42" s="20">
        <f t="shared" si="19"/>
        <v>0</v>
      </c>
      <c r="BG42" s="93">
        <f t="shared" si="20"/>
        <v>0</v>
      </c>
      <c r="BH42" s="20">
        <f t="shared" si="21"/>
        <v>78.75</v>
      </c>
      <c r="BI42" s="20">
        <f t="shared" si="22"/>
        <v>19.6875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58" priority="3" operator="lessThan">
      <formula>70</formula>
    </cfRule>
  </conditionalFormatting>
  <conditionalFormatting sqref="E38:AO42">
    <cfRule type="cellIs" dxfId="57" priority="1" operator="lessThan">
      <formula>70</formula>
    </cfRule>
  </conditionalFormatting>
  <conditionalFormatting sqref="G4:L33">
    <cfRule type="cellIs" dxfId="56" priority="6" operator="lessThan">
      <formula>70</formula>
    </cfRule>
  </conditionalFormatting>
  <conditionalFormatting sqref="O4:AB33">
    <cfRule type="cellIs" dxfId="55" priority="5" operator="lessThan">
      <formula>70</formula>
    </cfRule>
  </conditionalFormatting>
  <conditionalFormatting sqref="AE4:AJ33">
    <cfRule type="cellIs" dxfId="54" priority="4" operator="lessThan">
      <formula>70</formula>
    </cfRule>
  </conditionalFormatting>
  <conditionalFormatting sqref="AK3:AP37 E4:F33 E34:AJ37 AP38:AP42 E43:AP47 M4:N33 AC4:AD33">
    <cfRule type="cellIs" dxfId="53" priority="9" operator="lessThan">
      <formula>70</formula>
    </cfRule>
  </conditionalFormatting>
  <conditionalFormatting sqref="AR3:AR47">
    <cfRule type="cellIs" dxfId="52" priority="7" operator="lessThan">
      <formula>70</formula>
    </cfRule>
  </conditionalFormatting>
  <conditionalFormatting sqref="AR3:AY47">
    <cfRule type="cellIs" dxfId="51" priority="8" operator="lessThan">
      <formula>70</formula>
    </cfRule>
  </conditionalFormatting>
  <conditionalFormatting sqref="AZ3:AZ47">
    <cfRule type="cellIs" dxfId="50" priority="2" operator="lessThan">
      <formula>70</formula>
    </cfRule>
  </conditionalFormatting>
  <dataValidations count="1">
    <dataValidation type="custom" allowBlank="1" showErrorMessage="1" sqref="E38:AJ42" xr:uid="{D56FA9B5-3DA7-46A5-ACAE-49B2E7647E2C}">
      <formula1>ISNUMBER(E38:E87)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F99FC-9F8C-4CED-A487-110B85247789}">
  <dimension ref="A1:BI47"/>
  <sheetViews>
    <sheetView zoomScale="70" zoomScaleNormal="7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11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43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>
        <v>70</v>
      </c>
      <c r="F3" s="20"/>
      <c r="G3" s="20"/>
      <c r="H3" s="20"/>
      <c r="I3" s="20"/>
      <c r="J3" s="20"/>
      <c r="K3" s="20"/>
      <c r="L3" s="21"/>
      <c r="M3" s="27">
        <v>70</v>
      </c>
      <c r="N3" s="28"/>
      <c r="O3" s="28"/>
      <c r="P3" s="28"/>
      <c r="Q3" s="28"/>
      <c r="R3" s="28"/>
      <c r="S3" s="28"/>
      <c r="T3" s="29"/>
      <c r="U3" s="27">
        <v>70</v>
      </c>
      <c r="V3" s="28"/>
      <c r="W3" s="28"/>
      <c r="X3" s="28"/>
      <c r="Y3" s="28"/>
      <c r="Z3" s="28"/>
      <c r="AA3" s="28"/>
      <c r="AB3" s="29"/>
      <c r="AC3" s="27">
        <v>70</v>
      </c>
      <c r="AD3" s="28"/>
      <c r="AE3" s="28"/>
      <c r="AF3" s="28"/>
      <c r="AG3" s="28"/>
      <c r="AH3" s="28"/>
      <c r="AI3" s="28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17.5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17.5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17.5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17.5</v>
      </c>
      <c r="AO3" s="44">
        <f>AVERAGE(AK3:AN3)</f>
        <v>17.5</v>
      </c>
      <c r="AP3" s="35"/>
      <c r="AR3" s="55">
        <f>IF(AO3&lt;70, AO3*0.5, "")</f>
        <v>8.75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17.5</v>
      </c>
      <c r="BE3" s="20">
        <f t="shared" ref="BE3:BE4" si="0">SUM(E3+M3+U3+AC3)/4</f>
        <v>70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17.5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85</v>
      </c>
      <c r="F4" s="20"/>
      <c r="G4" s="20">
        <v>87</v>
      </c>
      <c r="H4" s="20"/>
      <c r="I4" s="20">
        <v>79</v>
      </c>
      <c r="J4" s="20"/>
      <c r="K4" s="20">
        <v>80</v>
      </c>
      <c r="L4" s="21"/>
      <c r="M4" s="19">
        <v>84</v>
      </c>
      <c r="N4" s="20"/>
      <c r="O4" s="20">
        <v>80</v>
      </c>
      <c r="P4" s="20"/>
      <c r="Q4" s="20">
        <v>81</v>
      </c>
      <c r="R4" s="20"/>
      <c r="S4" s="20">
        <v>83</v>
      </c>
      <c r="T4" s="21"/>
      <c r="U4" s="19">
        <v>84</v>
      </c>
      <c r="V4" s="20"/>
      <c r="W4" s="20">
        <v>79</v>
      </c>
      <c r="X4" s="20"/>
      <c r="Y4" s="20">
        <v>78</v>
      </c>
      <c r="Z4" s="20"/>
      <c r="AA4" s="20">
        <v>80</v>
      </c>
      <c r="AB4" s="21"/>
      <c r="AC4" s="19">
        <v>85</v>
      </c>
      <c r="AD4" s="20"/>
      <c r="AE4" s="20">
        <v>83</v>
      </c>
      <c r="AF4" s="20"/>
      <c r="AG4" s="20">
        <v>84</v>
      </c>
      <c r="AH4" s="20"/>
      <c r="AI4" s="20">
        <v>84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82.75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82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80.25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84</v>
      </c>
      <c r="AO4" s="49">
        <f t="shared" ref="AO4:AO47" si="8">AVERAGE(AK4:AN4)</f>
        <v>82.25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82.25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84.5</v>
      </c>
      <c r="BF4" s="20">
        <f t="shared" si="1"/>
        <v>82.25</v>
      </c>
      <c r="BG4" s="93">
        <f t="shared" si="2"/>
        <v>80.5</v>
      </c>
      <c r="BH4" s="20">
        <f t="shared" si="3"/>
        <v>81.75</v>
      </c>
      <c r="BI4" s="20">
        <f>AVERAGE(BE4:BH4)</f>
        <v>82.25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83</v>
      </c>
      <c r="F5" s="20"/>
      <c r="G5" s="20">
        <v>84</v>
      </c>
      <c r="H5" s="20"/>
      <c r="I5" s="20">
        <v>79</v>
      </c>
      <c r="J5" s="20"/>
      <c r="K5" s="20">
        <v>80</v>
      </c>
      <c r="L5" s="21"/>
      <c r="M5" s="19">
        <v>84</v>
      </c>
      <c r="N5" s="20"/>
      <c r="O5" s="20">
        <v>80</v>
      </c>
      <c r="P5" s="20"/>
      <c r="Q5" s="20">
        <v>81</v>
      </c>
      <c r="R5" s="20"/>
      <c r="S5" s="20">
        <v>83</v>
      </c>
      <c r="T5" s="21"/>
      <c r="U5" s="19">
        <v>84</v>
      </c>
      <c r="V5" s="20"/>
      <c r="W5" s="20">
        <v>79</v>
      </c>
      <c r="X5" s="20"/>
      <c r="Y5" s="20">
        <v>78</v>
      </c>
      <c r="Z5" s="20"/>
      <c r="AA5" s="20">
        <v>80</v>
      </c>
      <c r="AB5" s="21"/>
      <c r="AC5" s="19">
        <v>85</v>
      </c>
      <c r="AD5" s="20"/>
      <c r="AE5" s="20">
        <v>83</v>
      </c>
      <c r="AF5" s="20"/>
      <c r="AG5" s="20">
        <v>84</v>
      </c>
      <c r="AH5" s="20"/>
      <c r="AI5" s="20">
        <v>84</v>
      </c>
      <c r="AJ5" s="3"/>
      <c r="AK5" s="45">
        <f t="shared" si="4"/>
        <v>81.5</v>
      </c>
      <c r="AL5" s="46">
        <f t="shared" si="5"/>
        <v>82</v>
      </c>
      <c r="AM5" s="47">
        <f t="shared" si="6"/>
        <v>80.25</v>
      </c>
      <c r="AN5" s="48">
        <f t="shared" si="7"/>
        <v>84</v>
      </c>
      <c r="AO5" s="49">
        <f t="shared" si="8"/>
        <v>81.9375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81.9375</v>
      </c>
      <c r="BC5" s="65" t="str">
        <f t="shared" si="17"/>
        <v/>
      </c>
      <c r="BE5" s="20">
        <f>SUM(E5+M5+U5+AC5)/4</f>
        <v>84</v>
      </c>
      <c r="BF5" s="20">
        <f>SUM(G5+O5+W5+AE5)/4</f>
        <v>81.5</v>
      </c>
      <c r="BG5" s="93">
        <f>SUM(I5+Q5+Y5+AG5)/4</f>
        <v>80.5</v>
      </c>
      <c r="BH5" s="20">
        <f>SUM(K5+S5+AA5+AI5)/4</f>
        <v>81.75</v>
      </c>
      <c r="BI5" s="20">
        <f>AVERAGE(BE5:BH5)</f>
        <v>81.9375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89</v>
      </c>
      <c r="H6" s="20"/>
      <c r="I6" s="20">
        <v>88</v>
      </c>
      <c r="J6" s="20"/>
      <c r="K6" s="20">
        <v>87</v>
      </c>
      <c r="L6" s="21"/>
      <c r="M6" s="19">
        <v>89</v>
      </c>
      <c r="N6" s="20"/>
      <c r="O6" s="20">
        <v>88</v>
      </c>
      <c r="P6" s="20"/>
      <c r="Q6" s="20">
        <v>87</v>
      </c>
      <c r="R6" s="20"/>
      <c r="S6" s="20">
        <v>84</v>
      </c>
      <c r="T6" s="21"/>
      <c r="U6" s="19">
        <v>88</v>
      </c>
      <c r="V6" s="20"/>
      <c r="W6" s="20">
        <v>87</v>
      </c>
      <c r="X6" s="20"/>
      <c r="Y6" s="20">
        <v>86</v>
      </c>
      <c r="Z6" s="20"/>
      <c r="AA6" s="20">
        <v>87</v>
      </c>
      <c r="AB6" s="21"/>
      <c r="AC6" s="19">
        <v>87</v>
      </c>
      <c r="AD6" s="20"/>
      <c r="AE6" s="20">
        <v>87</v>
      </c>
      <c r="AF6" s="20"/>
      <c r="AG6" s="20">
        <v>87</v>
      </c>
      <c r="AH6" s="20"/>
      <c r="AI6" s="20">
        <v>89</v>
      </c>
      <c r="AJ6" s="3"/>
      <c r="AK6" s="45">
        <f t="shared" si="4"/>
        <v>88.5</v>
      </c>
      <c r="AL6" s="46">
        <f t="shared" si="5"/>
        <v>87</v>
      </c>
      <c r="AM6" s="47">
        <f t="shared" si="6"/>
        <v>87</v>
      </c>
      <c r="AN6" s="48">
        <f t="shared" si="7"/>
        <v>87.5</v>
      </c>
      <c r="AO6" s="49">
        <f t="shared" si="8"/>
        <v>87.5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87.5</v>
      </c>
      <c r="BC6" s="65" t="str">
        <f t="shared" si="17"/>
        <v/>
      </c>
      <c r="BE6" s="20">
        <f t="shared" ref="BE6:BE47" si="18">SUM(E6+M6+U6+AC6)/4</f>
        <v>88.5</v>
      </c>
      <c r="BF6" s="20">
        <f t="shared" ref="BF6:BF47" si="19">SUM(G6+O6+W6+AE6)/4</f>
        <v>87.75</v>
      </c>
      <c r="BG6" s="93">
        <f t="shared" ref="BG6:BG47" si="20">SUM(I6+Q6+Y6+AG6)/4</f>
        <v>87</v>
      </c>
      <c r="BH6" s="20">
        <f t="shared" ref="BH6:BH47" si="21">SUM(K6+S6+AA6+AI6)/4</f>
        <v>86.75</v>
      </c>
      <c r="BI6" s="20">
        <f t="shared" ref="BI6:BI47" si="22">AVERAGE(BE6:BH6)</f>
        <v>87.5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95</v>
      </c>
      <c r="H7" s="20"/>
      <c r="I7" s="20">
        <v>96</v>
      </c>
      <c r="J7" s="20"/>
      <c r="K7" s="20">
        <v>93</v>
      </c>
      <c r="L7" s="21"/>
      <c r="M7" s="19">
        <v>91</v>
      </c>
      <c r="N7" s="20"/>
      <c r="O7" s="20">
        <v>95</v>
      </c>
      <c r="P7" s="20"/>
      <c r="Q7" s="20">
        <v>96</v>
      </c>
      <c r="R7" s="20"/>
      <c r="S7" s="20">
        <v>95</v>
      </c>
      <c r="T7" s="21"/>
      <c r="U7" s="19">
        <v>90</v>
      </c>
      <c r="V7" s="20"/>
      <c r="W7" s="20">
        <v>94</v>
      </c>
      <c r="X7" s="20"/>
      <c r="Y7" s="20">
        <v>95</v>
      </c>
      <c r="Z7" s="20"/>
      <c r="AA7" s="20">
        <v>96</v>
      </c>
      <c r="AB7" s="21"/>
      <c r="AC7" s="19">
        <v>90</v>
      </c>
      <c r="AD7" s="20"/>
      <c r="AE7" s="20">
        <v>94</v>
      </c>
      <c r="AF7" s="20"/>
      <c r="AG7" s="20">
        <v>95</v>
      </c>
      <c r="AH7" s="20"/>
      <c r="AI7" s="20">
        <v>90</v>
      </c>
      <c r="AJ7" s="3"/>
      <c r="AK7" s="45">
        <f t="shared" si="4"/>
        <v>93.5</v>
      </c>
      <c r="AL7" s="46">
        <f t="shared" si="5"/>
        <v>94.25</v>
      </c>
      <c r="AM7" s="47">
        <f t="shared" si="6"/>
        <v>93.75</v>
      </c>
      <c r="AN7" s="48">
        <f t="shared" si="7"/>
        <v>92.25</v>
      </c>
      <c r="AO7" s="49">
        <f t="shared" si="8"/>
        <v>93.4375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93.4375</v>
      </c>
      <c r="BC7" s="65" t="str">
        <f t="shared" si="17"/>
        <v/>
      </c>
      <c r="BE7" s="20">
        <f t="shared" si="18"/>
        <v>90.25</v>
      </c>
      <c r="BF7" s="20">
        <f t="shared" si="19"/>
        <v>94.5</v>
      </c>
      <c r="BG7" s="93">
        <f t="shared" si="20"/>
        <v>95.5</v>
      </c>
      <c r="BH7" s="20">
        <f t="shared" si="21"/>
        <v>93.5</v>
      </c>
      <c r="BI7" s="20">
        <f t="shared" si="22"/>
        <v>93.4375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81</v>
      </c>
      <c r="H8" s="20"/>
      <c r="I8" s="20">
        <v>82</v>
      </c>
      <c r="J8" s="20"/>
      <c r="K8" s="20">
        <v>83</v>
      </c>
      <c r="L8" s="20"/>
      <c r="M8" s="19">
        <v>84</v>
      </c>
      <c r="N8" s="20"/>
      <c r="O8" s="20">
        <v>84</v>
      </c>
      <c r="P8" s="20"/>
      <c r="Q8" s="20">
        <v>85</v>
      </c>
      <c r="R8" s="20"/>
      <c r="S8" s="20">
        <v>83</v>
      </c>
      <c r="T8" s="21"/>
      <c r="U8" s="19">
        <v>83</v>
      </c>
      <c r="V8" s="20"/>
      <c r="W8" s="20">
        <v>85</v>
      </c>
      <c r="X8" s="20"/>
      <c r="Y8" s="20">
        <v>83</v>
      </c>
      <c r="Z8" s="20"/>
      <c r="AA8" s="20">
        <v>82</v>
      </c>
      <c r="AB8" s="20"/>
      <c r="AC8" s="19">
        <v>84</v>
      </c>
      <c r="AD8" s="20"/>
      <c r="AE8" s="20">
        <v>84</v>
      </c>
      <c r="AF8" s="20"/>
      <c r="AG8" s="20">
        <v>85</v>
      </c>
      <c r="AH8" s="20"/>
      <c r="AI8" s="20">
        <v>86</v>
      </c>
      <c r="AJ8" s="3"/>
      <c r="AK8" s="45">
        <f t="shared" si="4"/>
        <v>81.5</v>
      </c>
      <c r="AL8" s="46">
        <f t="shared" si="5"/>
        <v>84</v>
      </c>
      <c r="AM8" s="47">
        <f t="shared" si="6"/>
        <v>83.25</v>
      </c>
      <c r="AN8" s="48">
        <f t="shared" si="7"/>
        <v>84.75</v>
      </c>
      <c r="AO8" s="49">
        <f t="shared" si="8"/>
        <v>83.375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83.375</v>
      </c>
      <c r="BC8" s="65" t="str">
        <f t="shared" si="17"/>
        <v/>
      </c>
      <c r="BE8" s="20">
        <f t="shared" si="18"/>
        <v>82.75</v>
      </c>
      <c r="BF8" s="20">
        <f t="shared" si="19"/>
        <v>83.5</v>
      </c>
      <c r="BG8" s="93">
        <f t="shared" si="20"/>
        <v>83.75</v>
      </c>
      <c r="BH8" s="20">
        <f t="shared" si="21"/>
        <v>83.5</v>
      </c>
      <c r="BI8" s="20">
        <f t="shared" si="22"/>
        <v>83.375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80</v>
      </c>
      <c r="F9" s="20"/>
      <c r="G9" s="20">
        <v>84</v>
      </c>
      <c r="H9" s="20"/>
      <c r="I9" s="20">
        <v>85</v>
      </c>
      <c r="J9" s="20"/>
      <c r="K9" s="20">
        <v>83</v>
      </c>
      <c r="L9" s="21"/>
      <c r="M9" s="19">
        <v>80</v>
      </c>
      <c r="N9" s="20"/>
      <c r="O9" s="20">
        <v>82</v>
      </c>
      <c r="P9" s="20"/>
      <c r="Q9" s="20">
        <v>81</v>
      </c>
      <c r="R9" s="20"/>
      <c r="S9" s="20">
        <v>83</v>
      </c>
      <c r="T9" s="21"/>
      <c r="U9" s="19">
        <v>84</v>
      </c>
      <c r="V9" s="20"/>
      <c r="W9" s="20">
        <v>85</v>
      </c>
      <c r="X9" s="20"/>
      <c r="Y9" s="20">
        <v>84</v>
      </c>
      <c r="Z9" s="20"/>
      <c r="AA9" s="20">
        <v>83</v>
      </c>
      <c r="AB9" s="21"/>
      <c r="AC9" s="19">
        <v>83</v>
      </c>
      <c r="AD9" s="20"/>
      <c r="AE9" s="20">
        <v>84</v>
      </c>
      <c r="AF9" s="20"/>
      <c r="AG9" s="20">
        <v>82</v>
      </c>
      <c r="AH9" s="20"/>
      <c r="AI9" s="20">
        <v>83</v>
      </c>
      <c r="AJ9" s="3"/>
      <c r="AK9" s="45">
        <f t="shared" si="4"/>
        <v>83</v>
      </c>
      <c r="AL9" s="46">
        <f t="shared" si="5"/>
        <v>81.5</v>
      </c>
      <c r="AM9" s="47">
        <f t="shared" si="6"/>
        <v>84</v>
      </c>
      <c r="AN9" s="48">
        <f t="shared" si="7"/>
        <v>83</v>
      </c>
      <c r="AO9" s="49">
        <f t="shared" si="8"/>
        <v>82.875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82.875</v>
      </c>
      <c r="BC9" s="65" t="str">
        <f t="shared" si="17"/>
        <v/>
      </c>
      <c r="BE9" s="20">
        <f t="shared" si="18"/>
        <v>81.75</v>
      </c>
      <c r="BF9" s="20">
        <f t="shared" si="19"/>
        <v>83.75</v>
      </c>
      <c r="BG9" s="93">
        <f t="shared" si="20"/>
        <v>83</v>
      </c>
      <c r="BH9" s="20">
        <f t="shared" si="21"/>
        <v>83</v>
      </c>
      <c r="BI9" s="20">
        <f t="shared" si="22"/>
        <v>82.875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76</v>
      </c>
      <c r="H10" s="20"/>
      <c r="I10" s="20">
        <v>77</v>
      </c>
      <c r="J10" s="20"/>
      <c r="K10" s="20">
        <v>76</v>
      </c>
      <c r="L10" s="21"/>
      <c r="M10" s="19">
        <v>78</v>
      </c>
      <c r="N10" s="20"/>
      <c r="O10" s="20">
        <v>75</v>
      </c>
      <c r="P10" s="20"/>
      <c r="Q10" s="20">
        <v>76</v>
      </c>
      <c r="R10" s="20"/>
      <c r="S10" s="20">
        <v>77</v>
      </c>
      <c r="T10" s="21"/>
      <c r="U10" s="19">
        <v>75</v>
      </c>
      <c r="V10" s="20"/>
      <c r="W10" s="20">
        <v>76</v>
      </c>
      <c r="X10" s="20"/>
      <c r="Y10" s="20">
        <v>74</v>
      </c>
      <c r="Z10" s="20"/>
      <c r="AA10" s="20">
        <v>75</v>
      </c>
      <c r="AB10" s="21"/>
      <c r="AC10" s="19">
        <v>74</v>
      </c>
      <c r="AD10" s="20"/>
      <c r="AE10" s="20">
        <v>76</v>
      </c>
      <c r="AF10" s="20"/>
      <c r="AG10" s="20">
        <v>77</v>
      </c>
      <c r="AH10" s="20"/>
      <c r="AI10" s="20">
        <v>76</v>
      </c>
      <c r="AJ10" s="3"/>
      <c r="AK10" s="45">
        <f t="shared" si="4"/>
        <v>76</v>
      </c>
      <c r="AL10" s="46">
        <f t="shared" si="5"/>
        <v>76.5</v>
      </c>
      <c r="AM10" s="47">
        <f t="shared" si="6"/>
        <v>75</v>
      </c>
      <c r="AN10" s="48">
        <f t="shared" si="7"/>
        <v>75.75</v>
      </c>
      <c r="AO10" s="49">
        <f t="shared" si="8"/>
        <v>75.8125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75.8125</v>
      </c>
      <c r="BC10" s="65" t="str">
        <f t="shared" si="17"/>
        <v/>
      </c>
      <c r="BE10" s="20">
        <f t="shared" si="18"/>
        <v>75.5</v>
      </c>
      <c r="BF10" s="20">
        <f t="shared" si="19"/>
        <v>75.75</v>
      </c>
      <c r="BG10" s="93">
        <f t="shared" si="20"/>
        <v>76</v>
      </c>
      <c r="BH10" s="20">
        <f t="shared" si="21"/>
        <v>76</v>
      </c>
      <c r="BI10" s="20">
        <f t="shared" si="22"/>
        <v>75.8125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74</v>
      </c>
      <c r="F11" s="20"/>
      <c r="G11" s="20">
        <v>77</v>
      </c>
      <c r="H11" s="20"/>
      <c r="I11" s="20">
        <v>78</v>
      </c>
      <c r="J11" s="20"/>
      <c r="K11" s="20">
        <v>76</v>
      </c>
      <c r="L11" s="21"/>
      <c r="M11" s="19">
        <v>73</v>
      </c>
      <c r="N11" s="20"/>
      <c r="O11" s="20">
        <v>75</v>
      </c>
      <c r="P11" s="20"/>
      <c r="Q11" s="20">
        <v>74</v>
      </c>
      <c r="R11" s="20"/>
      <c r="S11" s="20">
        <v>75</v>
      </c>
      <c r="T11" s="21"/>
      <c r="U11" s="19">
        <v>72</v>
      </c>
      <c r="V11" s="20"/>
      <c r="W11" s="20">
        <v>73</v>
      </c>
      <c r="X11" s="20"/>
      <c r="Y11" s="20">
        <v>74</v>
      </c>
      <c r="Z11" s="20"/>
      <c r="AA11" s="20">
        <v>75</v>
      </c>
      <c r="AB11" s="21"/>
      <c r="AC11" s="19">
        <v>74</v>
      </c>
      <c r="AD11" s="20"/>
      <c r="AE11" s="20">
        <v>74</v>
      </c>
      <c r="AF11" s="20"/>
      <c r="AG11" s="20">
        <v>75</v>
      </c>
      <c r="AH11" s="20"/>
      <c r="AI11" s="20">
        <v>77</v>
      </c>
      <c r="AJ11" s="3"/>
      <c r="AK11" s="45">
        <f t="shared" si="4"/>
        <v>76.25</v>
      </c>
      <c r="AL11" s="46">
        <f t="shared" si="5"/>
        <v>74.25</v>
      </c>
      <c r="AM11" s="47">
        <f t="shared" si="6"/>
        <v>73.5</v>
      </c>
      <c r="AN11" s="48">
        <f t="shared" si="7"/>
        <v>75</v>
      </c>
      <c r="AO11" s="49">
        <f t="shared" si="8"/>
        <v>74.75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74.75</v>
      </c>
      <c r="BC11" s="65" t="str">
        <f t="shared" si="17"/>
        <v/>
      </c>
      <c r="BE11" s="20">
        <f t="shared" si="18"/>
        <v>73.25</v>
      </c>
      <c r="BF11" s="20">
        <f t="shared" si="19"/>
        <v>74.75</v>
      </c>
      <c r="BG11" s="93">
        <f t="shared" si="20"/>
        <v>75.25</v>
      </c>
      <c r="BH11" s="20">
        <f t="shared" si="21"/>
        <v>75.75</v>
      </c>
      <c r="BI11" s="20">
        <f t="shared" si="22"/>
        <v>74.75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9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9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86</v>
      </c>
      <c r="F14" s="20"/>
      <c r="G14" s="20">
        <v>89</v>
      </c>
      <c r="H14" s="20"/>
      <c r="I14" s="20">
        <v>87</v>
      </c>
      <c r="J14" s="20"/>
      <c r="K14" s="20">
        <v>86</v>
      </c>
      <c r="L14" s="21"/>
      <c r="M14" s="19">
        <v>84</v>
      </c>
      <c r="N14" s="20"/>
      <c r="O14" s="20">
        <v>85</v>
      </c>
      <c r="P14" s="20"/>
      <c r="Q14" s="20">
        <v>83</v>
      </c>
      <c r="R14" s="20"/>
      <c r="S14" s="20">
        <v>84</v>
      </c>
      <c r="T14" s="21"/>
      <c r="U14" s="19">
        <v>84</v>
      </c>
      <c r="V14" s="20"/>
      <c r="W14" s="20">
        <v>85</v>
      </c>
      <c r="X14" s="20"/>
      <c r="Y14" s="20">
        <v>84</v>
      </c>
      <c r="Z14" s="20"/>
      <c r="AA14" s="20">
        <v>85</v>
      </c>
      <c r="AB14" s="21"/>
      <c r="AC14" s="19">
        <v>84</v>
      </c>
      <c r="AD14" s="20"/>
      <c r="AE14" s="20">
        <v>86</v>
      </c>
      <c r="AF14" s="20"/>
      <c r="AG14" s="20">
        <v>86</v>
      </c>
      <c r="AH14" s="20"/>
      <c r="AI14" s="20">
        <v>87</v>
      </c>
      <c r="AJ14" s="3"/>
      <c r="AK14" s="45">
        <f t="shared" si="4"/>
        <v>87</v>
      </c>
      <c r="AL14" s="46">
        <f t="shared" si="5"/>
        <v>84</v>
      </c>
      <c r="AM14" s="47">
        <f t="shared" si="6"/>
        <v>84.5</v>
      </c>
      <c r="AN14" s="48">
        <f t="shared" si="7"/>
        <v>85.75</v>
      </c>
      <c r="AO14" s="49">
        <f t="shared" si="8"/>
        <v>85.3125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85.3125</v>
      </c>
      <c r="BC14" s="65" t="str">
        <f t="shared" si="17"/>
        <v/>
      </c>
      <c r="BE14" s="20">
        <f t="shared" si="18"/>
        <v>84.5</v>
      </c>
      <c r="BF14" s="20">
        <f t="shared" si="19"/>
        <v>86.25</v>
      </c>
      <c r="BG14" s="93">
        <f t="shared" si="20"/>
        <v>85</v>
      </c>
      <c r="BH14" s="20">
        <f t="shared" si="21"/>
        <v>85.5</v>
      </c>
      <c r="BI14" s="20">
        <f t="shared" si="22"/>
        <v>85.3125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70</v>
      </c>
      <c r="F15" s="20"/>
      <c r="G15" s="20">
        <v>75</v>
      </c>
      <c r="H15" s="20"/>
      <c r="I15" s="20">
        <v>76</v>
      </c>
      <c r="J15" s="20"/>
      <c r="K15" s="20">
        <v>75</v>
      </c>
      <c r="L15" s="21"/>
      <c r="M15" s="19">
        <v>73</v>
      </c>
      <c r="N15" s="20"/>
      <c r="O15" s="20">
        <v>76</v>
      </c>
      <c r="P15" s="20"/>
      <c r="Q15" s="20">
        <v>77</v>
      </c>
      <c r="R15" s="20"/>
      <c r="S15" s="20">
        <v>76</v>
      </c>
      <c r="T15" s="21"/>
      <c r="U15" s="19">
        <v>74</v>
      </c>
      <c r="V15" s="20"/>
      <c r="W15" s="20">
        <v>76</v>
      </c>
      <c r="X15" s="20"/>
      <c r="Y15" s="20">
        <v>75</v>
      </c>
      <c r="Z15" s="20"/>
      <c r="AA15" s="20">
        <v>78</v>
      </c>
      <c r="AB15" s="21"/>
      <c r="AC15" s="19">
        <v>75</v>
      </c>
      <c r="AD15" s="20"/>
      <c r="AE15" s="20">
        <v>74</v>
      </c>
      <c r="AF15" s="20"/>
      <c r="AG15" s="20">
        <v>76</v>
      </c>
      <c r="AH15" s="20"/>
      <c r="AI15" s="20">
        <v>77</v>
      </c>
      <c r="AJ15" s="3"/>
      <c r="AK15" s="45">
        <f t="shared" si="4"/>
        <v>74</v>
      </c>
      <c r="AL15" s="46">
        <f t="shared" si="5"/>
        <v>75.5</v>
      </c>
      <c r="AM15" s="47">
        <f t="shared" si="6"/>
        <v>75.75</v>
      </c>
      <c r="AN15" s="48">
        <f t="shared" si="7"/>
        <v>75.5</v>
      </c>
      <c r="AO15" s="49">
        <f t="shared" si="8"/>
        <v>75.1875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75.1875</v>
      </c>
      <c r="BC15" s="65" t="str">
        <f t="shared" si="17"/>
        <v/>
      </c>
      <c r="BE15" s="20">
        <f t="shared" si="18"/>
        <v>73</v>
      </c>
      <c r="BF15" s="20">
        <f t="shared" si="19"/>
        <v>75.25</v>
      </c>
      <c r="BG15" s="93">
        <f t="shared" si="20"/>
        <v>76</v>
      </c>
      <c r="BH15" s="20">
        <f t="shared" si="21"/>
        <v>76.5</v>
      </c>
      <c r="BI15" s="20">
        <f t="shared" si="22"/>
        <v>75.1875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9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76</v>
      </c>
      <c r="F17" s="20"/>
      <c r="G17" s="20">
        <v>75</v>
      </c>
      <c r="H17" s="20"/>
      <c r="I17" s="20">
        <v>74</v>
      </c>
      <c r="J17" s="20"/>
      <c r="K17" s="20">
        <v>76</v>
      </c>
      <c r="L17" s="21"/>
      <c r="M17" s="19">
        <v>86</v>
      </c>
      <c r="N17" s="20"/>
      <c r="O17" s="20">
        <v>77</v>
      </c>
      <c r="P17" s="20"/>
      <c r="Q17" s="20">
        <v>78</v>
      </c>
      <c r="R17" s="20"/>
      <c r="S17" s="20">
        <v>79</v>
      </c>
      <c r="T17" s="21"/>
      <c r="U17" s="19">
        <v>78</v>
      </c>
      <c r="V17" s="20"/>
      <c r="W17" s="20">
        <v>79</v>
      </c>
      <c r="X17" s="20"/>
      <c r="Y17" s="20">
        <v>76</v>
      </c>
      <c r="Z17" s="20"/>
      <c r="AA17" s="20">
        <v>77</v>
      </c>
      <c r="AB17" s="21"/>
      <c r="AC17" s="19">
        <v>78</v>
      </c>
      <c r="AD17" s="20"/>
      <c r="AE17" s="20">
        <v>79</v>
      </c>
      <c r="AF17" s="20"/>
      <c r="AG17" s="20">
        <v>78</v>
      </c>
      <c r="AH17" s="20"/>
      <c r="AI17" s="20">
        <v>79</v>
      </c>
      <c r="AJ17" s="3"/>
      <c r="AK17" s="45">
        <f t="shared" si="4"/>
        <v>75.25</v>
      </c>
      <c r="AL17" s="46">
        <f t="shared" si="5"/>
        <v>80</v>
      </c>
      <c r="AM17" s="47">
        <f t="shared" si="6"/>
        <v>77.5</v>
      </c>
      <c r="AN17" s="48">
        <f t="shared" si="7"/>
        <v>78.5</v>
      </c>
      <c r="AO17" s="49">
        <f t="shared" si="8"/>
        <v>77.8125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77.8125</v>
      </c>
      <c r="BC17" s="65" t="str">
        <f t="shared" si="17"/>
        <v/>
      </c>
      <c r="BE17" s="20">
        <f t="shared" si="18"/>
        <v>79.5</v>
      </c>
      <c r="BF17" s="20">
        <f t="shared" si="19"/>
        <v>77.5</v>
      </c>
      <c r="BG17" s="93">
        <f t="shared" si="20"/>
        <v>76.5</v>
      </c>
      <c r="BH17" s="20">
        <f t="shared" si="21"/>
        <v>77.75</v>
      </c>
      <c r="BI17" s="20">
        <f t="shared" si="22"/>
        <v>77.8125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89</v>
      </c>
      <c r="H18" s="20"/>
      <c r="I18" s="20">
        <v>94</v>
      </c>
      <c r="J18" s="20"/>
      <c r="K18" s="20">
        <v>95</v>
      </c>
      <c r="L18" s="21"/>
      <c r="M18" s="19">
        <v>85</v>
      </c>
      <c r="N18" s="20"/>
      <c r="O18" s="20">
        <v>96</v>
      </c>
      <c r="P18" s="20"/>
      <c r="Q18" s="20">
        <v>91</v>
      </c>
      <c r="R18" s="20"/>
      <c r="S18" s="20">
        <v>93</v>
      </c>
      <c r="T18" s="21"/>
      <c r="U18" s="19">
        <v>89</v>
      </c>
      <c r="V18" s="20"/>
      <c r="W18" s="20">
        <v>95</v>
      </c>
      <c r="X18" s="20"/>
      <c r="Y18" s="20">
        <v>90</v>
      </c>
      <c r="Z18" s="20"/>
      <c r="AA18" s="20">
        <v>91</v>
      </c>
      <c r="AB18" s="21"/>
      <c r="AC18" s="19">
        <v>90</v>
      </c>
      <c r="AD18" s="20"/>
      <c r="AE18" s="20">
        <v>94</v>
      </c>
      <c r="AF18" s="20"/>
      <c r="AG18" s="20">
        <v>95</v>
      </c>
      <c r="AH18" s="20"/>
      <c r="AI18" s="20">
        <v>93</v>
      </c>
      <c r="AJ18" s="3"/>
      <c r="AK18" s="45">
        <f t="shared" si="4"/>
        <v>92</v>
      </c>
      <c r="AL18" s="46">
        <f t="shared" si="5"/>
        <v>91.25</v>
      </c>
      <c r="AM18" s="47">
        <f t="shared" si="6"/>
        <v>91.25</v>
      </c>
      <c r="AN18" s="48">
        <f t="shared" si="7"/>
        <v>93</v>
      </c>
      <c r="AO18" s="49">
        <f t="shared" si="8"/>
        <v>91.875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91.875</v>
      </c>
      <c r="BC18" s="65" t="str">
        <f t="shared" si="17"/>
        <v/>
      </c>
      <c r="BE18" s="20">
        <f t="shared" si="18"/>
        <v>88.5</v>
      </c>
      <c r="BF18" s="20">
        <f t="shared" si="19"/>
        <v>93.5</v>
      </c>
      <c r="BG18" s="93">
        <f t="shared" si="20"/>
        <v>92.5</v>
      </c>
      <c r="BH18" s="20">
        <f t="shared" si="21"/>
        <v>93</v>
      </c>
      <c r="BI18" s="20">
        <f t="shared" si="22"/>
        <v>91.875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84</v>
      </c>
      <c r="F19" s="20"/>
      <c r="G19" s="20">
        <v>85</v>
      </c>
      <c r="H19" s="20"/>
      <c r="I19" s="20">
        <v>87</v>
      </c>
      <c r="J19" s="20"/>
      <c r="K19" s="20">
        <v>88</v>
      </c>
      <c r="L19" s="21"/>
      <c r="M19" s="19">
        <v>78</v>
      </c>
      <c r="N19" s="20"/>
      <c r="O19" s="20">
        <v>89</v>
      </c>
      <c r="P19" s="20"/>
      <c r="Q19" s="20">
        <v>90</v>
      </c>
      <c r="R19" s="20"/>
      <c r="S19" s="20">
        <v>85</v>
      </c>
      <c r="T19" s="21"/>
      <c r="U19" s="19">
        <v>85</v>
      </c>
      <c r="V19" s="20"/>
      <c r="W19" s="20">
        <v>86</v>
      </c>
      <c r="X19" s="20"/>
      <c r="Y19" s="20">
        <v>87</v>
      </c>
      <c r="Z19" s="20"/>
      <c r="AA19" s="20">
        <v>88</v>
      </c>
      <c r="AB19" s="21"/>
      <c r="AC19" s="19">
        <v>86</v>
      </c>
      <c r="AD19" s="20"/>
      <c r="AE19" s="20">
        <v>89</v>
      </c>
      <c r="AF19" s="20"/>
      <c r="AG19" s="20">
        <v>87</v>
      </c>
      <c r="AH19" s="20"/>
      <c r="AI19" s="20">
        <v>88</v>
      </c>
      <c r="AJ19" s="3"/>
      <c r="AK19" s="45">
        <f t="shared" si="4"/>
        <v>86</v>
      </c>
      <c r="AL19" s="46">
        <f t="shared" si="5"/>
        <v>85.5</v>
      </c>
      <c r="AM19" s="47">
        <f t="shared" si="6"/>
        <v>86.5</v>
      </c>
      <c r="AN19" s="48">
        <f t="shared" si="7"/>
        <v>87.5</v>
      </c>
      <c r="AO19" s="49">
        <f t="shared" si="8"/>
        <v>86.375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86.375</v>
      </c>
      <c r="BC19" s="65" t="str">
        <f t="shared" si="17"/>
        <v/>
      </c>
      <c r="BE19" s="20">
        <f t="shared" si="18"/>
        <v>83.25</v>
      </c>
      <c r="BF19" s="20">
        <f t="shared" si="19"/>
        <v>87.25</v>
      </c>
      <c r="BG19" s="93">
        <f t="shared" si="20"/>
        <v>87.75</v>
      </c>
      <c r="BH19" s="20">
        <f t="shared" si="21"/>
        <v>87.25</v>
      </c>
      <c r="BI19" s="20">
        <f t="shared" si="22"/>
        <v>86.375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76</v>
      </c>
      <c r="F20" s="20"/>
      <c r="G20" s="20">
        <v>77</v>
      </c>
      <c r="H20" s="20"/>
      <c r="I20" s="20">
        <v>76</v>
      </c>
      <c r="J20" s="20"/>
      <c r="K20" s="20">
        <v>78</v>
      </c>
      <c r="L20" s="21"/>
      <c r="M20" s="19">
        <v>78</v>
      </c>
      <c r="N20" s="20"/>
      <c r="O20" s="20">
        <v>76</v>
      </c>
      <c r="P20" s="20"/>
      <c r="Q20" s="20">
        <v>75</v>
      </c>
      <c r="R20" s="20"/>
      <c r="S20" s="20">
        <v>76</v>
      </c>
      <c r="T20" s="21"/>
      <c r="U20" s="19">
        <v>77</v>
      </c>
      <c r="V20" s="20"/>
      <c r="W20" s="20">
        <v>76</v>
      </c>
      <c r="X20" s="20"/>
      <c r="Y20" s="20">
        <v>78</v>
      </c>
      <c r="Z20" s="20"/>
      <c r="AA20" s="20">
        <v>79</v>
      </c>
      <c r="AB20" s="21"/>
      <c r="AC20" s="19">
        <v>76</v>
      </c>
      <c r="AD20" s="20"/>
      <c r="AE20" s="20">
        <v>78</v>
      </c>
      <c r="AF20" s="20"/>
      <c r="AG20" s="20">
        <v>79</v>
      </c>
      <c r="AH20" s="20"/>
      <c r="AI20" s="20">
        <v>78</v>
      </c>
      <c r="AJ20" s="3"/>
      <c r="AK20" s="45">
        <f t="shared" si="4"/>
        <v>76.75</v>
      </c>
      <c r="AL20" s="46">
        <f t="shared" si="5"/>
        <v>76.25</v>
      </c>
      <c r="AM20" s="47">
        <f t="shared" si="6"/>
        <v>77.5</v>
      </c>
      <c r="AN20" s="48">
        <f t="shared" si="7"/>
        <v>77.75</v>
      </c>
      <c r="AO20" s="49">
        <f t="shared" si="8"/>
        <v>77.0625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77.0625</v>
      </c>
      <c r="BC20" s="65" t="str">
        <f t="shared" si="17"/>
        <v/>
      </c>
      <c r="BE20" s="20">
        <f t="shared" si="18"/>
        <v>76.75</v>
      </c>
      <c r="BF20" s="20">
        <f t="shared" si="19"/>
        <v>76.75</v>
      </c>
      <c r="BG20" s="93">
        <f t="shared" si="20"/>
        <v>77</v>
      </c>
      <c r="BH20" s="20">
        <f t="shared" si="21"/>
        <v>77.75</v>
      </c>
      <c r="BI20" s="20">
        <f t="shared" si="22"/>
        <v>77.0625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75</v>
      </c>
      <c r="F21" s="20"/>
      <c r="G21" s="20">
        <v>80</v>
      </c>
      <c r="H21" s="20"/>
      <c r="I21" s="20">
        <v>81</v>
      </c>
      <c r="J21" s="20"/>
      <c r="K21" s="20">
        <v>84</v>
      </c>
      <c r="L21" s="21"/>
      <c r="M21" s="19">
        <v>76</v>
      </c>
      <c r="N21" s="20"/>
      <c r="O21" s="20">
        <v>80</v>
      </c>
      <c r="P21" s="20"/>
      <c r="Q21" s="20">
        <v>81</v>
      </c>
      <c r="R21" s="20"/>
      <c r="S21" s="20">
        <v>82</v>
      </c>
      <c r="T21" s="21"/>
      <c r="U21" s="19">
        <v>76</v>
      </c>
      <c r="V21" s="20"/>
      <c r="W21" s="20">
        <v>80</v>
      </c>
      <c r="X21" s="20"/>
      <c r="Y21" s="20">
        <v>83</v>
      </c>
      <c r="Z21" s="20"/>
      <c r="AA21" s="20">
        <v>84</v>
      </c>
      <c r="AB21" s="21"/>
      <c r="AC21" s="19">
        <v>76</v>
      </c>
      <c r="AD21" s="20"/>
      <c r="AE21" s="20">
        <v>81</v>
      </c>
      <c r="AF21" s="20"/>
      <c r="AG21" s="20">
        <v>84</v>
      </c>
      <c r="AH21" s="20"/>
      <c r="AI21" s="20">
        <v>85</v>
      </c>
      <c r="AJ21" s="3"/>
      <c r="AK21" s="45">
        <f t="shared" si="4"/>
        <v>80</v>
      </c>
      <c r="AL21" s="46">
        <f t="shared" si="5"/>
        <v>79.75</v>
      </c>
      <c r="AM21" s="47">
        <f t="shared" si="6"/>
        <v>80.75</v>
      </c>
      <c r="AN21" s="48">
        <f t="shared" si="7"/>
        <v>81.5</v>
      </c>
      <c r="AO21" s="49">
        <f t="shared" si="8"/>
        <v>80.5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80.5</v>
      </c>
      <c r="BC21" s="65" t="str">
        <f t="shared" si="17"/>
        <v/>
      </c>
      <c r="BE21" s="20">
        <f t="shared" si="18"/>
        <v>75.75</v>
      </c>
      <c r="BF21" s="20">
        <f t="shared" si="19"/>
        <v>80.25</v>
      </c>
      <c r="BG21" s="93">
        <f t="shared" si="20"/>
        <v>82.25</v>
      </c>
      <c r="BH21" s="20">
        <f t="shared" si="21"/>
        <v>83.75</v>
      </c>
      <c r="BI21" s="20">
        <f t="shared" si="22"/>
        <v>80.5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77</v>
      </c>
      <c r="F22" s="20"/>
      <c r="G22" s="20">
        <v>79</v>
      </c>
      <c r="H22" s="20"/>
      <c r="I22" s="20">
        <v>75</v>
      </c>
      <c r="J22" s="20"/>
      <c r="K22" s="20">
        <v>78</v>
      </c>
      <c r="L22" s="21"/>
      <c r="M22" s="19">
        <v>76</v>
      </c>
      <c r="N22" s="20"/>
      <c r="O22" s="20">
        <v>77</v>
      </c>
      <c r="P22" s="20"/>
      <c r="Q22" s="20">
        <v>78</v>
      </c>
      <c r="R22" s="20"/>
      <c r="S22" s="20">
        <v>76</v>
      </c>
      <c r="T22" s="21"/>
      <c r="U22" s="19">
        <v>75</v>
      </c>
      <c r="V22" s="20"/>
      <c r="W22" s="20">
        <v>75</v>
      </c>
      <c r="X22" s="20"/>
      <c r="Y22" s="20">
        <v>77</v>
      </c>
      <c r="Z22" s="20"/>
      <c r="AA22" s="20">
        <v>78</v>
      </c>
      <c r="AB22" s="21"/>
      <c r="AC22" s="19">
        <v>76</v>
      </c>
      <c r="AD22" s="20"/>
      <c r="AE22" s="20">
        <v>79</v>
      </c>
      <c r="AF22" s="20"/>
      <c r="AG22" s="20">
        <v>79</v>
      </c>
      <c r="AH22" s="20"/>
      <c r="AI22" s="20">
        <v>78</v>
      </c>
      <c r="AJ22" s="3"/>
      <c r="AK22" s="45">
        <f t="shared" si="4"/>
        <v>77.25</v>
      </c>
      <c r="AL22" s="46">
        <f t="shared" si="5"/>
        <v>76.75</v>
      </c>
      <c r="AM22" s="47">
        <f t="shared" si="6"/>
        <v>76.25</v>
      </c>
      <c r="AN22" s="48">
        <f t="shared" si="7"/>
        <v>78</v>
      </c>
      <c r="AO22" s="49">
        <f t="shared" si="8"/>
        <v>77.0625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77.0625</v>
      </c>
      <c r="BC22" s="65" t="str">
        <f t="shared" si="17"/>
        <v/>
      </c>
      <c r="BE22" s="20">
        <f t="shared" si="18"/>
        <v>76</v>
      </c>
      <c r="BF22" s="20">
        <f t="shared" si="19"/>
        <v>77.5</v>
      </c>
      <c r="BG22" s="93">
        <f t="shared" si="20"/>
        <v>77.25</v>
      </c>
      <c r="BH22" s="20">
        <f t="shared" si="21"/>
        <v>77.5</v>
      </c>
      <c r="BI22" s="20">
        <f t="shared" si="22"/>
        <v>77.0625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9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9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78</v>
      </c>
      <c r="F25" s="20"/>
      <c r="G25" s="20">
        <v>79</v>
      </c>
      <c r="H25" s="20"/>
      <c r="I25" s="20">
        <v>76</v>
      </c>
      <c r="J25" s="20"/>
      <c r="K25" s="20">
        <v>77</v>
      </c>
      <c r="L25" s="21"/>
      <c r="M25" s="19">
        <v>78</v>
      </c>
      <c r="N25" s="20"/>
      <c r="O25" s="20">
        <v>76</v>
      </c>
      <c r="P25" s="20"/>
      <c r="Q25" s="20">
        <v>75</v>
      </c>
      <c r="R25" s="20"/>
      <c r="S25" s="20">
        <v>74</v>
      </c>
      <c r="T25" s="21"/>
      <c r="U25" s="19">
        <v>71</v>
      </c>
      <c r="V25" s="20"/>
      <c r="W25" s="20">
        <v>78</v>
      </c>
      <c r="X25" s="20"/>
      <c r="Y25" s="20">
        <v>79</v>
      </c>
      <c r="Z25" s="20"/>
      <c r="AA25" s="20">
        <v>76</v>
      </c>
      <c r="AB25" s="21"/>
      <c r="AC25" s="19">
        <v>78</v>
      </c>
      <c r="AD25" s="20"/>
      <c r="AE25" s="20">
        <v>76</v>
      </c>
      <c r="AF25" s="20"/>
      <c r="AG25" s="20">
        <v>75</v>
      </c>
      <c r="AH25" s="20"/>
      <c r="AI25" s="20">
        <v>74</v>
      </c>
      <c r="AJ25" s="3"/>
      <c r="AK25" s="45">
        <f t="shared" si="4"/>
        <v>77.5</v>
      </c>
      <c r="AL25" s="46">
        <f t="shared" si="5"/>
        <v>75.75</v>
      </c>
      <c r="AM25" s="47">
        <f t="shared" si="6"/>
        <v>76</v>
      </c>
      <c r="AN25" s="48">
        <f t="shared" si="7"/>
        <v>75.75</v>
      </c>
      <c r="AO25" s="49">
        <f t="shared" si="8"/>
        <v>76.25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76.25</v>
      </c>
      <c r="BC25" s="65" t="str">
        <f t="shared" si="17"/>
        <v/>
      </c>
      <c r="BE25" s="20">
        <f t="shared" si="18"/>
        <v>76.25</v>
      </c>
      <c r="BF25" s="20">
        <f t="shared" si="19"/>
        <v>77.25</v>
      </c>
      <c r="BG25" s="93">
        <f t="shared" si="20"/>
        <v>76.25</v>
      </c>
      <c r="BH25" s="20">
        <f t="shared" si="21"/>
        <v>75.25</v>
      </c>
      <c r="BI25" s="20">
        <f t="shared" si="22"/>
        <v>76.25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77</v>
      </c>
      <c r="J26" s="20"/>
      <c r="K26" s="20">
        <v>78</v>
      </c>
      <c r="L26" s="21"/>
      <c r="M26" s="19">
        <v>75</v>
      </c>
      <c r="N26" s="20"/>
      <c r="O26" s="20">
        <v>76</v>
      </c>
      <c r="P26" s="20"/>
      <c r="Q26" s="20">
        <v>77</v>
      </c>
      <c r="R26" s="20"/>
      <c r="S26" s="20">
        <v>78</v>
      </c>
      <c r="T26" s="21"/>
      <c r="U26" s="19">
        <v>75</v>
      </c>
      <c r="V26" s="20"/>
      <c r="W26" s="20">
        <v>74</v>
      </c>
      <c r="X26" s="20"/>
      <c r="Y26" s="20">
        <v>74</v>
      </c>
      <c r="Z26" s="20"/>
      <c r="AA26" s="20">
        <v>75</v>
      </c>
      <c r="AB26" s="21"/>
      <c r="AC26" s="19">
        <v>73</v>
      </c>
      <c r="AD26" s="20"/>
      <c r="AE26" s="20">
        <v>74</v>
      </c>
      <c r="AF26" s="20"/>
      <c r="AG26" s="20">
        <v>75</v>
      </c>
      <c r="AH26" s="20"/>
      <c r="AI26" s="20">
        <v>73</v>
      </c>
      <c r="AJ26" s="3"/>
      <c r="AK26" s="45">
        <f t="shared" si="4"/>
        <v>76.5</v>
      </c>
      <c r="AL26" s="46">
        <f t="shared" si="5"/>
        <v>76.5</v>
      </c>
      <c r="AM26" s="47">
        <f t="shared" si="6"/>
        <v>74.5</v>
      </c>
      <c r="AN26" s="48">
        <f t="shared" si="7"/>
        <v>73.75</v>
      </c>
      <c r="AO26" s="49">
        <f t="shared" si="8"/>
        <v>75.3125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75.3125</v>
      </c>
      <c r="BC26" s="65" t="str">
        <f t="shared" si="17"/>
        <v/>
      </c>
      <c r="BE26" s="20">
        <f t="shared" si="18"/>
        <v>74.5</v>
      </c>
      <c r="BF26" s="20">
        <f t="shared" si="19"/>
        <v>75</v>
      </c>
      <c r="BG26" s="93">
        <f t="shared" si="20"/>
        <v>75.75</v>
      </c>
      <c r="BH26" s="20">
        <f t="shared" si="21"/>
        <v>76</v>
      </c>
      <c r="BI26" s="20">
        <f t="shared" si="22"/>
        <v>75.3125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90</v>
      </c>
      <c r="F27" s="20"/>
      <c r="G27" s="20"/>
      <c r="H27" s="20"/>
      <c r="I27" s="20"/>
      <c r="J27" s="20"/>
      <c r="K27" s="20"/>
      <c r="L27" s="21"/>
      <c r="M27" s="19">
        <v>95</v>
      </c>
      <c r="N27" s="20"/>
      <c r="O27" s="20"/>
      <c r="P27" s="20"/>
      <c r="Q27" s="20"/>
      <c r="R27" s="20"/>
      <c r="S27" s="20"/>
      <c r="T27" s="21"/>
      <c r="U27" s="19">
        <v>96</v>
      </c>
      <c r="V27" s="20"/>
      <c r="W27" s="20"/>
      <c r="X27" s="20"/>
      <c r="Y27" s="20"/>
      <c r="Z27" s="20"/>
      <c r="AA27" s="20"/>
      <c r="AB27" s="21"/>
      <c r="AC27" s="19">
        <v>95</v>
      </c>
      <c r="AD27" s="20"/>
      <c r="AE27" s="20"/>
      <c r="AF27" s="20"/>
      <c r="AG27" s="20"/>
      <c r="AH27" s="20"/>
      <c r="AI27" s="20"/>
      <c r="AJ27" s="3"/>
      <c r="AK27" s="45">
        <f t="shared" si="4"/>
        <v>22.5</v>
      </c>
      <c r="AL27" s="46">
        <f t="shared" si="5"/>
        <v>23.75</v>
      </c>
      <c r="AM27" s="47">
        <f t="shared" si="6"/>
        <v>24</v>
      </c>
      <c r="AN27" s="48">
        <f t="shared" si="7"/>
        <v>23.75</v>
      </c>
      <c r="AO27" s="49">
        <f t="shared" si="8"/>
        <v>23.5</v>
      </c>
      <c r="AP27" s="38"/>
      <c r="AR27" s="55">
        <f t="shared" si="9"/>
        <v>11.75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23.5</v>
      </c>
      <c r="BE27" s="20">
        <f t="shared" si="18"/>
        <v>94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23.5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90</v>
      </c>
      <c r="F28" s="20"/>
      <c r="G28" s="20">
        <v>95</v>
      </c>
      <c r="H28" s="20"/>
      <c r="I28" s="20">
        <v>94</v>
      </c>
      <c r="J28" s="20"/>
      <c r="K28" s="20">
        <v>93</v>
      </c>
      <c r="L28" s="21"/>
      <c r="M28" s="19">
        <v>95</v>
      </c>
      <c r="N28" s="20"/>
      <c r="O28" s="20">
        <v>94</v>
      </c>
      <c r="P28" s="20"/>
      <c r="Q28" s="20">
        <v>95</v>
      </c>
      <c r="R28" s="20"/>
      <c r="S28" s="20">
        <v>96</v>
      </c>
      <c r="T28" s="21"/>
      <c r="U28" s="19">
        <v>96</v>
      </c>
      <c r="V28" s="20"/>
      <c r="W28" s="20">
        <v>97</v>
      </c>
      <c r="X28" s="20"/>
      <c r="Y28" s="20">
        <v>95</v>
      </c>
      <c r="Z28" s="20"/>
      <c r="AA28" s="20">
        <v>93</v>
      </c>
      <c r="AB28" s="21"/>
      <c r="AC28" s="19">
        <v>95</v>
      </c>
      <c r="AD28" s="20"/>
      <c r="AE28" s="20">
        <v>94</v>
      </c>
      <c r="AF28" s="20"/>
      <c r="AG28" s="20">
        <v>95</v>
      </c>
      <c r="AH28" s="20"/>
      <c r="AI28" s="20">
        <v>93</v>
      </c>
      <c r="AJ28" s="3"/>
      <c r="AK28" s="45">
        <f t="shared" si="4"/>
        <v>93</v>
      </c>
      <c r="AL28" s="46">
        <f t="shared" si="5"/>
        <v>95</v>
      </c>
      <c r="AM28" s="47">
        <f t="shared" si="6"/>
        <v>95.25</v>
      </c>
      <c r="AN28" s="48">
        <f t="shared" si="7"/>
        <v>94.25</v>
      </c>
      <c r="AO28" s="49">
        <f t="shared" si="8"/>
        <v>94.375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94.375</v>
      </c>
      <c r="BC28" s="65" t="str">
        <f t="shared" si="17"/>
        <v/>
      </c>
      <c r="BE28" s="20">
        <f t="shared" si="18"/>
        <v>94</v>
      </c>
      <c r="BF28" s="20">
        <f t="shared" si="19"/>
        <v>95</v>
      </c>
      <c r="BG28" s="93">
        <f t="shared" si="20"/>
        <v>94.75</v>
      </c>
      <c r="BH28" s="20">
        <f t="shared" si="21"/>
        <v>93.75</v>
      </c>
      <c r="BI28" s="20">
        <f t="shared" si="22"/>
        <v>94.375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84</v>
      </c>
      <c r="F29" s="20"/>
      <c r="G29" s="20">
        <v>86</v>
      </c>
      <c r="H29" s="20"/>
      <c r="I29" s="20">
        <v>84</v>
      </c>
      <c r="J29" s="20"/>
      <c r="K29" s="20">
        <v>85</v>
      </c>
      <c r="L29" s="21"/>
      <c r="M29" s="19">
        <v>85</v>
      </c>
      <c r="N29" s="20"/>
      <c r="O29" s="20">
        <v>86</v>
      </c>
      <c r="P29" s="20"/>
      <c r="Q29" s="20">
        <v>87</v>
      </c>
      <c r="R29" s="20"/>
      <c r="S29" s="20">
        <v>85</v>
      </c>
      <c r="T29" s="21"/>
      <c r="U29" s="19">
        <v>84</v>
      </c>
      <c r="V29" s="20"/>
      <c r="W29" s="20">
        <v>84</v>
      </c>
      <c r="X29" s="20"/>
      <c r="Y29" s="20">
        <v>85</v>
      </c>
      <c r="Z29" s="20"/>
      <c r="AA29" s="20">
        <v>83</v>
      </c>
      <c r="AB29" s="21"/>
      <c r="AC29" s="19">
        <v>85</v>
      </c>
      <c r="AD29" s="20"/>
      <c r="AE29" s="20">
        <v>84</v>
      </c>
      <c r="AF29" s="20"/>
      <c r="AG29" s="20">
        <v>86</v>
      </c>
      <c r="AH29" s="20"/>
      <c r="AI29" s="20">
        <v>84</v>
      </c>
      <c r="AJ29" s="3"/>
      <c r="AK29" s="45">
        <f t="shared" si="4"/>
        <v>84.75</v>
      </c>
      <c r="AL29" s="46">
        <f t="shared" si="5"/>
        <v>85.75</v>
      </c>
      <c r="AM29" s="47">
        <f t="shared" si="6"/>
        <v>84</v>
      </c>
      <c r="AN29" s="48">
        <f t="shared" si="7"/>
        <v>84.75</v>
      </c>
      <c r="AO29" s="49">
        <f t="shared" si="8"/>
        <v>84.8125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84.8125</v>
      </c>
      <c r="BC29" s="65" t="str">
        <f t="shared" si="17"/>
        <v/>
      </c>
      <c r="BE29" s="20">
        <f t="shared" si="18"/>
        <v>84.5</v>
      </c>
      <c r="BF29" s="20">
        <f t="shared" si="19"/>
        <v>85</v>
      </c>
      <c r="BG29" s="93">
        <f t="shared" si="20"/>
        <v>85.5</v>
      </c>
      <c r="BH29" s="20">
        <f t="shared" si="21"/>
        <v>84.25</v>
      </c>
      <c r="BI29" s="20">
        <f t="shared" si="22"/>
        <v>84.8125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85</v>
      </c>
      <c r="F30" s="20"/>
      <c r="G30" s="20">
        <v>83</v>
      </c>
      <c r="H30" s="20"/>
      <c r="I30" s="20">
        <v>82</v>
      </c>
      <c r="J30" s="20"/>
      <c r="K30" s="20">
        <v>84</v>
      </c>
      <c r="L30" s="21"/>
      <c r="M30" s="19">
        <v>81</v>
      </c>
      <c r="N30" s="20"/>
      <c r="O30" s="20">
        <v>83</v>
      </c>
      <c r="P30" s="20"/>
      <c r="Q30" s="20">
        <v>82</v>
      </c>
      <c r="R30" s="20"/>
      <c r="S30" s="20">
        <v>82</v>
      </c>
      <c r="T30" s="21"/>
      <c r="U30" s="19">
        <v>73</v>
      </c>
      <c r="V30" s="20"/>
      <c r="W30" s="20">
        <v>85</v>
      </c>
      <c r="X30" s="20"/>
      <c r="Y30" s="20">
        <v>83</v>
      </c>
      <c r="Z30" s="20"/>
      <c r="AA30" s="20">
        <v>82</v>
      </c>
      <c r="AB30" s="21"/>
      <c r="AC30" s="19">
        <v>84</v>
      </c>
      <c r="AD30" s="20"/>
      <c r="AE30" s="20">
        <v>85</v>
      </c>
      <c r="AF30" s="20"/>
      <c r="AG30" s="20">
        <v>83</v>
      </c>
      <c r="AH30" s="20"/>
      <c r="AI30" s="20">
        <v>84</v>
      </c>
      <c r="AJ30" s="3"/>
      <c r="AK30" s="45">
        <f t="shared" si="4"/>
        <v>83.5</v>
      </c>
      <c r="AL30" s="46">
        <f t="shared" si="5"/>
        <v>82</v>
      </c>
      <c r="AM30" s="47">
        <f t="shared" si="6"/>
        <v>80.75</v>
      </c>
      <c r="AN30" s="48">
        <f t="shared" si="7"/>
        <v>84</v>
      </c>
      <c r="AO30" s="49">
        <f t="shared" si="8"/>
        <v>82.5625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82.5625</v>
      </c>
      <c r="BC30" s="65" t="str">
        <f t="shared" si="17"/>
        <v/>
      </c>
      <c r="BE30" s="20">
        <f t="shared" si="18"/>
        <v>80.75</v>
      </c>
      <c r="BF30" s="20">
        <f t="shared" si="19"/>
        <v>84</v>
      </c>
      <c r="BG30" s="93">
        <f t="shared" si="20"/>
        <v>82.5</v>
      </c>
      <c r="BH30" s="20">
        <f t="shared" si="21"/>
        <v>83</v>
      </c>
      <c r="BI30" s="20">
        <f t="shared" si="22"/>
        <v>82.5625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9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76</v>
      </c>
      <c r="F32" s="20"/>
      <c r="G32" s="20">
        <v>75</v>
      </c>
      <c r="H32" s="20"/>
      <c r="I32" s="20">
        <v>75</v>
      </c>
      <c r="J32" s="20"/>
      <c r="K32" s="20">
        <v>72</v>
      </c>
      <c r="L32" s="21"/>
      <c r="M32" s="19">
        <v>74</v>
      </c>
      <c r="N32" s="20"/>
      <c r="O32" s="20">
        <v>75</v>
      </c>
      <c r="P32" s="20"/>
      <c r="Q32" s="20">
        <v>76</v>
      </c>
      <c r="R32" s="20"/>
      <c r="S32" s="20">
        <v>78</v>
      </c>
      <c r="T32" s="21"/>
      <c r="U32" s="19">
        <v>73</v>
      </c>
      <c r="V32" s="20"/>
      <c r="W32" s="20">
        <v>75</v>
      </c>
      <c r="X32" s="20"/>
      <c r="Y32" s="20">
        <v>76</v>
      </c>
      <c r="Z32" s="20"/>
      <c r="AA32" s="20">
        <v>75</v>
      </c>
      <c r="AB32" s="21"/>
      <c r="AC32" s="19">
        <v>77</v>
      </c>
      <c r="AD32" s="20"/>
      <c r="AE32" s="20">
        <v>79</v>
      </c>
      <c r="AF32" s="20"/>
      <c r="AG32" s="20">
        <v>78</v>
      </c>
      <c r="AH32" s="20"/>
      <c r="AI32" s="20">
        <v>76</v>
      </c>
      <c r="AJ32" s="3"/>
      <c r="AK32" s="45">
        <f t="shared" si="4"/>
        <v>74.5</v>
      </c>
      <c r="AL32" s="46">
        <f t="shared" si="5"/>
        <v>75.75</v>
      </c>
      <c r="AM32" s="47">
        <f t="shared" si="6"/>
        <v>74.75</v>
      </c>
      <c r="AN32" s="48">
        <f t="shared" si="7"/>
        <v>77.5</v>
      </c>
      <c r="AO32" s="49">
        <f t="shared" si="8"/>
        <v>75.625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75.625</v>
      </c>
      <c r="BC32" s="65" t="str">
        <f t="shared" si="17"/>
        <v/>
      </c>
      <c r="BE32" s="20">
        <f t="shared" si="18"/>
        <v>75</v>
      </c>
      <c r="BF32" s="20">
        <f t="shared" si="19"/>
        <v>76</v>
      </c>
      <c r="BG32" s="93">
        <f t="shared" si="20"/>
        <v>76.25</v>
      </c>
      <c r="BH32" s="20">
        <f t="shared" si="21"/>
        <v>75.25</v>
      </c>
      <c r="BI32" s="20">
        <f t="shared" si="22"/>
        <v>75.625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80</v>
      </c>
      <c r="F33" s="20"/>
      <c r="G33" s="20">
        <v>79</v>
      </c>
      <c r="H33" s="20"/>
      <c r="I33" s="20">
        <v>78</v>
      </c>
      <c r="J33" s="20"/>
      <c r="K33" s="20">
        <v>76</v>
      </c>
      <c r="L33" s="21"/>
      <c r="M33" s="19">
        <v>77</v>
      </c>
      <c r="N33" s="20"/>
      <c r="O33" s="20">
        <v>78</v>
      </c>
      <c r="P33" s="20"/>
      <c r="Q33" s="20">
        <v>79</v>
      </c>
      <c r="R33" s="20"/>
      <c r="S33" s="20">
        <v>76</v>
      </c>
      <c r="T33" s="21"/>
      <c r="U33" s="19">
        <v>77</v>
      </c>
      <c r="V33" s="20"/>
      <c r="W33" s="20">
        <v>75</v>
      </c>
      <c r="X33" s="20"/>
      <c r="Y33" s="20">
        <v>77</v>
      </c>
      <c r="Z33" s="20"/>
      <c r="AA33" s="20">
        <v>78</v>
      </c>
      <c r="AB33" s="21"/>
      <c r="AC33" s="19">
        <v>77</v>
      </c>
      <c r="AD33" s="20"/>
      <c r="AE33" s="20">
        <v>79</v>
      </c>
      <c r="AF33" s="20"/>
      <c r="AG33" s="20">
        <v>76</v>
      </c>
      <c r="AH33" s="20"/>
      <c r="AI33" s="20">
        <v>78</v>
      </c>
      <c r="AJ33" s="3"/>
      <c r="AK33" s="45">
        <f t="shared" si="4"/>
        <v>78.25</v>
      </c>
      <c r="AL33" s="46">
        <f t="shared" si="5"/>
        <v>77.5</v>
      </c>
      <c r="AM33" s="47">
        <f t="shared" si="6"/>
        <v>76.75</v>
      </c>
      <c r="AN33" s="48">
        <f t="shared" si="7"/>
        <v>77.5</v>
      </c>
      <c r="AO33" s="49">
        <f t="shared" si="8"/>
        <v>77.5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77.5</v>
      </c>
      <c r="BC33" s="65" t="str">
        <f t="shared" si="17"/>
        <v/>
      </c>
      <c r="BE33" s="20">
        <f t="shared" si="18"/>
        <v>77.75</v>
      </c>
      <c r="BF33" s="20">
        <f t="shared" si="19"/>
        <v>77.75</v>
      </c>
      <c r="BG33" s="93">
        <f t="shared" si="20"/>
        <v>77.5</v>
      </c>
      <c r="BH33" s="20">
        <f t="shared" si="21"/>
        <v>77</v>
      </c>
      <c r="BI33" s="20">
        <f t="shared" si="22"/>
        <v>77.5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79</v>
      </c>
      <c r="F34" s="20"/>
      <c r="G34" s="20">
        <v>80</v>
      </c>
      <c r="H34" s="20"/>
      <c r="I34" s="20">
        <v>81</v>
      </c>
      <c r="J34" s="20"/>
      <c r="K34" s="20">
        <v>83</v>
      </c>
      <c r="L34" s="21"/>
      <c r="M34" s="19">
        <v>81</v>
      </c>
      <c r="N34" s="20"/>
      <c r="O34" s="20">
        <v>82</v>
      </c>
      <c r="P34" s="20"/>
      <c r="Q34" s="20">
        <v>83</v>
      </c>
      <c r="R34" s="20"/>
      <c r="S34" s="20">
        <v>84</v>
      </c>
      <c r="T34" s="21"/>
      <c r="U34" s="19">
        <v>85</v>
      </c>
      <c r="V34" s="20"/>
      <c r="W34" s="20">
        <v>84</v>
      </c>
      <c r="X34" s="20"/>
      <c r="Y34" s="20">
        <v>84</v>
      </c>
      <c r="Z34" s="20"/>
      <c r="AA34" s="20">
        <v>85</v>
      </c>
      <c r="AB34" s="21"/>
      <c r="AC34" s="19">
        <v>86</v>
      </c>
      <c r="AD34" s="20"/>
      <c r="AE34" s="20">
        <v>87</v>
      </c>
      <c r="AF34" s="20"/>
      <c r="AG34" s="20">
        <v>88</v>
      </c>
      <c r="AH34" s="20"/>
      <c r="AI34" s="20">
        <v>86</v>
      </c>
      <c r="AJ34" s="3"/>
      <c r="AK34" s="45">
        <f t="shared" si="4"/>
        <v>80.75</v>
      </c>
      <c r="AL34" s="46">
        <f t="shared" si="5"/>
        <v>82.5</v>
      </c>
      <c r="AM34" s="47">
        <f t="shared" si="6"/>
        <v>84.5</v>
      </c>
      <c r="AN34" s="48">
        <f t="shared" si="7"/>
        <v>86.75</v>
      </c>
      <c r="AO34" s="49">
        <f t="shared" si="8"/>
        <v>83.625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83.625</v>
      </c>
      <c r="BC34" s="65" t="str">
        <f t="shared" si="17"/>
        <v/>
      </c>
      <c r="BE34" s="20">
        <f t="shared" si="18"/>
        <v>82.75</v>
      </c>
      <c r="BF34" s="20">
        <f t="shared" si="19"/>
        <v>83.25</v>
      </c>
      <c r="BG34" s="93">
        <f t="shared" si="20"/>
        <v>84</v>
      </c>
      <c r="BH34" s="20">
        <f t="shared" si="21"/>
        <v>84.5</v>
      </c>
      <c r="BI34" s="20">
        <f t="shared" si="22"/>
        <v>83.625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89</v>
      </c>
      <c r="H35" s="20"/>
      <c r="I35" s="20">
        <v>87</v>
      </c>
      <c r="J35" s="20"/>
      <c r="K35" s="20">
        <v>88</v>
      </c>
      <c r="L35" s="21"/>
      <c r="M35" s="19">
        <v>90</v>
      </c>
      <c r="N35" s="20"/>
      <c r="O35" s="20">
        <v>89</v>
      </c>
      <c r="P35" s="20"/>
      <c r="Q35" s="20">
        <v>88</v>
      </c>
      <c r="R35" s="20"/>
      <c r="S35" s="20">
        <v>89</v>
      </c>
      <c r="T35" s="21"/>
      <c r="U35" s="19">
        <v>89</v>
      </c>
      <c r="V35" s="20"/>
      <c r="W35" s="20">
        <v>86</v>
      </c>
      <c r="X35" s="20"/>
      <c r="Y35" s="20">
        <v>87</v>
      </c>
      <c r="Z35" s="20"/>
      <c r="AA35" s="20">
        <v>86</v>
      </c>
      <c r="AB35" s="21"/>
      <c r="AC35" s="19">
        <v>88</v>
      </c>
      <c r="AD35" s="20"/>
      <c r="AE35" s="20">
        <v>88</v>
      </c>
      <c r="AF35" s="20"/>
      <c r="AG35" s="20">
        <v>89</v>
      </c>
      <c r="AH35" s="20"/>
      <c r="AI35" s="20">
        <v>90</v>
      </c>
      <c r="AJ35" s="3"/>
      <c r="AK35" s="45">
        <f t="shared" si="4"/>
        <v>88.5</v>
      </c>
      <c r="AL35" s="46">
        <f t="shared" si="5"/>
        <v>89</v>
      </c>
      <c r="AM35" s="47">
        <f t="shared" si="6"/>
        <v>87</v>
      </c>
      <c r="AN35" s="48">
        <f t="shared" si="7"/>
        <v>88.75</v>
      </c>
      <c r="AO35" s="49">
        <f t="shared" si="8"/>
        <v>88.3125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88.3125</v>
      </c>
      <c r="BC35" s="65" t="str">
        <f t="shared" si="17"/>
        <v/>
      </c>
      <c r="BE35" s="20">
        <f t="shared" si="18"/>
        <v>89.25</v>
      </c>
      <c r="BF35" s="20">
        <f t="shared" si="19"/>
        <v>88</v>
      </c>
      <c r="BG35" s="93">
        <f t="shared" si="20"/>
        <v>87.75</v>
      </c>
      <c r="BH35" s="20">
        <f t="shared" si="21"/>
        <v>88.25</v>
      </c>
      <c r="BI35" s="20">
        <f t="shared" si="22"/>
        <v>88.3125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9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74</v>
      </c>
      <c r="F37" s="20"/>
      <c r="G37" s="20">
        <v>76</v>
      </c>
      <c r="H37" s="20"/>
      <c r="I37" s="20">
        <v>75</v>
      </c>
      <c r="J37" s="20"/>
      <c r="K37" s="20">
        <v>71</v>
      </c>
      <c r="L37" s="21"/>
      <c r="M37" s="19">
        <v>75</v>
      </c>
      <c r="N37" s="20"/>
      <c r="O37" s="20">
        <v>76</v>
      </c>
      <c r="P37" s="20"/>
      <c r="Q37" s="20">
        <v>75</v>
      </c>
      <c r="R37" s="20"/>
      <c r="S37" s="20">
        <v>76</v>
      </c>
      <c r="T37" s="3"/>
      <c r="U37" s="19">
        <v>74</v>
      </c>
      <c r="V37" s="20"/>
      <c r="W37" s="20">
        <v>75</v>
      </c>
      <c r="X37" s="20"/>
      <c r="Y37" s="20">
        <v>77</v>
      </c>
      <c r="Z37" s="20"/>
      <c r="AA37" s="20">
        <v>78</v>
      </c>
      <c r="AB37" s="21"/>
      <c r="AC37" s="19">
        <v>75</v>
      </c>
      <c r="AD37" s="20"/>
      <c r="AE37" s="20">
        <v>76</v>
      </c>
      <c r="AF37" s="20"/>
      <c r="AG37" s="20">
        <v>74</v>
      </c>
      <c r="AH37" s="20"/>
      <c r="AI37" s="20">
        <v>75</v>
      </c>
      <c r="AJ37" s="3"/>
      <c r="AK37" s="45">
        <f t="shared" si="4"/>
        <v>74</v>
      </c>
      <c r="AL37" s="46">
        <f t="shared" si="5"/>
        <v>75.5</v>
      </c>
      <c r="AM37" s="47">
        <f t="shared" si="6"/>
        <v>76</v>
      </c>
      <c r="AN37" s="48">
        <f t="shared" si="7"/>
        <v>75</v>
      </c>
      <c r="AO37" s="49">
        <f t="shared" si="8"/>
        <v>75.125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75.125</v>
      </c>
      <c r="BC37" s="65" t="str">
        <f t="shared" si="17"/>
        <v/>
      </c>
      <c r="BE37" s="20">
        <f t="shared" si="18"/>
        <v>74.5</v>
      </c>
      <c r="BF37" s="20">
        <f t="shared" si="19"/>
        <v>75.75</v>
      </c>
      <c r="BG37" s="93">
        <f t="shared" si="20"/>
        <v>75.25</v>
      </c>
      <c r="BH37" s="20">
        <f t="shared" si="21"/>
        <v>75</v>
      </c>
      <c r="BI37" s="20">
        <f t="shared" si="22"/>
        <v>75.125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76</v>
      </c>
      <c r="F38" s="20"/>
      <c r="G38" s="20">
        <v>75</v>
      </c>
      <c r="H38" s="20"/>
      <c r="I38" s="20">
        <v>75</v>
      </c>
      <c r="J38" s="20"/>
      <c r="K38" s="20">
        <v>72</v>
      </c>
      <c r="L38" s="21"/>
      <c r="M38" s="19">
        <v>74</v>
      </c>
      <c r="N38" s="20"/>
      <c r="O38" s="20">
        <v>75</v>
      </c>
      <c r="P38" s="20"/>
      <c r="Q38" s="20">
        <v>76</v>
      </c>
      <c r="R38" s="20"/>
      <c r="S38" s="20">
        <v>78</v>
      </c>
      <c r="T38" s="21"/>
      <c r="U38" s="19">
        <v>73</v>
      </c>
      <c r="V38" s="20"/>
      <c r="W38" s="20">
        <v>75</v>
      </c>
      <c r="X38" s="20"/>
      <c r="Y38" s="20">
        <v>76</v>
      </c>
      <c r="Z38" s="20"/>
      <c r="AA38" s="20">
        <v>75</v>
      </c>
      <c r="AB38" s="21"/>
      <c r="AC38" s="19">
        <v>77</v>
      </c>
      <c r="AD38" s="20"/>
      <c r="AE38" s="20">
        <v>79</v>
      </c>
      <c r="AF38" s="20"/>
      <c r="AG38" s="20">
        <v>78</v>
      </c>
      <c r="AH38" s="20"/>
      <c r="AI38" s="20">
        <v>76</v>
      </c>
      <c r="AJ38" s="3"/>
      <c r="AK38" s="45">
        <f t="shared" si="4"/>
        <v>74.5</v>
      </c>
      <c r="AL38" s="46">
        <f t="shared" si="5"/>
        <v>75.75</v>
      </c>
      <c r="AM38" s="47">
        <f t="shared" si="6"/>
        <v>74.75</v>
      </c>
      <c r="AN38" s="48">
        <f t="shared" si="7"/>
        <v>77.5</v>
      </c>
      <c r="AO38" s="49">
        <f t="shared" si="8"/>
        <v>75.625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75.625</v>
      </c>
      <c r="BC38" s="65" t="str">
        <f t="shared" si="17"/>
        <v/>
      </c>
      <c r="BE38" s="20">
        <f t="shared" si="18"/>
        <v>75</v>
      </c>
      <c r="BF38" s="20">
        <f t="shared" si="19"/>
        <v>76</v>
      </c>
      <c r="BG38" s="93">
        <f t="shared" si="20"/>
        <v>76.25</v>
      </c>
      <c r="BH38" s="20">
        <f t="shared" si="21"/>
        <v>75.25</v>
      </c>
      <c r="BI38" s="20">
        <f t="shared" si="22"/>
        <v>75.625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80</v>
      </c>
      <c r="F39" s="20"/>
      <c r="G39" s="20">
        <v>79</v>
      </c>
      <c r="H39" s="20"/>
      <c r="I39" s="20">
        <v>78</v>
      </c>
      <c r="J39" s="20"/>
      <c r="K39" s="20">
        <v>76</v>
      </c>
      <c r="L39" s="21"/>
      <c r="M39" s="19">
        <v>77</v>
      </c>
      <c r="N39" s="20"/>
      <c r="O39" s="20">
        <v>78</v>
      </c>
      <c r="P39" s="20"/>
      <c r="Q39" s="20">
        <v>79</v>
      </c>
      <c r="R39" s="20"/>
      <c r="S39" s="20">
        <v>76</v>
      </c>
      <c r="T39" s="21"/>
      <c r="U39" s="19">
        <v>77</v>
      </c>
      <c r="V39" s="20"/>
      <c r="W39" s="20">
        <v>75</v>
      </c>
      <c r="X39" s="20"/>
      <c r="Y39" s="20">
        <v>77</v>
      </c>
      <c r="Z39" s="20"/>
      <c r="AA39" s="20">
        <v>78</v>
      </c>
      <c r="AB39" s="21"/>
      <c r="AC39" s="19">
        <v>77</v>
      </c>
      <c r="AD39" s="20"/>
      <c r="AE39" s="20">
        <v>79</v>
      </c>
      <c r="AF39" s="20"/>
      <c r="AG39" s="20">
        <v>76</v>
      </c>
      <c r="AH39" s="20"/>
      <c r="AI39" s="20">
        <v>78</v>
      </c>
      <c r="AJ39" s="3"/>
      <c r="AK39" s="45">
        <f t="shared" si="4"/>
        <v>78.25</v>
      </c>
      <c r="AL39" s="46">
        <f t="shared" si="5"/>
        <v>77.5</v>
      </c>
      <c r="AM39" s="47">
        <f t="shared" si="6"/>
        <v>76.75</v>
      </c>
      <c r="AN39" s="48">
        <f t="shared" si="7"/>
        <v>77.5</v>
      </c>
      <c r="AO39" s="49">
        <f t="shared" si="8"/>
        <v>77.5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77.5</v>
      </c>
      <c r="BC39" s="65" t="str">
        <f t="shared" si="17"/>
        <v/>
      </c>
      <c r="BE39" s="20">
        <f t="shared" si="18"/>
        <v>77.75</v>
      </c>
      <c r="BF39" s="20">
        <f t="shared" si="19"/>
        <v>77.75</v>
      </c>
      <c r="BG39" s="93">
        <f t="shared" si="20"/>
        <v>77.5</v>
      </c>
      <c r="BH39" s="20">
        <f t="shared" si="21"/>
        <v>77</v>
      </c>
      <c r="BI39" s="20">
        <f t="shared" si="22"/>
        <v>77.5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79</v>
      </c>
      <c r="F40" s="20"/>
      <c r="G40" s="20">
        <v>80</v>
      </c>
      <c r="H40" s="20"/>
      <c r="I40" s="20">
        <v>81</v>
      </c>
      <c r="J40" s="20"/>
      <c r="K40" s="20">
        <v>83</v>
      </c>
      <c r="L40" s="21"/>
      <c r="M40" s="19">
        <v>81</v>
      </c>
      <c r="N40" s="20"/>
      <c r="O40" s="20">
        <v>82</v>
      </c>
      <c r="P40" s="20"/>
      <c r="Q40" s="20">
        <v>83</v>
      </c>
      <c r="R40" s="20"/>
      <c r="S40" s="20">
        <v>84</v>
      </c>
      <c r="T40" s="21"/>
      <c r="U40" s="19">
        <v>85</v>
      </c>
      <c r="V40" s="20"/>
      <c r="W40" s="20">
        <v>84</v>
      </c>
      <c r="X40" s="20"/>
      <c r="Y40" s="20">
        <v>84</v>
      </c>
      <c r="Z40" s="20"/>
      <c r="AA40" s="20">
        <v>85</v>
      </c>
      <c r="AB40" s="21"/>
      <c r="AC40" s="19">
        <v>86</v>
      </c>
      <c r="AD40" s="20"/>
      <c r="AE40" s="20">
        <v>87</v>
      </c>
      <c r="AF40" s="20"/>
      <c r="AG40" s="20">
        <v>88</v>
      </c>
      <c r="AH40" s="20"/>
      <c r="AI40" s="20">
        <v>86</v>
      </c>
      <c r="AJ40" s="3"/>
      <c r="AK40" s="45">
        <f t="shared" si="4"/>
        <v>80.75</v>
      </c>
      <c r="AL40" s="46">
        <f t="shared" si="5"/>
        <v>82.5</v>
      </c>
      <c r="AM40" s="47">
        <f t="shared" si="6"/>
        <v>84.5</v>
      </c>
      <c r="AN40" s="48">
        <f t="shared" si="7"/>
        <v>86.75</v>
      </c>
      <c r="AO40" s="49">
        <f t="shared" si="8"/>
        <v>83.625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83.625</v>
      </c>
      <c r="BC40" s="65" t="str">
        <f t="shared" si="17"/>
        <v/>
      </c>
      <c r="BE40" s="20">
        <f t="shared" si="18"/>
        <v>82.75</v>
      </c>
      <c r="BF40" s="20">
        <f t="shared" si="19"/>
        <v>83.25</v>
      </c>
      <c r="BG40" s="93">
        <f t="shared" si="20"/>
        <v>84</v>
      </c>
      <c r="BH40" s="20">
        <f t="shared" si="21"/>
        <v>84.5</v>
      </c>
      <c r="BI40" s="20">
        <f t="shared" si="22"/>
        <v>83.625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90</v>
      </c>
      <c r="F41" s="20"/>
      <c r="G41" s="20">
        <v>89</v>
      </c>
      <c r="H41" s="20"/>
      <c r="I41" s="20">
        <v>87</v>
      </c>
      <c r="J41" s="20"/>
      <c r="K41" s="20">
        <v>88</v>
      </c>
      <c r="L41" s="21"/>
      <c r="M41" s="19">
        <v>90</v>
      </c>
      <c r="N41" s="20"/>
      <c r="O41" s="20">
        <v>89</v>
      </c>
      <c r="P41" s="20"/>
      <c r="Q41" s="20">
        <v>88</v>
      </c>
      <c r="R41" s="20"/>
      <c r="S41" s="20">
        <v>89</v>
      </c>
      <c r="T41" s="21"/>
      <c r="U41" s="19">
        <v>89</v>
      </c>
      <c r="V41" s="20"/>
      <c r="W41" s="20">
        <v>86</v>
      </c>
      <c r="X41" s="20"/>
      <c r="Y41" s="20">
        <v>87</v>
      </c>
      <c r="Z41" s="20"/>
      <c r="AA41" s="20">
        <v>86</v>
      </c>
      <c r="AB41" s="21"/>
      <c r="AC41" s="19">
        <v>88</v>
      </c>
      <c r="AD41" s="20"/>
      <c r="AE41" s="20">
        <v>88</v>
      </c>
      <c r="AF41" s="20"/>
      <c r="AG41" s="20">
        <v>89</v>
      </c>
      <c r="AH41" s="20"/>
      <c r="AI41" s="20">
        <v>90</v>
      </c>
      <c r="AJ41" s="3"/>
      <c r="AK41" s="45">
        <f t="shared" si="4"/>
        <v>88.5</v>
      </c>
      <c r="AL41" s="46">
        <f t="shared" si="5"/>
        <v>89</v>
      </c>
      <c r="AM41" s="47">
        <f t="shared" si="6"/>
        <v>87</v>
      </c>
      <c r="AN41" s="48">
        <f t="shared" si="7"/>
        <v>88.75</v>
      </c>
      <c r="AO41" s="49">
        <f t="shared" si="8"/>
        <v>88.3125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88.3125</v>
      </c>
      <c r="BC41" s="65" t="str">
        <f t="shared" si="17"/>
        <v/>
      </c>
      <c r="BE41" s="20">
        <f t="shared" si="18"/>
        <v>89.25</v>
      </c>
      <c r="BF41" s="20">
        <f t="shared" si="19"/>
        <v>88</v>
      </c>
      <c r="BG41" s="93">
        <f t="shared" si="20"/>
        <v>87.75</v>
      </c>
      <c r="BH41" s="20">
        <f t="shared" si="21"/>
        <v>88.25</v>
      </c>
      <c r="BI41" s="20">
        <f t="shared" si="22"/>
        <v>88.3125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78</v>
      </c>
      <c r="F42" s="20"/>
      <c r="G42" s="20">
        <v>79</v>
      </c>
      <c r="H42" s="20"/>
      <c r="I42" s="20">
        <v>76</v>
      </c>
      <c r="J42" s="20"/>
      <c r="K42" s="20">
        <v>77</v>
      </c>
      <c r="L42" s="21"/>
      <c r="M42" s="19">
        <v>78</v>
      </c>
      <c r="N42" s="20"/>
      <c r="O42" s="20">
        <v>76</v>
      </c>
      <c r="P42" s="20"/>
      <c r="Q42" s="20">
        <v>75</v>
      </c>
      <c r="R42" s="20"/>
      <c r="S42" s="20">
        <v>74</v>
      </c>
      <c r="T42" s="21"/>
      <c r="U42" s="19">
        <v>71</v>
      </c>
      <c r="V42" s="20"/>
      <c r="W42" s="20">
        <v>78</v>
      </c>
      <c r="X42" s="20"/>
      <c r="Y42" s="20">
        <v>79</v>
      </c>
      <c r="Z42" s="20"/>
      <c r="AA42" s="20">
        <v>76</v>
      </c>
      <c r="AB42" s="21"/>
      <c r="AC42" s="19">
        <v>78</v>
      </c>
      <c r="AD42" s="20"/>
      <c r="AE42" s="20">
        <v>76</v>
      </c>
      <c r="AF42" s="20"/>
      <c r="AG42" s="20">
        <v>75</v>
      </c>
      <c r="AH42" s="20"/>
      <c r="AI42" s="20">
        <v>74</v>
      </c>
      <c r="AJ42" s="3"/>
      <c r="AK42" s="45">
        <f t="shared" si="4"/>
        <v>77.5</v>
      </c>
      <c r="AL42" s="46">
        <f t="shared" si="5"/>
        <v>75.75</v>
      </c>
      <c r="AM42" s="47">
        <f t="shared" si="6"/>
        <v>76</v>
      </c>
      <c r="AN42" s="48">
        <f t="shared" si="7"/>
        <v>75.75</v>
      </c>
      <c r="AO42" s="49">
        <f t="shared" si="8"/>
        <v>76.25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76.25</v>
      </c>
      <c r="BC42" s="65" t="str">
        <f t="shared" si="17"/>
        <v/>
      </c>
      <c r="BE42" s="20">
        <f t="shared" si="18"/>
        <v>76.25</v>
      </c>
      <c r="BF42" s="20">
        <f t="shared" si="19"/>
        <v>77.25</v>
      </c>
      <c r="BG42" s="93">
        <f t="shared" si="20"/>
        <v>76.25</v>
      </c>
      <c r="BH42" s="20">
        <f t="shared" si="21"/>
        <v>75.25</v>
      </c>
      <c r="BI42" s="20">
        <f t="shared" si="22"/>
        <v>76.25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49" priority="12" operator="lessThan">
      <formula>70</formula>
    </cfRule>
  </conditionalFormatting>
  <conditionalFormatting sqref="G4:L33">
    <cfRule type="cellIs" dxfId="48" priority="15" operator="lessThan">
      <formula>70</formula>
    </cfRule>
  </conditionalFormatting>
  <conditionalFormatting sqref="G38:L39">
    <cfRule type="cellIs" dxfId="47" priority="8" operator="lessThan">
      <formula>70</formula>
    </cfRule>
  </conditionalFormatting>
  <conditionalFormatting sqref="G42:L42">
    <cfRule type="cellIs" dxfId="46" priority="4" operator="lessThan">
      <formula>70</formula>
    </cfRule>
  </conditionalFormatting>
  <conditionalFormatting sqref="O38:T39">
    <cfRule type="cellIs" dxfId="45" priority="7" operator="lessThan">
      <formula>70</formula>
    </cfRule>
  </conditionalFormatting>
  <conditionalFormatting sqref="O42:T42">
    <cfRule type="cellIs" dxfId="44" priority="3" operator="lessThan">
      <formula>70</formula>
    </cfRule>
  </conditionalFormatting>
  <conditionalFormatting sqref="O7:T33 O4:AB6">
    <cfRule type="cellIs" dxfId="43" priority="14" operator="lessThan">
      <formula>70</formula>
    </cfRule>
  </conditionalFormatting>
  <conditionalFormatting sqref="W7:AB33">
    <cfRule type="cellIs" dxfId="42" priority="10" operator="lessThan">
      <formula>70</formula>
    </cfRule>
  </conditionalFormatting>
  <conditionalFormatting sqref="W38:AB39">
    <cfRule type="cellIs" dxfId="41" priority="6" operator="lessThan">
      <formula>70</formula>
    </cfRule>
  </conditionalFormatting>
  <conditionalFormatting sqref="W42:AB42">
    <cfRule type="cellIs" dxfId="40" priority="2" operator="lessThan">
      <formula>70</formula>
    </cfRule>
  </conditionalFormatting>
  <conditionalFormatting sqref="AE38:AI39">
    <cfRule type="cellIs" dxfId="39" priority="5" operator="lessThan">
      <formula>70</formula>
    </cfRule>
  </conditionalFormatting>
  <conditionalFormatting sqref="AE42:AI42">
    <cfRule type="cellIs" dxfId="38" priority="1" operator="lessThan">
      <formula>70</formula>
    </cfRule>
  </conditionalFormatting>
  <conditionalFormatting sqref="AE4:AJ33">
    <cfRule type="cellIs" dxfId="37" priority="9" operator="lessThan">
      <formula>70</formula>
    </cfRule>
  </conditionalFormatting>
  <conditionalFormatting sqref="AK3:AP47 E4:F33 U7:V33 E34:AJ37 E38:F39 M38:N39 U38:V39 AC38:AD39 AJ38:AJ42 E40:AI41 E42:F42 M42:N42 U42:V42 AC42:AD42 E43:AJ47 M4:N33 AC4:AD33">
    <cfRule type="cellIs" dxfId="36" priority="18" operator="lessThan">
      <formula>70</formula>
    </cfRule>
  </conditionalFormatting>
  <conditionalFormatting sqref="AR3:AR47">
    <cfRule type="cellIs" dxfId="35" priority="16" operator="lessThan">
      <formula>70</formula>
    </cfRule>
  </conditionalFormatting>
  <conditionalFormatting sqref="AR3:AY47">
    <cfRule type="cellIs" dxfId="34" priority="17" operator="lessThan">
      <formula>70</formula>
    </cfRule>
  </conditionalFormatting>
  <conditionalFormatting sqref="AZ3:AZ47">
    <cfRule type="cellIs" dxfId="33" priority="1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DF01-20BF-4763-BB9F-8DEA9820AE39}">
  <dimension ref="A1:BI47"/>
  <sheetViews>
    <sheetView topLeftCell="B1" zoomScale="85" zoomScaleNormal="85" workbookViewId="0">
      <selection activeCell="AA16" sqref="AA1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88">
        <v>0</v>
      </c>
      <c r="F3" s="89"/>
      <c r="G3" s="89">
        <v>0</v>
      </c>
      <c r="H3" s="89"/>
      <c r="I3" s="89">
        <v>0</v>
      </c>
      <c r="J3" s="89"/>
      <c r="K3" s="89">
        <v>0</v>
      </c>
      <c r="L3" s="90"/>
      <c r="M3" s="88">
        <v>0</v>
      </c>
      <c r="N3" s="89"/>
      <c r="O3" s="89">
        <v>0</v>
      </c>
      <c r="P3" s="89"/>
      <c r="Q3" s="89">
        <v>0</v>
      </c>
      <c r="R3" s="89"/>
      <c r="S3" s="89">
        <v>0</v>
      </c>
      <c r="T3" s="90"/>
      <c r="U3" s="88">
        <v>0</v>
      </c>
      <c r="V3" s="89"/>
      <c r="W3" s="89">
        <v>0</v>
      </c>
      <c r="X3" s="89"/>
      <c r="Y3" s="89">
        <v>0</v>
      </c>
      <c r="Z3" s="89"/>
      <c r="AA3" s="89">
        <v>0</v>
      </c>
      <c r="AB3" s="90"/>
      <c r="AC3" s="88">
        <v>0</v>
      </c>
      <c r="AD3" s="89"/>
      <c r="AE3" s="89">
        <v>0</v>
      </c>
      <c r="AF3" s="89"/>
      <c r="AG3" s="89">
        <v>0</v>
      </c>
      <c r="AH3" s="89"/>
      <c r="AI3" s="89">
        <v>0</v>
      </c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88">
        <v>95</v>
      </c>
      <c r="F4" s="89"/>
      <c r="G4" s="89">
        <v>95</v>
      </c>
      <c r="H4" s="89"/>
      <c r="I4" s="89">
        <v>95</v>
      </c>
      <c r="J4" s="89"/>
      <c r="K4" s="89">
        <v>90</v>
      </c>
      <c r="L4" s="90"/>
      <c r="M4" s="88">
        <v>93</v>
      </c>
      <c r="N4" s="89"/>
      <c r="O4" s="89">
        <v>90</v>
      </c>
      <c r="P4" s="89"/>
      <c r="Q4" s="89">
        <v>94</v>
      </c>
      <c r="R4" s="89"/>
      <c r="S4" s="89">
        <v>95</v>
      </c>
      <c r="T4" s="90"/>
      <c r="U4" s="88">
        <v>95</v>
      </c>
      <c r="V4" s="89"/>
      <c r="W4" s="89">
        <v>92</v>
      </c>
      <c r="X4" s="89"/>
      <c r="Y4" s="89">
        <v>94</v>
      </c>
      <c r="Z4" s="89"/>
      <c r="AA4" s="89">
        <v>95</v>
      </c>
      <c r="AB4" s="90"/>
      <c r="AC4" s="88">
        <v>95</v>
      </c>
      <c r="AD4" s="89"/>
      <c r="AE4" s="89">
        <v>97</v>
      </c>
      <c r="AF4" s="89"/>
      <c r="AG4" s="89">
        <v>90</v>
      </c>
      <c r="AH4" s="89"/>
      <c r="AI4" s="89">
        <v>90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93.75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93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94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93</v>
      </c>
      <c r="AO4" s="49">
        <f t="shared" ref="AO4:AO47" si="8">AVERAGE(AK4:AN4)</f>
        <v>93.4375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93.4375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94.5</v>
      </c>
      <c r="BF4" s="20">
        <f t="shared" si="1"/>
        <v>93.5</v>
      </c>
      <c r="BG4" s="93">
        <f t="shared" si="2"/>
        <v>93.25</v>
      </c>
      <c r="BH4" s="20">
        <f t="shared" si="3"/>
        <v>92.5</v>
      </c>
      <c r="BI4" s="20">
        <f>AVERAGE(BE4:BH4)</f>
        <v>93.4375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88">
        <v>100</v>
      </c>
      <c r="F5" s="89"/>
      <c r="G5" s="89">
        <v>95</v>
      </c>
      <c r="H5" s="89"/>
      <c r="I5" s="89">
        <v>95</v>
      </c>
      <c r="J5" s="89"/>
      <c r="K5" s="89">
        <v>90</v>
      </c>
      <c r="L5" s="90"/>
      <c r="M5" s="88">
        <v>93</v>
      </c>
      <c r="N5" s="89"/>
      <c r="O5" s="89">
        <v>90</v>
      </c>
      <c r="P5" s="89"/>
      <c r="Q5" s="89">
        <v>94</v>
      </c>
      <c r="R5" s="89"/>
      <c r="S5" s="89">
        <v>95</v>
      </c>
      <c r="T5" s="90"/>
      <c r="U5" s="88">
        <v>95</v>
      </c>
      <c r="V5" s="89"/>
      <c r="W5" s="89">
        <v>92</v>
      </c>
      <c r="X5" s="89"/>
      <c r="Y5" s="89">
        <v>94</v>
      </c>
      <c r="Z5" s="89"/>
      <c r="AA5" s="89">
        <v>95</v>
      </c>
      <c r="AB5" s="90"/>
      <c r="AC5" s="88">
        <v>95</v>
      </c>
      <c r="AD5" s="89"/>
      <c r="AE5" s="89">
        <v>97</v>
      </c>
      <c r="AF5" s="89"/>
      <c r="AG5" s="89">
        <v>90</v>
      </c>
      <c r="AH5" s="89"/>
      <c r="AI5" s="89">
        <v>90</v>
      </c>
      <c r="AJ5" s="3"/>
      <c r="AK5" s="45">
        <f t="shared" si="4"/>
        <v>95</v>
      </c>
      <c r="AL5" s="46">
        <f t="shared" si="5"/>
        <v>93</v>
      </c>
      <c r="AM5" s="47">
        <f t="shared" si="6"/>
        <v>94</v>
      </c>
      <c r="AN5" s="48">
        <f t="shared" si="7"/>
        <v>93</v>
      </c>
      <c r="AO5" s="49">
        <f t="shared" si="8"/>
        <v>93.75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93.75</v>
      </c>
      <c r="BC5" s="65" t="str">
        <f t="shared" si="17"/>
        <v/>
      </c>
      <c r="BE5" s="20">
        <f>SUM(E5+M5+U5+AC5)/4</f>
        <v>95.75</v>
      </c>
      <c r="BF5" s="20">
        <f>SUM(G5+O5+W5+AE5)/4</f>
        <v>93.5</v>
      </c>
      <c r="BG5" s="93">
        <f>SUM(I5+Q5+Y5+AG5)/4</f>
        <v>93.25</v>
      </c>
      <c r="BH5" s="20">
        <f>SUM(K5+S5+AA5+AI5)/4</f>
        <v>92.5</v>
      </c>
      <c r="BI5" s="20">
        <f>AVERAGE(BE5:BH5)</f>
        <v>93.75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88">
        <v>93</v>
      </c>
      <c r="F6" s="89"/>
      <c r="G6" s="89">
        <v>80</v>
      </c>
      <c r="H6" s="89"/>
      <c r="I6" s="89">
        <v>85</v>
      </c>
      <c r="J6" s="89"/>
      <c r="K6" s="89">
        <v>80</v>
      </c>
      <c r="L6" s="90"/>
      <c r="M6" s="88">
        <v>85</v>
      </c>
      <c r="N6" s="89"/>
      <c r="O6" s="89">
        <v>98</v>
      </c>
      <c r="P6" s="89"/>
      <c r="Q6" s="89">
        <v>80</v>
      </c>
      <c r="R6" s="89"/>
      <c r="S6" s="89">
        <v>70</v>
      </c>
      <c r="T6" s="90"/>
      <c r="U6" s="88">
        <v>85</v>
      </c>
      <c r="V6" s="89"/>
      <c r="W6" s="89">
        <v>82</v>
      </c>
      <c r="X6" s="89"/>
      <c r="Y6" s="89">
        <v>80</v>
      </c>
      <c r="Z6" s="89"/>
      <c r="AA6" s="89">
        <v>70</v>
      </c>
      <c r="AB6" s="90"/>
      <c r="AC6" s="88">
        <v>95</v>
      </c>
      <c r="AD6" s="89"/>
      <c r="AE6" s="89">
        <v>72</v>
      </c>
      <c r="AF6" s="89"/>
      <c r="AG6" s="89">
        <v>75</v>
      </c>
      <c r="AH6" s="89"/>
      <c r="AI6" s="89">
        <v>78</v>
      </c>
      <c r="AJ6" s="3"/>
      <c r="AK6" s="45">
        <f t="shared" si="4"/>
        <v>84.5</v>
      </c>
      <c r="AL6" s="46">
        <f t="shared" si="5"/>
        <v>83.25</v>
      </c>
      <c r="AM6" s="47">
        <f t="shared" si="6"/>
        <v>79.25</v>
      </c>
      <c r="AN6" s="48">
        <f t="shared" si="7"/>
        <v>80</v>
      </c>
      <c r="AO6" s="49">
        <f t="shared" si="8"/>
        <v>81.75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81.75</v>
      </c>
      <c r="BC6" s="65" t="str">
        <f t="shared" si="17"/>
        <v/>
      </c>
      <c r="BE6" s="20">
        <f t="shared" ref="BE6:BE47" si="18">SUM(E6+M6+U6+AC6)/4</f>
        <v>89.5</v>
      </c>
      <c r="BF6" s="20">
        <f t="shared" ref="BF6:BF47" si="19">SUM(G6+O6+W6+AE6)/4</f>
        <v>83</v>
      </c>
      <c r="BG6" s="93">
        <f t="shared" ref="BG6:BG47" si="20">SUM(I6+Q6+Y6+AG6)/4</f>
        <v>80</v>
      </c>
      <c r="BH6" s="20">
        <f t="shared" ref="BH6:BH47" si="21">SUM(K6+S6+AA6+AI6)/4</f>
        <v>74.5</v>
      </c>
      <c r="BI6" s="20">
        <f t="shared" ref="BI6:BI47" si="22">AVERAGE(BE6:BH6)</f>
        <v>81.75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88">
        <v>98</v>
      </c>
      <c r="F7" s="89"/>
      <c r="G7" s="89">
        <v>100</v>
      </c>
      <c r="H7" s="89"/>
      <c r="I7" s="89">
        <v>90</v>
      </c>
      <c r="J7" s="89"/>
      <c r="K7" s="89">
        <v>90</v>
      </c>
      <c r="L7" s="90"/>
      <c r="M7" s="88">
        <v>95</v>
      </c>
      <c r="N7" s="89"/>
      <c r="O7" s="89">
        <v>95</v>
      </c>
      <c r="P7" s="89"/>
      <c r="Q7" s="89">
        <v>92</v>
      </c>
      <c r="R7" s="89"/>
      <c r="S7" s="89">
        <v>80</v>
      </c>
      <c r="T7" s="90"/>
      <c r="U7" s="88">
        <v>100</v>
      </c>
      <c r="V7" s="89"/>
      <c r="W7" s="89">
        <v>98</v>
      </c>
      <c r="X7" s="89"/>
      <c r="Y7" s="89">
        <v>93</v>
      </c>
      <c r="Z7" s="89"/>
      <c r="AA7" s="89">
        <v>85</v>
      </c>
      <c r="AB7" s="90"/>
      <c r="AC7" s="88">
        <v>100</v>
      </c>
      <c r="AD7" s="89"/>
      <c r="AE7" s="89">
        <v>98</v>
      </c>
      <c r="AF7" s="89"/>
      <c r="AG7" s="89">
        <v>95</v>
      </c>
      <c r="AH7" s="89"/>
      <c r="AI7" s="89">
        <v>90</v>
      </c>
      <c r="AJ7" s="3"/>
      <c r="AK7" s="45">
        <f t="shared" si="4"/>
        <v>94.5</v>
      </c>
      <c r="AL7" s="46">
        <f t="shared" si="5"/>
        <v>90.5</v>
      </c>
      <c r="AM7" s="47">
        <f t="shared" si="6"/>
        <v>94</v>
      </c>
      <c r="AN7" s="48">
        <f t="shared" si="7"/>
        <v>95.75</v>
      </c>
      <c r="AO7" s="49">
        <f t="shared" si="8"/>
        <v>93.6875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93.6875</v>
      </c>
      <c r="BC7" s="65" t="str">
        <f t="shared" si="17"/>
        <v/>
      </c>
      <c r="BE7" s="20">
        <f t="shared" si="18"/>
        <v>98.25</v>
      </c>
      <c r="BF7" s="20">
        <f t="shared" si="19"/>
        <v>97.75</v>
      </c>
      <c r="BG7" s="93">
        <f t="shared" si="20"/>
        <v>92.5</v>
      </c>
      <c r="BH7" s="20">
        <f t="shared" si="21"/>
        <v>86.25</v>
      </c>
      <c r="BI7" s="20">
        <f t="shared" si="22"/>
        <v>93.6875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88">
        <v>80</v>
      </c>
      <c r="F8" s="89"/>
      <c r="G8" s="89">
        <v>85</v>
      </c>
      <c r="H8" s="89"/>
      <c r="I8" s="89">
        <v>78</v>
      </c>
      <c r="J8" s="89"/>
      <c r="K8" s="89">
        <v>85</v>
      </c>
      <c r="L8" s="90"/>
      <c r="M8" s="88">
        <v>82</v>
      </c>
      <c r="N8" s="89"/>
      <c r="O8" s="89">
        <v>84</v>
      </c>
      <c r="P8" s="89"/>
      <c r="Q8" s="89">
        <v>75</v>
      </c>
      <c r="R8" s="89"/>
      <c r="S8" s="89">
        <v>78</v>
      </c>
      <c r="T8" s="90"/>
      <c r="U8" s="88">
        <v>75</v>
      </c>
      <c r="V8" s="89"/>
      <c r="W8" s="89">
        <v>80</v>
      </c>
      <c r="X8" s="89"/>
      <c r="Y8" s="89">
        <v>78</v>
      </c>
      <c r="Z8" s="89"/>
      <c r="AA8" s="89">
        <v>82</v>
      </c>
      <c r="AB8" s="90"/>
      <c r="AC8" s="88">
        <v>85</v>
      </c>
      <c r="AD8" s="89"/>
      <c r="AE8" s="89">
        <v>83</v>
      </c>
      <c r="AF8" s="89"/>
      <c r="AG8" s="89">
        <v>80</v>
      </c>
      <c r="AH8" s="89"/>
      <c r="AI8" s="89">
        <v>81</v>
      </c>
      <c r="AJ8" s="3"/>
      <c r="AK8" s="45">
        <f t="shared" si="4"/>
        <v>82</v>
      </c>
      <c r="AL8" s="46">
        <f t="shared" si="5"/>
        <v>79.75</v>
      </c>
      <c r="AM8" s="47">
        <f t="shared" si="6"/>
        <v>78.75</v>
      </c>
      <c r="AN8" s="48">
        <f t="shared" si="7"/>
        <v>82.25</v>
      </c>
      <c r="AO8" s="49">
        <f t="shared" si="8"/>
        <v>80.6875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80.6875</v>
      </c>
      <c r="BC8" s="65" t="str">
        <f t="shared" si="17"/>
        <v/>
      </c>
      <c r="BE8" s="20">
        <f t="shared" si="18"/>
        <v>80.5</v>
      </c>
      <c r="BF8" s="20">
        <f t="shared" si="19"/>
        <v>83</v>
      </c>
      <c r="BG8" s="93">
        <f t="shared" si="20"/>
        <v>77.75</v>
      </c>
      <c r="BH8" s="20">
        <f t="shared" si="21"/>
        <v>81.5</v>
      </c>
      <c r="BI8" s="20">
        <f t="shared" si="22"/>
        <v>80.6875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88">
        <v>93</v>
      </c>
      <c r="F9" s="89"/>
      <c r="G9" s="89">
        <v>100</v>
      </c>
      <c r="H9" s="89"/>
      <c r="I9" s="89">
        <v>98</v>
      </c>
      <c r="J9" s="89"/>
      <c r="K9" s="89">
        <v>90</v>
      </c>
      <c r="L9" s="90"/>
      <c r="M9" s="88">
        <v>95</v>
      </c>
      <c r="N9" s="89"/>
      <c r="O9" s="89">
        <v>98</v>
      </c>
      <c r="P9" s="89"/>
      <c r="Q9" s="89">
        <v>100</v>
      </c>
      <c r="R9" s="89"/>
      <c r="S9" s="89">
        <v>98</v>
      </c>
      <c r="T9" s="90"/>
      <c r="U9" s="88">
        <v>98</v>
      </c>
      <c r="V9" s="89"/>
      <c r="W9" s="89">
        <v>98</v>
      </c>
      <c r="X9" s="89"/>
      <c r="Y9" s="89">
        <v>95</v>
      </c>
      <c r="Z9" s="89"/>
      <c r="AA9" s="89">
        <v>100</v>
      </c>
      <c r="AB9" s="90"/>
      <c r="AC9" s="91">
        <v>100</v>
      </c>
      <c r="AD9" s="89"/>
      <c r="AE9" s="89">
        <v>100</v>
      </c>
      <c r="AF9" s="89"/>
      <c r="AG9" s="89">
        <v>98</v>
      </c>
      <c r="AH9" s="89"/>
      <c r="AI9" s="89">
        <v>95</v>
      </c>
      <c r="AJ9" s="3"/>
      <c r="AK9" s="45">
        <f t="shared" si="4"/>
        <v>95.25</v>
      </c>
      <c r="AL9" s="46">
        <f t="shared" si="5"/>
        <v>97.75</v>
      </c>
      <c r="AM9" s="47">
        <f t="shared" si="6"/>
        <v>97.75</v>
      </c>
      <c r="AN9" s="48">
        <f t="shared" si="7"/>
        <v>98.25</v>
      </c>
      <c r="AO9" s="49">
        <f t="shared" si="8"/>
        <v>97.25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97.25</v>
      </c>
      <c r="BC9" s="65" t="str">
        <f t="shared" si="17"/>
        <v/>
      </c>
      <c r="BE9" s="20">
        <f t="shared" si="18"/>
        <v>96.5</v>
      </c>
      <c r="BF9" s="20">
        <f t="shared" si="19"/>
        <v>99</v>
      </c>
      <c r="BG9" s="93">
        <f t="shared" si="20"/>
        <v>97.75</v>
      </c>
      <c r="BH9" s="20">
        <f t="shared" si="21"/>
        <v>95.75</v>
      </c>
      <c r="BI9" s="20">
        <f t="shared" si="22"/>
        <v>97.25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88">
        <v>80</v>
      </c>
      <c r="F10" s="89"/>
      <c r="G10" s="89">
        <v>85</v>
      </c>
      <c r="H10" s="89"/>
      <c r="I10" s="89">
        <v>75</v>
      </c>
      <c r="J10" s="89"/>
      <c r="K10" s="89">
        <v>75</v>
      </c>
      <c r="L10" s="90"/>
      <c r="M10" s="88">
        <v>82</v>
      </c>
      <c r="N10" s="89"/>
      <c r="O10" s="89">
        <v>80</v>
      </c>
      <c r="P10" s="89"/>
      <c r="Q10" s="89">
        <v>72</v>
      </c>
      <c r="R10" s="89"/>
      <c r="S10" s="89">
        <v>75</v>
      </c>
      <c r="T10" s="90"/>
      <c r="U10" s="88">
        <v>80</v>
      </c>
      <c r="V10" s="89"/>
      <c r="W10" s="89">
        <v>87</v>
      </c>
      <c r="X10" s="89"/>
      <c r="Y10" s="89">
        <v>73</v>
      </c>
      <c r="Z10" s="89"/>
      <c r="AA10" s="89">
        <v>72</v>
      </c>
      <c r="AB10" s="90"/>
      <c r="AC10" s="88">
        <v>80</v>
      </c>
      <c r="AD10" s="89"/>
      <c r="AE10" s="89">
        <v>82</v>
      </c>
      <c r="AF10" s="89"/>
      <c r="AG10" s="89">
        <v>70</v>
      </c>
      <c r="AH10" s="89"/>
      <c r="AI10" s="89">
        <v>73</v>
      </c>
      <c r="AJ10" s="3"/>
      <c r="AK10" s="45">
        <f t="shared" si="4"/>
        <v>78.75</v>
      </c>
      <c r="AL10" s="46">
        <f t="shared" si="5"/>
        <v>77.25</v>
      </c>
      <c r="AM10" s="47">
        <f t="shared" si="6"/>
        <v>78</v>
      </c>
      <c r="AN10" s="48">
        <f t="shared" si="7"/>
        <v>76.25</v>
      </c>
      <c r="AO10" s="49">
        <f t="shared" si="8"/>
        <v>77.5625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77.5625</v>
      </c>
      <c r="BC10" s="65" t="str">
        <f t="shared" si="17"/>
        <v/>
      </c>
      <c r="BE10" s="20">
        <f t="shared" si="18"/>
        <v>80.5</v>
      </c>
      <c r="BF10" s="20">
        <f t="shared" si="19"/>
        <v>83.5</v>
      </c>
      <c r="BG10" s="93">
        <f t="shared" si="20"/>
        <v>72.5</v>
      </c>
      <c r="BH10" s="20">
        <f t="shared" si="21"/>
        <v>73.75</v>
      </c>
      <c r="BI10" s="20">
        <f t="shared" si="22"/>
        <v>77.5625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88">
        <v>80</v>
      </c>
      <c r="F11" s="89"/>
      <c r="G11" s="89">
        <v>70</v>
      </c>
      <c r="H11" s="89"/>
      <c r="I11" s="89">
        <v>85</v>
      </c>
      <c r="J11" s="89"/>
      <c r="K11" s="89">
        <v>89</v>
      </c>
      <c r="L11" s="90"/>
      <c r="M11" s="88">
        <v>85</v>
      </c>
      <c r="N11" s="89"/>
      <c r="O11" s="89">
        <v>90</v>
      </c>
      <c r="P11" s="89"/>
      <c r="Q11" s="89">
        <v>80</v>
      </c>
      <c r="R11" s="89"/>
      <c r="S11" s="89">
        <v>90</v>
      </c>
      <c r="T11" s="90"/>
      <c r="U11" s="88">
        <v>80</v>
      </c>
      <c r="V11" s="89"/>
      <c r="W11" s="89">
        <v>82</v>
      </c>
      <c r="X11" s="89"/>
      <c r="Y11" s="89">
        <v>80</v>
      </c>
      <c r="Z11" s="89"/>
      <c r="AA11" s="89">
        <v>90</v>
      </c>
      <c r="AB11" s="90"/>
      <c r="AC11" s="88">
        <v>90</v>
      </c>
      <c r="AD11" s="89"/>
      <c r="AE11" s="89">
        <v>79</v>
      </c>
      <c r="AF11" s="89"/>
      <c r="AG11" s="89">
        <v>75</v>
      </c>
      <c r="AH11" s="89"/>
      <c r="AI11" s="89">
        <v>90</v>
      </c>
      <c r="AJ11" s="3"/>
      <c r="AK11" s="45">
        <f t="shared" si="4"/>
        <v>81</v>
      </c>
      <c r="AL11" s="46">
        <f t="shared" si="5"/>
        <v>86.25</v>
      </c>
      <c r="AM11" s="47">
        <f t="shared" si="6"/>
        <v>83</v>
      </c>
      <c r="AN11" s="48">
        <f t="shared" si="7"/>
        <v>83.5</v>
      </c>
      <c r="AO11" s="49">
        <f t="shared" si="8"/>
        <v>83.4375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83.4375</v>
      </c>
      <c r="BC11" s="65" t="str">
        <f t="shared" si="17"/>
        <v/>
      </c>
      <c r="BE11" s="20">
        <f t="shared" si="18"/>
        <v>83.75</v>
      </c>
      <c r="BF11" s="20">
        <f t="shared" si="19"/>
        <v>80.25</v>
      </c>
      <c r="BG11" s="93">
        <f t="shared" si="20"/>
        <v>80</v>
      </c>
      <c r="BH11" s="20">
        <f t="shared" si="21"/>
        <v>89.75</v>
      </c>
      <c r="BI11" s="20">
        <f t="shared" si="22"/>
        <v>83.4375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88">
        <v>0</v>
      </c>
      <c r="F12" s="89"/>
      <c r="G12" s="89">
        <v>0</v>
      </c>
      <c r="H12" s="89"/>
      <c r="I12" s="89">
        <v>0</v>
      </c>
      <c r="J12" s="89"/>
      <c r="K12" s="89">
        <v>0</v>
      </c>
      <c r="L12" s="90"/>
      <c r="M12" s="88">
        <v>0</v>
      </c>
      <c r="N12" s="89"/>
      <c r="O12" s="89">
        <v>0</v>
      </c>
      <c r="P12" s="89"/>
      <c r="Q12" s="89">
        <v>0</v>
      </c>
      <c r="R12" s="89"/>
      <c r="S12" s="89">
        <v>0</v>
      </c>
      <c r="T12" s="90"/>
      <c r="U12" s="88">
        <v>0</v>
      </c>
      <c r="V12" s="89"/>
      <c r="W12" s="89">
        <v>0</v>
      </c>
      <c r="X12" s="89"/>
      <c r="Y12" s="89">
        <v>0</v>
      </c>
      <c r="Z12" s="89"/>
      <c r="AA12" s="89">
        <v>0</v>
      </c>
      <c r="AB12" s="90"/>
      <c r="AC12" s="88">
        <v>0</v>
      </c>
      <c r="AD12" s="89"/>
      <c r="AE12" s="89">
        <v>0</v>
      </c>
      <c r="AF12" s="89"/>
      <c r="AG12" s="89">
        <v>0</v>
      </c>
      <c r="AH12" s="89"/>
      <c r="AI12" s="89">
        <v>0</v>
      </c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88">
        <v>70</v>
      </c>
      <c r="F13" s="89"/>
      <c r="G13" s="89">
        <v>71</v>
      </c>
      <c r="H13" s="89"/>
      <c r="I13" s="89">
        <v>70</v>
      </c>
      <c r="J13" s="89"/>
      <c r="K13" s="89">
        <v>75</v>
      </c>
      <c r="L13" s="90"/>
      <c r="M13" s="88">
        <v>70</v>
      </c>
      <c r="N13" s="89"/>
      <c r="O13" s="89">
        <v>70</v>
      </c>
      <c r="P13" s="89"/>
      <c r="Q13" s="89">
        <v>70</v>
      </c>
      <c r="R13" s="89"/>
      <c r="S13" s="89">
        <v>70</v>
      </c>
      <c r="T13" s="90"/>
      <c r="U13" s="88">
        <v>70</v>
      </c>
      <c r="V13" s="89"/>
      <c r="W13" s="89">
        <v>70</v>
      </c>
      <c r="X13" s="89"/>
      <c r="Y13" s="89">
        <v>70</v>
      </c>
      <c r="Z13" s="89"/>
      <c r="AA13" s="89">
        <v>70</v>
      </c>
      <c r="AB13" s="90"/>
      <c r="AC13" s="88">
        <v>72</v>
      </c>
      <c r="AD13" s="89"/>
      <c r="AE13" s="89">
        <v>71</v>
      </c>
      <c r="AF13" s="89"/>
      <c r="AG13" s="89">
        <v>70</v>
      </c>
      <c r="AH13" s="89"/>
      <c r="AI13" s="89">
        <v>70</v>
      </c>
      <c r="AJ13" s="3"/>
      <c r="AK13" s="45">
        <f t="shared" si="4"/>
        <v>71.5</v>
      </c>
      <c r="AL13" s="46">
        <f t="shared" si="5"/>
        <v>70</v>
      </c>
      <c r="AM13" s="47">
        <f t="shared" si="6"/>
        <v>70</v>
      </c>
      <c r="AN13" s="48">
        <f t="shared" si="7"/>
        <v>70.75</v>
      </c>
      <c r="AO13" s="49">
        <f t="shared" si="8"/>
        <v>70.5625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70.5625</v>
      </c>
      <c r="BC13" s="65" t="str">
        <f t="shared" si="17"/>
        <v/>
      </c>
      <c r="BE13" s="20">
        <f t="shared" si="18"/>
        <v>70.5</v>
      </c>
      <c r="BF13" s="20">
        <f t="shared" si="19"/>
        <v>70.5</v>
      </c>
      <c r="BG13" s="93">
        <f t="shared" si="20"/>
        <v>70</v>
      </c>
      <c r="BH13" s="20">
        <f t="shared" si="21"/>
        <v>71.25</v>
      </c>
      <c r="BI13" s="20">
        <f t="shared" si="22"/>
        <v>70.5625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88">
        <v>93</v>
      </c>
      <c r="F14" s="89"/>
      <c r="G14" s="89">
        <v>95</v>
      </c>
      <c r="H14" s="89"/>
      <c r="I14" s="89">
        <v>90</v>
      </c>
      <c r="J14" s="89"/>
      <c r="K14" s="89">
        <v>90</v>
      </c>
      <c r="L14" s="90"/>
      <c r="M14" s="88">
        <v>95</v>
      </c>
      <c r="N14" s="89"/>
      <c r="O14" s="89">
        <v>90</v>
      </c>
      <c r="P14" s="89"/>
      <c r="Q14" s="89">
        <v>92</v>
      </c>
      <c r="R14" s="89"/>
      <c r="S14" s="89">
        <v>90</v>
      </c>
      <c r="T14" s="90"/>
      <c r="U14" s="88">
        <v>93</v>
      </c>
      <c r="V14" s="89"/>
      <c r="W14" s="89">
        <v>90</v>
      </c>
      <c r="X14" s="89"/>
      <c r="Y14" s="89">
        <v>95</v>
      </c>
      <c r="Z14" s="89"/>
      <c r="AA14" s="89">
        <v>92</v>
      </c>
      <c r="AB14" s="90"/>
      <c r="AC14" s="88">
        <v>95</v>
      </c>
      <c r="AD14" s="89"/>
      <c r="AE14" s="89">
        <v>95</v>
      </c>
      <c r="AF14" s="89"/>
      <c r="AG14" s="89">
        <v>90</v>
      </c>
      <c r="AH14" s="89"/>
      <c r="AI14" s="89">
        <v>93</v>
      </c>
      <c r="AJ14" s="3"/>
      <c r="AK14" s="45">
        <f t="shared" si="4"/>
        <v>92</v>
      </c>
      <c r="AL14" s="46">
        <f t="shared" si="5"/>
        <v>91.75</v>
      </c>
      <c r="AM14" s="47">
        <f t="shared" si="6"/>
        <v>92.5</v>
      </c>
      <c r="AN14" s="48">
        <f t="shared" si="7"/>
        <v>93.25</v>
      </c>
      <c r="AO14" s="49">
        <f t="shared" si="8"/>
        <v>92.375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92.375</v>
      </c>
      <c r="BC14" s="65" t="str">
        <f t="shared" si="17"/>
        <v/>
      </c>
      <c r="BE14" s="20">
        <f t="shared" si="18"/>
        <v>94</v>
      </c>
      <c r="BF14" s="20">
        <f t="shared" si="19"/>
        <v>92.5</v>
      </c>
      <c r="BG14" s="93">
        <f t="shared" si="20"/>
        <v>91.75</v>
      </c>
      <c r="BH14" s="20">
        <f t="shared" si="21"/>
        <v>91.25</v>
      </c>
      <c r="BI14" s="20">
        <f t="shared" si="22"/>
        <v>92.375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88">
        <v>75</v>
      </c>
      <c r="F15" s="89"/>
      <c r="G15" s="89">
        <v>80</v>
      </c>
      <c r="H15" s="89"/>
      <c r="I15" s="89">
        <v>85</v>
      </c>
      <c r="J15" s="89"/>
      <c r="K15" s="89">
        <v>82</v>
      </c>
      <c r="L15" s="90"/>
      <c r="M15" s="88">
        <v>78</v>
      </c>
      <c r="N15" s="89"/>
      <c r="O15" s="89">
        <v>82</v>
      </c>
      <c r="P15" s="89"/>
      <c r="Q15" s="89">
        <v>81</v>
      </c>
      <c r="R15" s="89"/>
      <c r="S15" s="89">
        <v>79</v>
      </c>
      <c r="T15" s="90"/>
      <c r="U15" s="88">
        <v>80</v>
      </c>
      <c r="V15" s="89"/>
      <c r="W15" s="89">
        <v>82</v>
      </c>
      <c r="X15" s="89"/>
      <c r="Y15" s="89">
        <v>80</v>
      </c>
      <c r="Z15" s="89"/>
      <c r="AA15" s="89">
        <v>82</v>
      </c>
      <c r="AB15" s="90"/>
      <c r="AC15" s="88">
        <v>84</v>
      </c>
      <c r="AD15" s="89"/>
      <c r="AE15" s="89">
        <v>80</v>
      </c>
      <c r="AF15" s="89"/>
      <c r="AG15" s="89">
        <v>80</v>
      </c>
      <c r="AH15" s="89"/>
      <c r="AI15" s="89">
        <v>80</v>
      </c>
      <c r="AJ15" s="3"/>
      <c r="AK15" s="45">
        <f t="shared" si="4"/>
        <v>80.5</v>
      </c>
      <c r="AL15" s="46">
        <f t="shared" si="5"/>
        <v>80</v>
      </c>
      <c r="AM15" s="47">
        <f t="shared" si="6"/>
        <v>81</v>
      </c>
      <c r="AN15" s="48">
        <f t="shared" si="7"/>
        <v>81</v>
      </c>
      <c r="AO15" s="49">
        <f t="shared" si="8"/>
        <v>80.625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80.625</v>
      </c>
      <c r="BC15" s="65" t="str">
        <f t="shared" si="17"/>
        <v/>
      </c>
      <c r="BE15" s="20">
        <f t="shared" si="18"/>
        <v>79.25</v>
      </c>
      <c r="BF15" s="20">
        <f t="shared" si="19"/>
        <v>81</v>
      </c>
      <c r="BG15" s="93">
        <f t="shared" si="20"/>
        <v>81.5</v>
      </c>
      <c r="BH15" s="20">
        <f t="shared" si="21"/>
        <v>80.75</v>
      </c>
      <c r="BI15" s="20">
        <f t="shared" si="22"/>
        <v>80.625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88">
        <v>0</v>
      </c>
      <c r="F16" s="89"/>
      <c r="G16" s="89">
        <v>0</v>
      </c>
      <c r="H16" s="89"/>
      <c r="I16" s="89">
        <v>0</v>
      </c>
      <c r="J16" s="89"/>
      <c r="K16" s="89">
        <v>0</v>
      </c>
      <c r="L16" s="90"/>
      <c r="M16" s="88">
        <v>0</v>
      </c>
      <c r="N16" s="89"/>
      <c r="O16" s="89">
        <v>0</v>
      </c>
      <c r="P16" s="89"/>
      <c r="Q16" s="89">
        <v>0</v>
      </c>
      <c r="R16" s="89"/>
      <c r="S16" s="89">
        <v>0</v>
      </c>
      <c r="T16" s="90"/>
      <c r="U16" s="88">
        <v>0</v>
      </c>
      <c r="V16" s="89"/>
      <c r="W16" s="89">
        <v>0</v>
      </c>
      <c r="X16" s="89"/>
      <c r="Y16" s="89">
        <v>0</v>
      </c>
      <c r="Z16" s="89"/>
      <c r="AA16" s="89">
        <v>0</v>
      </c>
      <c r="AB16" s="90"/>
      <c r="AC16" s="88">
        <v>0</v>
      </c>
      <c r="AD16" s="89"/>
      <c r="AE16" s="89">
        <v>0</v>
      </c>
      <c r="AF16" s="89"/>
      <c r="AG16" s="89">
        <v>0</v>
      </c>
      <c r="AH16" s="89"/>
      <c r="AI16" s="89">
        <v>0</v>
      </c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88">
        <v>78</v>
      </c>
      <c r="F17" s="89"/>
      <c r="G17" s="89">
        <v>75</v>
      </c>
      <c r="H17" s="89"/>
      <c r="I17" s="89">
        <v>82</v>
      </c>
      <c r="J17" s="89"/>
      <c r="K17" s="89">
        <v>85</v>
      </c>
      <c r="L17" s="90"/>
      <c r="M17" s="88">
        <v>77</v>
      </c>
      <c r="N17" s="89"/>
      <c r="O17" s="89">
        <v>75</v>
      </c>
      <c r="P17" s="89"/>
      <c r="Q17" s="89">
        <v>84</v>
      </c>
      <c r="R17" s="89"/>
      <c r="S17" s="89">
        <v>80</v>
      </c>
      <c r="T17" s="90"/>
      <c r="U17" s="88">
        <v>80</v>
      </c>
      <c r="V17" s="89"/>
      <c r="W17" s="89">
        <v>79</v>
      </c>
      <c r="X17" s="89"/>
      <c r="Y17" s="89">
        <v>81</v>
      </c>
      <c r="Z17" s="89"/>
      <c r="AA17" s="89">
        <v>75</v>
      </c>
      <c r="AB17" s="90"/>
      <c r="AC17" s="88">
        <v>84</v>
      </c>
      <c r="AD17" s="89"/>
      <c r="AE17" s="89">
        <v>80</v>
      </c>
      <c r="AF17" s="89"/>
      <c r="AG17" s="89">
        <v>78</v>
      </c>
      <c r="AH17" s="89"/>
      <c r="AI17" s="89">
        <v>80</v>
      </c>
      <c r="AJ17" s="3"/>
      <c r="AK17" s="45">
        <f t="shared" si="4"/>
        <v>80</v>
      </c>
      <c r="AL17" s="46">
        <f t="shared" si="5"/>
        <v>79</v>
      </c>
      <c r="AM17" s="47">
        <f t="shared" si="6"/>
        <v>78.75</v>
      </c>
      <c r="AN17" s="48">
        <f t="shared" si="7"/>
        <v>80.5</v>
      </c>
      <c r="AO17" s="49">
        <f t="shared" si="8"/>
        <v>79.5625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79.5625</v>
      </c>
      <c r="BC17" s="65" t="str">
        <f t="shared" si="17"/>
        <v/>
      </c>
      <c r="BE17" s="20">
        <f t="shared" si="18"/>
        <v>79.75</v>
      </c>
      <c r="BF17" s="20">
        <f t="shared" si="19"/>
        <v>77.25</v>
      </c>
      <c r="BG17" s="93">
        <f t="shared" si="20"/>
        <v>81.25</v>
      </c>
      <c r="BH17" s="20">
        <f t="shared" si="21"/>
        <v>80</v>
      </c>
      <c r="BI17" s="20">
        <f t="shared" si="22"/>
        <v>79.5625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88">
        <v>100</v>
      </c>
      <c r="F18" s="89"/>
      <c r="G18" s="89">
        <v>95</v>
      </c>
      <c r="H18" s="89"/>
      <c r="I18" s="89">
        <v>100</v>
      </c>
      <c r="J18" s="89"/>
      <c r="K18" s="89">
        <v>98</v>
      </c>
      <c r="L18" s="90"/>
      <c r="M18" s="88">
        <v>98</v>
      </c>
      <c r="N18" s="89"/>
      <c r="O18" s="89">
        <v>100</v>
      </c>
      <c r="P18" s="89"/>
      <c r="Q18" s="89">
        <v>100</v>
      </c>
      <c r="R18" s="89"/>
      <c r="S18" s="89">
        <v>100</v>
      </c>
      <c r="T18" s="90"/>
      <c r="U18" s="88">
        <v>100</v>
      </c>
      <c r="V18" s="89"/>
      <c r="W18" s="89">
        <v>100</v>
      </c>
      <c r="X18" s="89"/>
      <c r="Y18" s="89">
        <v>98</v>
      </c>
      <c r="Z18" s="89"/>
      <c r="AA18" s="89">
        <v>100</v>
      </c>
      <c r="AB18" s="90"/>
      <c r="AC18" s="88">
        <v>98</v>
      </c>
      <c r="AD18" s="89"/>
      <c r="AE18" s="89">
        <v>95</v>
      </c>
      <c r="AF18" s="89"/>
      <c r="AG18" s="89">
        <v>100</v>
      </c>
      <c r="AH18" s="89"/>
      <c r="AI18" s="89">
        <v>100</v>
      </c>
      <c r="AJ18" s="3"/>
      <c r="AK18" s="45">
        <f t="shared" si="4"/>
        <v>98.25</v>
      </c>
      <c r="AL18" s="46">
        <f t="shared" si="5"/>
        <v>99.5</v>
      </c>
      <c r="AM18" s="47">
        <f t="shared" si="6"/>
        <v>99.5</v>
      </c>
      <c r="AN18" s="48">
        <f t="shared" si="7"/>
        <v>98.25</v>
      </c>
      <c r="AO18" s="49">
        <f t="shared" si="8"/>
        <v>98.875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98.875</v>
      </c>
      <c r="BC18" s="65" t="str">
        <f t="shared" si="17"/>
        <v/>
      </c>
      <c r="BE18" s="20">
        <f t="shared" si="18"/>
        <v>99</v>
      </c>
      <c r="BF18" s="20">
        <f t="shared" si="19"/>
        <v>97.5</v>
      </c>
      <c r="BG18" s="93">
        <f t="shared" si="20"/>
        <v>99.5</v>
      </c>
      <c r="BH18" s="20">
        <f t="shared" si="21"/>
        <v>99.5</v>
      </c>
      <c r="BI18" s="20">
        <f t="shared" si="22"/>
        <v>98.875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88">
        <v>95</v>
      </c>
      <c r="F19" s="89"/>
      <c r="G19" s="89">
        <v>90</v>
      </c>
      <c r="H19" s="89"/>
      <c r="I19" s="89">
        <v>98</v>
      </c>
      <c r="J19" s="89"/>
      <c r="K19" s="89">
        <v>95</v>
      </c>
      <c r="L19" s="90"/>
      <c r="M19" s="88">
        <v>93</v>
      </c>
      <c r="N19" s="89"/>
      <c r="O19" s="89">
        <v>100</v>
      </c>
      <c r="P19" s="89"/>
      <c r="Q19" s="89">
        <v>100</v>
      </c>
      <c r="R19" s="89"/>
      <c r="S19" s="89">
        <v>95</v>
      </c>
      <c r="T19" s="90"/>
      <c r="U19" s="88">
        <v>90</v>
      </c>
      <c r="V19" s="89"/>
      <c r="W19" s="89">
        <v>100</v>
      </c>
      <c r="X19" s="89"/>
      <c r="Y19" s="89">
        <v>95</v>
      </c>
      <c r="Z19" s="89"/>
      <c r="AA19" s="89">
        <v>98</v>
      </c>
      <c r="AB19" s="90"/>
      <c r="AC19" s="88">
        <v>98</v>
      </c>
      <c r="AD19" s="89"/>
      <c r="AE19" s="89">
        <v>98</v>
      </c>
      <c r="AF19" s="89"/>
      <c r="AG19" s="89">
        <v>100</v>
      </c>
      <c r="AH19" s="89"/>
      <c r="AI19" s="89">
        <v>100</v>
      </c>
      <c r="AJ19" s="3"/>
      <c r="AK19" s="45">
        <f t="shared" si="4"/>
        <v>94.5</v>
      </c>
      <c r="AL19" s="46">
        <f t="shared" si="5"/>
        <v>97</v>
      </c>
      <c r="AM19" s="47">
        <f t="shared" si="6"/>
        <v>95.75</v>
      </c>
      <c r="AN19" s="48">
        <f t="shared" si="7"/>
        <v>99</v>
      </c>
      <c r="AO19" s="49">
        <f t="shared" si="8"/>
        <v>96.5625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96.5625</v>
      </c>
      <c r="BC19" s="65" t="str">
        <f t="shared" si="17"/>
        <v/>
      </c>
      <c r="BE19" s="20">
        <f t="shared" si="18"/>
        <v>94</v>
      </c>
      <c r="BF19" s="20">
        <f t="shared" si="19"/>
        <v>97</v>
      </c>
      <c r="BG19" s="93">
        <f t="shared" si="20"/>
        <v>98.25</v>
      </c>
      <c r="BH19" s="20">
        <f t="shared" si="21"/>
        <v>97</v>
      </c>
      <c r="BI19" s="20">
        <f t="shared" si="22"/>
        <v>96.5625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88">
        <v>88</v>
      </c>
      <c r="F20" s="89"/>
      <c r="G20" s="89">
        <v>85</v>
      </c>
      <c r="H20" s="89"/>
      <c r="I20" s="89">
        <v>90</v>
      </c>
      <c r="J20" s="89"/>
      <c r="K20" s="89">
        <v>90</v>
      </c>
      <c r="L20" s="90"/>
      <c r="M20" s="88">
        <v>90</v>
      </c>
      <c r="N20" s="89"/>
      <c r="O20" s="89">
        <v>85</v>
      </c>
      <c r="P20" s="89"/>
      <c r="Q20" s="89">
        <v>88</v>
      </c>
      <c r="R20" s="89"/>
      <c r="S20" s="89">
        <v>92</v>
      </c>
      <c r="T20" s="90"/>
      <c r="U20" s="88">
        <v>85</v>
      </c>
      <c r="V20" s="89"/>
      <c r="W20" s="89">
        <v>87</v>
      </c>
      <c r="X20" s="89"/>
      <c r="Y20" s="89">
        <v>92</v>
      </c>
      <c r="Z20" s="89"/>
      <c r="AA20" s="89">
        <v>90</v>
      </c>
      <c r="AB20" s="90"/>
      <c r="AC20" s="88">
        <v>90</v>
      </c>
      <c r="AD20" s="89"/>
      <c r="AE20" s="89">
        <v>80</v>
      </c>
      <c r="AF20" s="89"/>
      <c r="AG20" s="89">
        <v>90</v>
      </c>
      <c r="AH20" s="89"/>
      <c r="AI20" s="89">
        <v>95</v>
      </c>
      <c r="AJ20" s="3"/>
      <c r="AK20" s="45">
        <f t="shared" si="4"/>
        <v>88.25</v>
      </c>
      <c r="AL20" s="46">
        <f t="shared" si="5"/>
        <v>88.75</v>
      </c>
      <c r="AM20" s="47">
        <f t="shared" si="6"/>
        <v>88.5</v>
      </c>
      <c r="AN20" s="48">
        <f t="shared" si="7"/>
        <v>88.75</v>
      </c>
      <c r="AO20" s="49">
        <f t="shared" si="8"/>
        <v>88.5625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88.5625</v>
      </c>
      <c r="BC20" s="65" t="str">
        <f t="shared" si="17"/>
        <v/>
      </c>
      <c r="BE20" s="20">
        <f t="shared" si="18"/>
        <v>88.25</v>
      </c>
      <c r="BF20" s="20">
        <f t="shared" si="19"/>
        <v>84.25</v>
      </c>
      <c r="BG20" s="93">
        <f t="shared" si="20"/>
        <v>90</v>
      </c>
      <c r="BH20" s="20">
        <f t="shared" si="21"/>
        <v>91.75</v>
      </c>
      <c r="BI20" s="20">
        <f t="shared" si="22"/>
        <v>88.5625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88">
        <v>90</v>
      </c>
      <c r="F21" s="89"/>
      <c r="G21" s="89">
        <v>90</v>
      </c>
      <c r="H21" s="89"/>
      <c r="I21" s="89">
        <v>95</v>
      </c>
      <c r="J21" s="89"/>
      <c r="K21" s="89">
        <v>90</v>
      </c>
      <c r="L21" s="90"/>
      <c r="M21" s="88">
        <v>90</v>
      </c>
      <c r="N21" s="89"/>
      <c r="O21" s="89">
        <v>90</v>
      </c>
      <c r="P21" s="89"/>
      <c r="Q21" s="89">
        <v>93</v>
      </c>
      <c r="R21" s="89"/>
      <c r="S21" s="89">
        <v>95</v>
      </c>
      <c r="T21" s="90"/>
      <c r="U21" s="88">
        <v>100</v>
      </c>
      <c r="V21" s="89"/>
      <c r="W21" s="89">
        <v>90</v>
      </c>
      <c r="X21" s="89"/>
      <c r="Y21" s="89">
        <v>95</v>
      </c>
      <c r="Z21" s="89"/>
      <c r="AA21" s="89">
        <v>90</v>
      </c>
      <c r="AB21" s="90"/>
      <c r="AC21" s="88">
        <v>95</v>
      </c>
      <c r="AD21" s="89"/>
      <c r="AE21" s="89">
        <v>98</v>
      </c>
      <c r="AF21" s="89"/>
      <c r="AG21" s="89">
        <v>90</v>
      </c>
      <c r="AH21" s="89"/>
      <c r="AI21" s="89">
        <v>90</v>
      </c>
      <c r="AJ21" s="3"/>
      <c r="AK21" s="45">
        <f t="shared" si="4"/>
        <v>91.25</v>
      </c>
      <c r="AL21" s="46">
        <f t="shared" si="5"/>
        <v>92</v>
      </c>
      <c r="AM21" s="47">
        <f t="shared" si="6"/>
        <v>93.75</v>
      </c>
      <c r="AN21" s="48">
        <f t="shared" si="7"/>
        <v>93.25</v>
      </c>
      <c r="AO21" s="49">
        <f t="shared" si="8"/>
        <v>92.5625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92.5625</v>
      </c>
      <c r="BC21" s="65" t="str">
        <f t="shared" si="17"/>
        <v/>
      </c>
      <c r="BE21" s="20">
        <f t="shared" si="18"/>
        <v>93.75</v>
      </c>
      <c r="BF21" s="20">
        <f t="shared" si="19"/>
        <v>92</v>
      </c>
      <c r="BG21" s="93">
        <f t="shared" si="20"/>
        <v>93.25</v>
      </c>
      <c r="BH21" s="20">
        <f t="shared" si="21"/>
        <v>91.25</v>
      </c>
      <c r="BI21" s="20">
        <f t="shared" si="22"/>
        <v>92.5625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88">
        <v>85</v>
      </c>
      <c r="F22" s="89"/>
      <c r="G22" s="89">
        <v>85</v>
      </c>
      <c r="H22" s="89"/>
      <c r="I22" s="89">
        <v>92</v>
      </c>
      <c r="J22" s="89"/>
      <c r="K22" s="89">
        <v>90</v>
      </c>
      <c r="L22" s="90"/>
      <c r="M22" s="88">
        <v>80</v>
      </c>
      <c r="N22" s="89"/>
      <c r="O22" s="89">
        <v>85</v>
      </c>
      <c r="P22" s="89"/>
      <c r="Q22" s="89">
        <v>90</v>
      </c>
      <c r="R22" s="89"/>
      <c r="S22" s="89">
        <v>85</v>
      </c>
      <c r="T22" s="90"/>
      <c r="U22" s="88">
        <v>95</v>
      </c>
      <c r="V22" s="89"/>
      <c r="W22" s="89">
        <v>80</v>
      </c>
      <c r="X22" s="89"/>
      <c r="Y22" s="89">
        <v>91</v>
      </c>
      <c r="Z22" s="89"/>
      <c r="AA22" s="89">
        <v>91</v>
      </c>
      <c r="AB22" s="90"/>
      <c r="AC22" s="88">
        <v>100</v>
      </c>
      <c r="AD22" s="89"/>
      <c r="AE22" s="89">
        <v>90</v>
      </c>
      <c r="AF22" s="89"/>
      <c r="AG22" s="89">
        <v>92</v>
      </c>
      <c r="AH22" s="89"/>
      <c r="AI22" s="89">
        <v>88</v>
      </c>
      <c r="AJ22" s="3"/>
      <c r="AK22" s="45">
        <f t="shared" si="4"/>
        <v>88</v>
      </c>
      <c r="AL22" s="46">
        <f t="shared" si="5"/>
        <v>85</v>
      </c>
      <c r="AM22" s="47">
        <f t="shared" si="6"/>
        <v>89.25</v>
      </c>
      <c r="AN22" s="48">
        <f t="shared" si="7"/>
        <v>92.5</v>
      </c>
      <c r="AO22" s="49">
        <f t="shared" si="8"/>
        <v>88.6875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88.6875</v>
      </c>
      <c r="BC22" s="65" t="str">
        <f t="shared" si="17"/>
        <v/>
      </c>
      <c r="BE22" s="20">
        <f t="shared" si="18"/>
        <v>90</v>
      </c>
      <c r="BF22" s="20">
        <f t="shared" si="19"/>
        <v>85</v>
      </c>
      <c r="BG22" s="93">
        <f t="shared" si="20"/>
        <v>91.25</v>
      </c>
      <c r="BH22" s="20">
        <f t="shared" si="21"/>
        <v>88.5</v>
      </c>
      <c r="BI22" s="20">
        <f t="shared" si="22"/>
        <v>88.6875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88">
        <v>0</v>
      </c>
      <c r="F23" s="89"/>
      <c r="G23" s="89">
        <v>0</v>
      </c>
      <c r="H23" s="89"/>
      <c r="I23" s="89">
        <v>0</v>
      </c>
      <c r="J23" s="89"/>
      <c r="K23" s="89">
        <v>0</v>
      </c>
      <c r="L23" s="90"/>
      <c r="M23" s="88">
        <v>0</v>
      </c>
      <c r="N23" s="89"/>
      <c r="O23" s="89">
        <v>0</v>
      </c>
      <c r="P23" s="89"/>
      <c r="Q23" s="89">
        <v>0</v>
      </c>
      <c r="R23" s="89"/>
      <c r="S23" s="89">
        <v>0</v>
      </c>
      <c r="T23" s="90"/>
      <c r="U23" s="88">
        <v>0</v>
      </c>
      <c r="V23" s="89"/>
      <c r="W23" s="89">
        <v>0</v>
      </c>
      <c r="X23" s="89"/>
      <c r="Y23" s="89">
        <v>0</v>
      </c>
      <c r="Z23" s="89"/>
      <c r="AA23" s="89">
        <v>0</v>
      </c>
      <c r="AB23" s="90"/>
      <c r="AC23" s="88">
        <v>0</v>
      </c>
      <c r="AD23" s="89"/>
      <c r="AE23" s="89">
        <v>0</v>
      </c>
      <c r="AF23" s="89"/>
      <c r="AG23" s="89">
        <v>0</v>
      </c>
      <c r="AH23" s="89"/>
      <c r="AI23" s="89">
        <v>0</v>
      </c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88">
        <v>0</v>
      </c>
      <c r="F24" s="89"/>
      <c r="G24" s="89">
        <v>0</v>
      </c>
      <c r="H24" s="89"/>
      <c r="I24" s="89">
        <v>0</v>
      </c>
      <c r="J24" s="89"/>
      <c r="K24" s="89">
        <v>0</v>
      </c>
      <c r="L24" s="90"/>
      <c r="M24" s="88">
        <v>0</v>
      </c>
      <c r="N24" s="89"/>
      <c r="O24" s="89">
        <v>0</v>
      </c>
      <c r="P24" s="89"/>
      <c r="Q24" s="89">
        <v>0</v>
      </c>
      <c r="R24" s="89"/>
      <c r="S24" s="89">
        <v>0</v>
      </c>
      <c r="T24" s="90"/>
      <c r="U24" s="88">
        <v>0</v>
      </c>
      <c r="V24" s="89"/>
      <c r="W24" s="89">
        <v>0</v>
      </c>
      <c r="X24" s="89"/>
      <c r="Y24" s="89">
        <v>0</v>
      </c>
      <c r="Z24" s="89"/>
      <c r="AA24" s="89">
        <v>0</v>
      </c>
      <c r="AB24" s="90"/>
      <c r="AC24" s="88">
        <v>0</v>
      </c>
      <c r="AD24" s="89"/>
      <c r="AE24" s="89">
        <v>0</v>
      </c>
      <c r="AF24" s="89"/>
      <c r="AG24" s="89">
        <v>0</v>
      </c>
      <c r="AH24" s="89"/>
      <c r="AI24" s="89">
        <v>0</v>
      </c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88">
        <v>0</v>
      </c>
      <c r="F25" s="89"/>
      <c r="G25" s="89">
        <v>0</v>
      </c>
      <c r="H25" s="89"/>
      <c r="I25" s="89">
        <v>0</v>
      </c>
      <c r="J25" s="89"/>
      <c r="K25" s="89">
        <v>0</v>
      </c>
      <c r="L25" s="90"/>
      <c r="M25" s="88">
        <v>0</v>
      </c>
      <c r="N25" s="89"/>
      <c r="O25" s="89">
        <v>0</v>
      </c>
      <c r="P25" s="89"/>
      <c r="Q25" s="89">
        <v>0</v>
      </c>
      <c r="R25" s="89"/>
      <c r="S25" s="89">
        <v>0</v>
      </c>
      <c r="T25" s="90"/>
      <c r="U25" s="88">
        <v>0</v>
      </c>
      <c r="V25" s="89"/>
      <c r="W25" s="89">
        <v>0</v>
      </c>
      <c r="X25" s="89"/>
      <c r="Y25" s="89">
        <v>0</v>
      </c>
      <c r="Z25" s="89"/>
      <c r="AA25" s="89">
        <v>0</v>
      </c>
      <c r="AB25" s="90"/>
      <c r="AC25" s="88">
        <v>0</v>
      </c>
      <c r="AD25" s="89"/>
      <c r="AE25" s="89">
        <v>0</v>
      </c>
      <c r="AF25" s="89"/>
      <c r="AG25" s="89">
        <v>0</v>
      </c>
      <c r="AH25" s="89"/>
      <c r="AI25" s="89">
        <v>0</v>
      </c>
      <c r="AJ25" s="3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88">
        <v>75</v>
      </c>
      <c r="F26" s="89"/>
      <c r="G26" s="89">
        <v>80</v>
      </c>
      <c r="H26" s="89"/>
      <c r="I26" s="89">
        <v>70</v>
      </c>
      <c r="J26" s="89"/>
      <c r="K26" s="89">
        <v>80</v>
      </c>
      <c r="L26" s="90"/>
      <c r="M26" s="88">
        <v>78</v>
      </c>
      <c r="N26" s="89"/>
      <c r="O26" s="89">
        <v>82</v>
      </c>
      <c r="P26" s="89"/>
      <c r="Q26" s="89">
        <v>72</v>
      </c>
      <c r="R26" s="89"/>
      <c r="S26" s="89">
        <v>76</v>
      </c>
      <c r="T26" s="90"/>
      <c r="U26" s="88">
        <v>78</v>
      </c>
      <c r="V26" s="89"/>
      <c r="W26" s="89">
        <v>75</v>
      </c>
      <c r="X26" s="89"/>
      <c r="Y26" s="89">
        <v>75</v>
      </c>
      <c r="Z26" s="89"/>
      <c r="AA26" s="89">
        <v>78</v>
      </c>
      <c r="AB26" s="90"/>
      <c r="AC26" s="88">
        <v>75</v>
      </c>
      <c r="AD26" s="89"/>
      <c r="AE26" s="89">
        <v>80</v>
      </c>
      <c r="AF26" s="89"/>
      <c r="AG26" s="89">
        <v>78</v>
      </c>
      <c r="AH26" s="89"/>
      <c r="AI26" s="89">
        <v>75</v>
      </c>
      <c r="AJ26" s="3"/>
      <c r="AK26" s="45">
        <f t="shared" si="4"/>
        <v>76.25</v>
      </c>
      <c r="AL26" s="46">
        <f t="shared" si="5"/>
        <v>77</v>
      </c>
      <c r="AM26" s="47">
        <f t="shared" si="6"/>
        <v>76.5</v>
      </c>
      <c r="AN26" s="48">
        <f t="shared" si="7"/>
        <v>77</v>
      </c>
      <c r="AO26" s="49">
        <f t="shared" si="8"/>
        <v>76.6875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76.6875</v>
      </c>
      <c r="BC26" s="65" t="str">
        <f t="shared" si="17"/>
        <v/>
      </c>
      <c r="BE26" s="20">
        <f t="shared" si="18"/>
        <v>76.5</v>
      </c>
      <c r="BF26" s="20">
        <f t="shared" si="19"/>
        <v>79.25</v>
      </c>
      <c r="BG26" s="93">
        <f t="shared" si="20"/>
        <v>73.75</v>
      </c>
      <c r="BH26" s="20">
        <f t="shared" si="21"/>
        <v>77.25</v>
      </c>
      <c r="BI26" s="20">
        <f t="shared" si="22"/>
        <v>76.6875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88">
        <v>0</v>
      </c>
      <c r="F27" s="89"/>
      <c r="G27" s="89">
        <v>0</v>
      </c>
      <c r="H27" s="89"/>
      <c r="I27" s="89">
        <v>0</v>
      </c>
      <c r="J27" s="89"/>
      <c r="K27" s="89">
        <v>0</v>
      </c>
      <c r="L27" s="90"/>
      <c r="M27" s="88">
        <v>0</v>
      </c>
      <c r="N27" s="89"/>
      <c r="O27" s="89">
        <v>0</v>
      </c>
      <c r="P27" s="89"/>
      <c r="Q27" s="89">
        <v>0</v>
      </c>
      <c r="R27" s="89"/>
      <c r="S27" s="89">
        <v>0</v>
      </c>
      <c r="T27" s="90"/>
      <c r="U27" s="88">
        <v>0</v>
      </c>
      <c r="V27" s="89"/>
      <c r="W27" s="89">
        <v>0</v>
      </c>
      <c r="X27" s="89"/>
      <c r="Y27" s="89">
        <v>0</v>
      </c>
      <c r="Z27" s="89"/>
      <c r="AA27" s="89">
        <v>0</v>
      </c>
      <c r="AB27" s="90"/>
      <c r="AC27" s="88">
        <v>0</v>
      </c>
      <c r="AD27" s="89"/>
      <c r="AE27" s="89">
        <v>0</v>
      </c>
      <c r="AF27" s="89"/>
      <c r="AG27" s="89">
        <v>0</v>
      </c>
      <c r="AH27" s="89"/>
      <c r="AI27" s="89">
        <v>0</v>
      </c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88">
        <v>98</v>
      </c>
      <c r="F28" s="89"/>
      <c r="G28" s="89">
        <v>100</v>
      </c>
      <c r="H28" s="89"/>
      <c r="I28" s="89">
        <v>100</v>
      </c>
      <c r="J28" s="89"/>
      <c r="K28" s="89">
        <v>90</v>
      </c>
      <c r="L28" s="90"/>
      <c r="M28" s="88">
        <v>95</v>
      </c>
      <c r="N28" s="89"/>
      <c r="O28" s="89">
        <v>95</v>
      </c>
      <c r="P28" s="89"/>
      <c r="Q28" s="89">
        <v>98</v>
      </c>
      <c r="R28" s="89"/>
      <c r="S28" s="89">
        <v>95</v>
      </c>
      <c r="T28" s="90"/>
      <c r="U28" s="88">
        <v>100</v>
      </c>
      <c r="V28" s="89"/>
      <c r="W28" s="89">
        <v>90</v>
      </c>
      <c r="X28" s="89"/>
      <c r="Y28" s="89">
        <v>98</v>
      </c>
      <c r="Z28" s="89"/>
      <c r="AA28" s="89">
        <v>98</v>
      </c>
      <c r="AB28" s="90"/>
      <c r="AC28" s="88">
        <v>95</v>
      </c>
      <c r="AD28" s="89"/>
      <c r="AE28" s="89">
        <v>98</v>
      </c>
      <c r="AF28" s="89"/>
      <c r="AG28" s="89">
        <v>98</v>
      </c>
      <c r="AH28" s="89"/>
      <c r="AI28" s="89">
        <v>100</v>
      </c>
      <c r="AJ28" s="3"/>
      <c r="AK28" s="45">
        <f t="shared" si="4"/>
        <v>97</v>
      </c>
      <c r="AL28" s="46">
        <f t="shared" si="5"/>
        <v>95.75</v>
      </c>
      <c r="AM28" s="47">
        <f t="shared" si="6"/>
        <v>96.5</v>
      </c>
      <c r="AN28" s="48">
        <f t="shared" si="7"/>
        <v>97.75</v>
      </c>
      <c r="AO28" s="49">
        <f t="shared" si="8"/>
        <v>96.75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96.75</v>
      </c>
      <c r="BC28" s="65" t="str">
        <f t="shared" si="17"/>
        <v/>
      </c>
      <c r="BE28" s="20">
        <f t="shared" si="18"/>
        <v>97</v>
      </c>
      <c r="BF28" s="20">
        <f t="shared" si="19"/>
        <v>95.75</v>
      </c>
      <c r="BG28" s="93">
        <f t="shared" si="20"/>
        <v>98.5</v>
      </c>
      <c r="BH28" s="20">
        <f t="shared" si="21"/>
        <v>95.75</v>
      </c>
      <c r="BI28" s="20">
        <f t="shared" si="22"/>
        <v>96.75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88">
        <v>80</v>
      </c>
      <c r="F29" s="89"/>
      <c r="G29" s="89">
        <v>100</v>
      </c>
      <c r="H29" s="89"/>
      <c r="I29" s="89">
        <v>93</v>
      </c>
      <c r="J29" s="89"/>
      <c r="K29" s="89">
        <v>85</v>
      </c>
      <c r="L29" s="90"/>
      <c r="M29" s="88">
        <v>98</v>
      </c>
      <c r="N29" s="89"/>
      <c r="O29" s="89">
        <v>95</v>
      </c>
      <c r="P29" s="89"/>
      <c r="Q29" s="89">
        <v>90</v>
      </c>
      <c r="R29" s="89"/>
      <c r="S29" s="89">
        <v>85</v>
      </c>
      <c r="T29" s="90"/>
      <c r="U29" s="88">
        <v>90</v>
      </c>
      <c r="V29" s="89"/>
      <c r="W29" s="89">
        <v>98</v>
      </c>
      <c r="X29" s="89"/>
      <c r="Y29" s="89">
        <v>95</v>
      </c>
      <c r="Z29" s="89"/>
      <c r="AA29" s="89">
        <v>80</v>
      </c>
      <c r="AB29" s="90"/>
      <c r="AC29" s="88">
        <v>85</v>
      </c>
      <c r="AD29" s="89"/>
      <c r="AE29" s="89">
        <v>90</v>
      </c>
      <c r="AF29" s="89"/>
      <c r="AG29" s="89">
        <v>90</v>
      </c>
      <c r="AH29" s="89"/>
      <c r="AI29" s="89">
        <v>82</v>
      </c>
      <c r="AJ29" s="3"/>
      <c r="AK29" s="45">
        <f t="shared" si="4"/>
        <v>89.5</v>
      </c>
      <c r="AL29" s="46">
        <f t="shared" si="5"/>
        <v>92</v>
      </c>
      <c r="AM29" s="47">
        <f t="shared" si="6"/>
        <v>90.75</v>
      </c>
      <c r="AN29" s="48">
        <f t="shared" si="7"/>
        <v>86.75</v>
      </c>
      <c r="AO29" s="49">
        <f t="shared" si="8"/>
        <v>89.75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89.75</v>
      </c>
      <c r="BC29" s="65" t="str">
        <f t="shared" si="17"/>
        <v/>
      </c>
      <c r="BE29" s="20">
        <f t="shared" si="18"/>
        <v>88.25</v>
      </c>
      <c r="BF29" s="20">
        <f t="shared" si="19"/>
        <v>95.75</v>
      </c>
      <c r="BG29" s="93">
        <f t="shared" si="20"/>
        <v>92</v>
      </c>
      <c r="BH29" s="20">
        <f t="shared" si="21"/>
        <v>83</v>
      </c>
      <c r="BI29" s="20">
        <f t="shared" si="22"/>
        <v>89.75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88">
        <v>98</v>
      </c>
      <c r="F30" s="89"/>
      <c r="G30" s="89">
        <v>100</v>
      </c>
      <c r="H30" s="89"/>
      <c r="I30" s="89">
        <v>90</v>
      </c>
      <c r="J30" s="89"/>
      <c r="K30" s="89">
        <v>90</v>
      </c>
      <c r="L30" s="90"/>
      <c r="M30" s="88">
        <v>95</v>
      </c>
      <c r="N30" s="89"/>
      <c r="O30" s="89">
        <v>92</v>
      </c>
      <c r="P30" s="89"/>
      <c r="Q30" s="89">
        <v>90</v>
      </c>
      <c r="R30" s="89"/>
      <c r="S30" s="89">
        <v>95</v>
      </c>
      <c r="T30" s="90"/>
      <c r="U30" s="88">
        <v>95</v>
      </c>
      <c r="V30" s="89"/>
      <c r="W30" s="89">
        <v>100</v>
      </c>
      <c r="X30" s="89"/>
      <c r="Y30" s="89">
        <v>90</v>
      </c>
      <c r="Z30" s="89"/>
      <c r="AA30" s="89">
        <v>95</v>
      </c>
      <c r="AB30" s="90"/>
      <c r="AC30" s="88">
        <v>90</v>
      </c>
      <c r="AD30" s="89"/>
      <c r="AE30" s="89">
        <v>95</v>
      </c>
      <c r="AF30" s="89"/>
      <c r="AG30" s="89">
        <v>98</v>
      </c>
      <c r="AH30" s="89"/>
      <c r="AI30" s="89">
        <v>95</v>
      </c>
      <c r="AJ30" s="3"/>
      <c r="AK30" s="45">
        <f t="shared" si="4"/>
        <v>94.5</v>
      </c>
      <c r="AL30" s="46">
        <f t="shared" si="5"/>
        <v>93</v>
      </c>
      <c r="AM30" s="47">
        <f t="shared" si="6"/>
        <v>95</v>
      </c>
      <c r="AN30" s="48">
        <f t="shared" si="7"/>
        <v>94.5</v>
      </c>
      <c r="AO30" s="49">
        <f t="shared" si="8"/>
        <v>94.25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94.25</v>
      </c>
      <c r="BC30" s="65" t="str">
        <f t="shared" si="17"/>
        <v/>
      </c>
      <c r="BE30" s="20">
        <f t="shared" si="18"/>
        <v>94.5</v>
      </c>
      <c r="BF30" s="20">
        <f t="shared" si="19"/>
        <v>96.75</v>
      </c>
      <c r="BG30" s="93">
        <f t="shared" si="20"/>
        <v>92</v>
      </c>
      <c r="BH30" s="20">
        <f t="shared" si="21"/>
        <v>93.75</v>
      </c>
      <c r="BI30" s="20">
        <f t="shared" si="22"/>
        <v>94.25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88">
        <v>0</v>
      </c>
      <c r="F31" s="89"/>
      <c r="G31" s="89">
        <v>0</v>
      </c>
      <c r="H31" s="89"/>
      <c r="I31" s="89">
        <v>0</v>
      </c>
      <c r="J31" s="89"/>
      <c r="K31" s="89">
        <v>0</v>
      </c>
      <c r="L31" s="90"/>
      <c r="M31" s="88">
        <v>95</v>
      </c>
      <c r="N31" s="89"/>
      <c r="O31" s="89">
        <v>0</v>
      </c>
      <c r="P31" s="89"/>
      <c r="Q31" s="89">
        <v>0</v>
      </c>
      <c r="R31" s="89"/>
      <c r="S31" s="89">
        <v>0</v>
      </c>
      <c r="T31" s="90"/>
      <c r="U31" s="88">
        <v>87</v>
      </c>
      <c r="V31" s="89"/>
      <c r="W31" s="89">
        <v>0</v>
      </c>
      <c r="X31" s="89"/>
      <c r="Y31" s="89">
        <v>0</v>
      </c>
      <c r="Z31" s="89"/>
      <c r="AA31" s="89">
        <v>0</v>
      </c>
      <c r="AB31" s="90"/>
      <c r="AC31" s="88">
        <v>0</v>
      </c>
      <c r="AD31" s="89"/>
      <c r="AE31" s="89">
        <v>0</v>
      </c>
      <c r="AF31" s="89"/>
      <c r="AG31" s="89">
        <v>0</v>
      </c>
      <c r="AH31" s="89"/>
      <c r="AI31" s="89">
        <v>0</v>
      </c>
      <c r="AJ31" s="3"/>
      <c r="AK31" s="45">
        <f t="shared" si="4"/>
        <v>0</v>
      </c>
      <c r="AL31" s="46">
        <f t="shared" si="5"/>
        <v>23.75</v>
      </c>
      <c r="AM31" s="47">
        <f t="shared" si="6"/>
        <v>21.75</v>
      </c>
      <c r="AN31" s="48">
        <f t="shared" si="7"/>
        <v>0</v>
      </c>
      <c r="AO31" s="49">
        <f t="shared" si="8"/>
        <v>11.375</v>
      </c>
      <c r="AP31" s="38"/>
      <c r="AR31" s="55">
        <f t="shared" si="9"/>
        <v>5.6875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11.375</v>
      </c>
      <c r="BE31" s="20">
        <f t="shared" si="18"/>
        <v>45.5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11.375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88">
        <v>80</v>
      </c>
      <c r="F32" s="89"/>
      <c r="G32" s="89">
        <v>75</v>
      </c>
      <c r="H32" s="89"/>
      <c r="I32" s="89">
        <v>82</v>
      </c>
      <c r="J32" s="89"/>
      <c r="K32" s="89">
        <v>80</v>
      </c>
      <c r="L32" s="90"/>
      <c r="M32" s="88">
        <v>85</v>
      </c>
      <c r="N32" s="89"/>
      <c r="O32" s="89">
        <v>78</v>
      </c>
      <c r="P32" s="89"/>
      <c r="Q32" s="89">
        <v>80</v>
      </c>
      <c r="R32" s="89"/>
      <c r="S32" s="89">
        <v>82</v>
      </c>
      <c r="T32" s="90"/>
      <c r="U32" s="88">
        <v>80</v>
      </c>
      <c r="V32" s="89"/>
      <c r="W32" s="89">
        <v>80</v>
      </c>
      <c r="X32" s="89"/>
      <c r="Y32" s="89">
        <v>75</v>
      </c>
      <c r="Z32" s="89"/>
      <c r="AA32" s="89">
        <v>78</v>
      </c>
      <c r="AB32" s="90"/>
      <c r="AC32" s="88">
        <v>80</v>
      </c>
      <c r="AD32" s="89"/>
      <c r="AE32" s="89">
        <v>78</v>
      </c>
      <c r="AF32" s="89"/>
      <c r="AG32" s="89">
        <v>85</v>
      </c>
      <c r="AH32" s="89"/>
      <c r="AI32" s="89">
        <v>80</v>
      </c>
      <c r="AJ32" s="3"/>
      <c r="AK32" s="45">
        <f t="shared" si="4"/>
        <v>79.25</v>
      </c>
      <c r="AL32" s="46">
        <f t="shared" si="5"/>
        <v>81.25</v>
      </c>
      <c r="AM32" s="47">
        <f t="shared" si="6"/>
        <v>78.25</v>
      </c>
      <c r="AN32" s="48">
        <f t="shared" si="7"/>
        <v>80.75</v>
      </c>
      <c r="AO32" s="49">
        <f t="shared" si="8"/>
        <v>79.875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79.875</v>
      </c>
      <c r="BC32" s="65" t="str">
        <f t="shared" si="17"/>
        <v/>
      </c>
      <c r="BE32" s="20">
        <f t="shared" si="18"/>
        <v>81.25</v>
      </c>
      <c r="BF32" s="20">
        <f t="shared" si="19"/>
        <v>77.75</v>
      </c>
      <c r="BG32" s="93">
        <f t="shared" si="20"/>
        <v>80.5</v>
      </c>
      <c r="BH32" s="20">
        <f t="shared" si="21"/>
        <v>80</v>
      </c>
      <c r="BI32" s="20">
        <f t="shared" si="22"/>
        <v>79.875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88">
        <v>85</v>
      </c>
      <c r="F33" s="89"/>
      <c r="G33" s="89">
        <v>78</v>
      </c>
      <c r="H33" s="89"/>
      <c r="I33" s="89">
        <v>90</v>
      </c>
      <c r="J33" s="89"/>
      <c r="K33" s="89">
        <v>92</v>
      </c>
      <c r="L33" s="90"/>
      <c r="M33" s="88">
        <v>85</v>
      </c>
      <c r="N33" s="89"/>
      <c r="O33" s="89">
        <v>75</v>
      </c>
      <c r="P33" s="89"/>
      <c r="Q33" s="89">
        <v>92</v>
      </c>
      <c r="R33" s="89"/>
      <c r="S33" s="89">
        <v>90</v>
      </c>
      <c r="T33" s="90"/>
      <c r="U33" s="88">
        <v>90</v>
      </c>
      <c r="V33" s="89"/>
      <c r="W33" s="89">
        <v>72</v>
      </c>
      <c r="X33" s="89"/>
      <c r="Y33" s="89">
        <v>90</v>
      </c>
      <c r="Z33" s="89"/>
      <c r="AA33" s="89">
        <v>90</v>
      </c>
      <c r="AB33" s="90"/>
      <c r="AC33" s="88">
        <v>91</v>
      </c>
      <c r="AD33" s="89"/>
      <c r="AE33" s="89">
        <v>85</v>
      </c>
      <c r="AF33" s="89"/>
      <c r="AG33" s="89">
        <v>90</v>
      </c>
      <c r="AH33" s="89"/>
      <c r="AI33" s="89">
        <v>92</v>
      </c>
      <c r="AJ33" s="3"/>
      <c r="AK33" s="45">
        <f t="shared" si="4"/>
        <v>86.25</v>
      </c>
      <c r="AL33" s="46">
        <f t="shared" si="5"/>
        <v>85.5</v>
      </c>
      <c r="AM33" s="47">
        <f t="shared" si="6"/>
        <v>85.5</v>
      </c>
      <c r="AN33" s="48">
        <f t="shared" si="7"/>
        <v>89.5</v>
      </c>
      <c r="AO33" s="49">
        <f t="shared" si="8"/>
        <v>86.6875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86.6875</v>
      </c>
      <c r="BC33" s="65" t="str">
        <f t="shared" si="17"/>
        <v/>
      </c>
      <c r="BE33" s="20">
        <f t="shared" si="18"/>
        <v>87.75</v>
      </c>
      <c r="BF33" s="20">
        <f t="shared" si="19"/>
        <v>77.5</v>
      </c>
      <c r="BG33" s="93">
        <f t="shared" si="20"/>
        <v>90.5</v>
      </c>
      <c r="BH33" s="20">
        <f t="shared" si="21"/>
        <v>91</v>
      </c>
      <c r="BI33" s="20">
        <f t="shared" si="22"/>
        <v>86.6875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88">
        <v>85</v>
      </c>
      <c r="F34" s="89"/>
      <c r="G34" s="89">
        <v>75</v>
      </c>
      <c r="H34" s="89"/>
      <c r="I34" s="89">
        <v>78</v>
      </c>
      <c r="J34" s="89"/>
      <c r="K34" s="89">
        <v>85</v>
      </c>
      <c r="L34" s="90"/>
      <c r="M34" s="88">
        <v>88</v>
      </c>
      <c r="N34" s="89"/>
      <c r="O34" s="89">
        <v>80</v>
      </c>
      <c r="P34" s="89"/>
      <c r="Q34" s="89">
        <v>85</v>
      </c>
      <c r="R34" s="89"/>
      <c r="S34" s="89">
        <v>75</v>
      </c>
      <c r="T34" s="90"/>
      <c r="U34" s="88">
        <v>87</v>
      </c>
      <c r="V34" s="89"/>
      <c r="W34" s="89">
        <v>79</v>
      </c>
      <c r="X34" s="89"/>
      <c r="Y34" s="89">
        <v>82</v>
      </c>
      <c r="Z34" s="89"/>
      <c r="AA34" s="89">
        <v>75</v>
      </c>
      <c r="AB34" s="90"/>
      <c r="AC34" s="88">
        <v>85</v>
      </c>
      <c r="AD34" s="89"/>
      <c r="AE34" s="89">
        <v>83</v>
      </c>
      <c r="AF34" s="89"/>
      <c r="AG34" s="89">
        <v>80</v>
      </c>
      <c r="AH34" s="89"/>
      <c r="AI34" s="89">
        <v>70</v>
      </c>
      <c r="AJ34" s="3"/>
      <c r="AK34" s="45">
        <f t="shared" si="4"/>
        <v>80.75</v>
      </c>
      <c r="AL34" s="46">
        <f t="shared" si="5"/>
        <v>82</v>
      </c>
      <c r="AM34" s="47">
        <f t="shared" si="6"/>
        <v>80.75</v>
      </c>
      <c r="AN34" s="48">
        <f t="shared" si="7"/>
        <v>79.5</v>
      </c>
      <c r="AO34" s="49">
        <f t="shared" si="8"/>
        <v>80.75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80.75</v>
      </c>
      <c r="BC34" s="65" t="str">
        <f t="shared" si="17"/>
        <v/>
      </c>
      <c r="BE34" s="20">
        <f t="shared" si="18"/>
        <v>86.25</v>
      </c>
      <c r="BF34" s="20">
        <f t="shared" si="19"/>
        <v>79.25</v>
      </c>
      <c r="BG34" s="93">
        <f t="shared" si="20"/>
        <v>81.25</v>
      </c>
      <c r="BH34" s="20">
        <f t="shared" si="21"/>
        <v>76.25</v>
      </c>
      <c r="BI34" s="20">
        <f t="shared" si="22"/>
        <v>80.75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88">
        <v>80</v>
      </c>
      <c r="F35" s="89"/>
      <c r="G35" s="89">
        <v>82</v>
      </c>
      <c r="H35" s="89"/>
      <c r="I35" s="89">
        <v>85</v>
      </c>
      <c r="J35" s="89"/>
      <c r="K35" s="89">
        <v>85</v>
      </c>
      <c r="L35" s="90"/>
      <c r="M35" s="88">
        <v>85</v>
      </c>
      <c r="N35" s="89"/>
      <c r="O35" s="89">
        <v>80</v>
      </c>
      <c r="P35" s="89"/>
      <c r="Q35" s="89">
        <v>82</v>
      </c>
      <c r="R35" s="89"/>
      <c r="S35" s="89">
        <v>75</v>
      </c>
      <c r="T35" s="90"/>
      <c r="U35" s="88">
        <v>80</v>
      </c>
      <c r="V35" s="89"/>
      <c r="W35" s="89">
        <v>81</v>
      </c>
      <c r="X35" s="89"/>
      <c r="Y35" s="89">
        <v>85</v>
      </c>
      <c r="Z35" s="89"/>
      <c r="AA35" s="89">
        <v>80</v>
      </c>
      <c r="AB35" s="90"/>
      <c r="AC35" s="88">
        <v>80</v>
      </c>
      <c r="AD35" s="89"/>
      <c r="AE35" s="89">
        <v>85</v>
      </c>
      <c r="AF35" s="89"/>
      <c r="AG35" s="89">
        <v>87</v>
      </c>
      <c r="AH35" s="89"/>
      <c r="AI35" s="89">
        <v>89</v>
      </c>
      <c r="AJ35" s="3"/>
      <c r="AK35" s="45">
        <f t="shared" si="4"/>
        <v>83</v>
      </c>
      <c r="AL35" s="46">
        <f t="shared" si="5"/>
        <v>80.5</v>
      </c>
      <c r="AM35" s="47">
        <f t="shared" si="6"/>
        <v>81.5</v>
      </c>
      <c r="AN35" s="48">
        <f t="shared" si="7"/>
        <v>85.25</v>
      </c>
      <c r="AO35" s="49">
        <f t="shared" si="8"/>
        <v>82.5625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82.5625</v>
      </c>
      <c r="BC35" s="65" t="str">
        <f t="shared" si="17"/>
        <v/>
      </c>
      <c r="BE35" s="20">
        <f t="shared" si="18"/>
        <v>81.25</v>
      </c>
      <c r="BF35" s="20">
        <f t="shared" si="19"/>
        <v>82</v>
      </c>
      <c r="BG35" s="93">
        <f t="shared" si="20"/>
        <v>84.75</v>
      </c>
      <c r="BH35" s="20">
        <f t="shared" si="21"/>
        <v>82.25</v>
      </c>
      <c r="BI35" s="20">
        <f t="shared" si="22"/>
        <v>82.5625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88">
        <v>95</v>
      </c>
      <c r="F36" s="89"/>
      <c r="G36" s="89">
        <v>100</v>
      </c>
      <c r="H36" s="89"/>
      <c r="I36" s="89">
        <v>95</v>
      </c>
      <c r="J36" s="89"/>
      <c r="K36" s="89">
        <v>90</v>
      </c>
      <c r="L36" s="90"/>
      <c r="M36" s="88">
        <v>100</v>
      </c>
      <c r="N36" s="89"/>
      <c r="O36" s="89">
        <v>100</v>
      </c>
      <c r="P36" s="89"/>
      <c r="Q36" s="89">
        <v>98</v>
      </c>
      <c r="R36" s="89"/>
      <c r="S36" s="89">
        <v>100</v>
      </c>
      <c r="T36" s="90"/>
      <c r="U36" s="88">
        <v>100</v>
      </c>
      <c r="V36" s="89"/>
      <c r="W36" s="89">
        <v>98</v>
      </c>
      <c r="X36" s="89"/>
      <c r="Y36" s="89">
        <v>98</v>
      </c>
      <c r="Z36" s="89"/>
      <c r="AA36" s="89">
        <v>95</v>
      </c>
      <c r="AB36" s="90"/>
      <c r="AC36" s="88">
        <v>100</v>
      </c>
      <c r="AD36" s="89"/>
      <c r="AE36" s="89">
        <v>98</v>
      </c>
      <c r="AF36" s="89"/>
      <c r="AG36" s="89">
        <v>95</v>
      </c>
      <c r="AH36" s="89"/>
      <c r="AI36" s="89">
        <v>100</v>
      </c>
      <c r="AJ36" s="3"/>
      <c r="AK36" s="45">
        <f t="shared" si="4"/>
        <v>95</v>
      </c>
      <c r="AL36" s="46">
        <f t="shared" si="5"/>
        <v>99.5</v>
      </c>
      <c r="AM36" s="47">
        <f t="shared" si="6"/>
        <v>97.75</v>
      </c>
      <c r="AN36" s="48">
        <f t="shared" si="7"/>
        <v>98.25</v>
      </c>
      <c r="AO36" s="49">
        <f t="shared" si="8"/>
        <v>97.625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97.625</v>
      </c>
      <c r="BC36" s="65" t="str">
        <f t="shared" si="17"/>
        <v/>
      </c>
      <c r="BE36" s="20">
        <f t="shared" si="18"/>
        <v>98.75</v>
      </c>
      <c r="BF36" s="20">
        <f t="shared" si="19"/>
        <v>99</v>
      </c>
      <c r="BG36" s="93">
        <f t="shared" si="20"/>
        <v>96.5</v>
      </c>
      <c r="BH36" s="20">
        <f t="shared" si="21"/>
        <v>96.25</v>
      </c>
      <c r="BI36" s="20">
        <f t="shared" si="22"/>
        <v>97.625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88">
        <v>90</v>
      </c>
      <c r="F37" s="89"/>
      <c r="G37" s="89">
        <v>98</v>
      </c>
      <c r="H37" s="89"/>
      <c r="I37" s="89">
        <v>90</v>
      </c>
      <c r="J37" s="89"/>
      <c r="K37" s="89">
        <v>90</v>
      </c>
      <c r="L37" s="90"/>
      <c r="M37" s="88">
        <v>85</v>
      </c>
      <c r="N37" s="89"/>
      <c r="O37" s="89">
        <v>94</v>
      </c>
      <c r="P37" s="89"/>
      <c r="Q37" s="89">
        <v>92</v>
      </c>
      <c r="R37" s="89"/>
      <c r="S37" s="89">
        <v>90</v>
      </c>
      <c r="T37" s="90"/>
      <c r="U37" s="88">
        <v>90</v>
      </c>
      <c r="V37" s="89"/>
      <c r="W37" s="89">
        <v>85</v>
      </c>
      <c r="X37" s="89"/>
      <c r="Y37" s="89">
        <v>87</v>
      </c>
      <c r="Z37" s="89"/>
      <c r="AA37" s="89">
        <v>90</v>
      </c>
      <c r="AB37" s="90"/>
      <c r="AC37" s="88">
        <v>90</v>
      </c>
      <c r="AD37" s="89"/>
      <c r="AE37" s="89">
        <v>88</v>
      </c>
      <c r="AF37" s="89"/>
      <c r="AG37" s="89">
        <v>92</v>
      </c>
      <c r="AH37" s="89"/>
      <c r="AI37" s="89">
        <v>90</v>
      </c>
      <c r="AJ37" s="3"/>
      <c r="AK37" s="45">
        <f t="shared" si="4"/>
        <v>92</v>
      </c>
      <c r="AL37" s="46">
        <f t="shared" si="5"/>
        <v>90.25</v>
      </c>
      <c r="AM37" s="47">
        <f t="shared" si="6"/>
        <v>88</v>
      </c>
      <c r="AN37" s="48">
        <f t="shared" si="7"/>
        <v>90</v>
      </c>
      <c r="AO37" s="49">
        <f t="shared" si="8"/>
        <v>90.0625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90.0625</v>
      </c>
      <c r="BC37" s="65" t="str">
        <f t="shared" si="17"/>
        <v/>
      </c>
      <c r="BE37" s="20">
        <f t="shared" si="18"/>
        <v>88.75</v>
      </c>
      <c r="BF37" s="20">
        <f t="shared" si="19"/>
        <v>91.25</v>
      </c>
      <c r="BG37" s="93">
        <f t="shared" si="20"/>
        <v>90.25</v>
      </c>
      <c r="BH37" s="20">
        <f t="shared" si="21"/>
        <v>90</v>
      </c>
      <c r="BI37" s="20">
        <f t="shared" si="22"/>
        <v>90.0625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88">
        <v>80</v>
      </c>
      <c r="F38" s="89"/>
      <c r="G38" s="89">
        <v>82</v>
      </c>
      <c r="H38" s="89"/>
      <c r="I38" s="89">
        <v>80</v>
      </c>
      <c r="J38" s="89"/>
      <c r="K38" s="89">
        <v>85</v>
      </c>
      <c r="L38" s="90"/>
      <c r="M38" s="88">
        <v>80</v>
      </c>
      <c r="N38" s="89"/>
      <c r="O38" s="89">
        <v>80</v>
      </c>
      <c r="P38" s="89"/>
      <c r="Q38" s="89">
        <v>84</v>
      </c>
      <c r="R38" s="89"/>
      <c r="S38" s="89">
        <v>84</v>
      </c>
      <c r="T38" s="90"/>
      <c r="U38" s="88">
        <v>83</v>
      </c>
      <c r="V38" s="89"/>
      <c r="W38" s="89">
        <v>85</v>
      </c>
      <c r="X38" s="89"/>
      <c r="Y38" s="89">
        <v>88</v>
      </c>
      <c r="Z38" s="89"/>
      <c r="AA38" s="89">
        <v>85</v>
      </c>
      <c r="AB38" s="90"/>
      <c r="AC38" s="88">
        <v>87</v>
      </c>
      <c r="AD38" s="89"/>
      <c r="AE38" s="89">
        <v>85</v>
      </c>
      <c r="AF38" s="89"/>
      <c r="AG38" s="89">
        <v>89</v>
      </c>
      <c r="AH38" s="89"/>
      <c r="AI38" s="89">
        <v>85</v>
      </c>
      <c r="AJ38" s="3"/>
      <c r="AK38" s="45">
        <f t="shared" si="4"/>
        <v>81.75</v>
      </c>
      <c r="AL38" s="46">
        <f t="shared" si="5"/>
        <v>82</v>
      </c>
      <c r="AM38" s="47">
        <f t="shared" si="6"/>
        <v>85.25</v>
      </c>
      <c r="AN38" s="48">
        <f t="shared" si="7"/>
        <v>86.5</v>
      </c>
      <c r="AO38" s="49">
        <f t="shared" si="8"/>
        <v>83.875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83.875</v>
      </c>
      <c r="BC38" s="65" t="str">
        <f t="shared" si="17"/>
        <v/>
      </c>
      <c r="BE38" s="20">
        <f t="shared" si="18"/>
        <v>82.5</v>
      </c>
      <c r="BF38" s="20">
        <f t="shared" si="19"/>
        <v>83</v>
      </c>
      <c r="BG38" s="93">
        <f t="shared" si="20"/>
        <v>85.25</v>
      </c>
      <c r="BH38" s="20">
        <f t="shared" si="21"/>
        <v>84.75</v>
      </c>
      <c r="BI38" s="20">
        <f t="shared" si="22"/>
        <v>83.875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88">
        <v>0</v>
      </c>
      <c r="F39" s="89"/>
      <c r="G39" s="89">
        <v>0</v>
      </c>
      <c r="H39" s="89"/>
      <c r="I39" s="89">
        <v>0</v>
      </c>
      <c r="J39" s="89"/>
      <c r="K39" s="89">
        <v>0</v>
      </c>
      <c r="L39" s="90"/>
      <c r="M39" s="88">
        <v>0</v>
      </c>
      <c r="N39" s="89"/>
      <c r="O39" s="89">
        <v>0</v>
      </c>
      <c r="P39" s="89"/>
      <c r="Q39" s="89">
        <v>0</v>
      </c>
      <c r="R39" s="89"/>
      <c r="S39" s="89">
        <v>0</v>
      </c>
      <c r="T39" s="90"/>
      <c r="U39" s="88">
        <v>0</v>
      </c>
      <c r="V39" s="89"/>
      <c r="W39" s="89">
        <v>0</v>
      </c>
      <c r="X39" s="89"/>
      <c r="Y39" s="89">
        <v>0</v>
      </c>
      <c r="Z39" s="89"/>
      <c r="AA39" s="89">
        <v>0</v>
      </c>
      <c r="AB39" s="90"/>
      <c r="AC39" s="88">
        <v>0</v>
      </c>
      <c r="AD39" s="89"/>
      <c r="AE39" s="89">
        <v>0</v>
      </c>
      <c r="AF39" s="89"/>
      <c r="AG39" s="89">
        <v>0</v>
      </c>
      <c r="AH39" s="89"/>
      <c r="AI39" s="89">
        <v>0</v>
      </c>
      <c r="AJ39" s="3"/>
      <c r="AK39" s="45">
        <f t="shared" si="4"/>
        <v>0</v>
      </c>
      <c r="AL39" s="46">
        <f t="shared" si="5"/>
        <v>0</v>
      </c>
      <c r="AM39" s="47">
        <f t="shared" si="6"/>
        <v>0</v>
      </c>
      <c r="AN39" s="48">
        <f t="shared" si="7"/>
        <v>0</v>
      </c>
      <c r="AO39" s="49">
        <f t="shared" si="8"/>
        <v>0</v>
      </c>
      <c r="AP39" s="38"/>
      <c r="AR39" s="55">
        <f t="shared" si="9"/>
        <v>0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0</v>
      </c>
      <c r="BE39" s="20">
        <f t="shared" si="18"/>
        <v>0</v>
      </c>
      <c r="BF39" s="20">
        <f t="shared" si="19"/>
        <v>0</v>
      </c>
      <c r="BG39" s="93">
        <f t="shared" si="20"/>
        <v>0</v>
      </c>
      <c r="BH39" s="20">
        <f t="shared" si="21"/>
        <v>0</v>
      </c>
      <c r="BI39" s="20">
        <f t="shared" si="22"/>
        <v>0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88">
        <v>80</v>
      </c>
      <c r="F40" s="89"/>
      <c r="G40" s="89">
        <v>84</v>
      </c>
      <c r="H40" s="89"/>
      <c r="I40" s="89">
        <v>82</v>
      </c>
      <c r="J40" s="89"/>
      <c r="K40" s="89">
        <v>85</v>
      </c>
      <c r="L40" s="90"/>
      <c r="M40" s="88">
        <v>78</v>
      </c>
      <c r="N40" s="89"/>
      <c r="O40" s="89">
        <v>77</v>
      </c>
      <c r="P40" s="89"/>
      <c r="Q40" s="89">
        <v>76</v>
      </c>
      <c r="R40" s="89"/>
      <c r="S40" s="89">
        <v>79</v>
      </c>
      <c r="T40" s="90"/>
      <c r="U40" s="88">
        <v>80</v>
      </c>
      <c r="V40" s="89"/>
      <c r="W40" s="89">
        <v>80</v>
      </c>
      <c r="X40" s="89"/>
      <c r="Y40" s="89">
        <v>80</v>
      </c>
      <c r="Z40" s="89"/>
      <c r="AA40" s="89">
        <v>84</v>
      </c>
      <c r="AB40" s="90"/>
      <c r="AC40" s="88">
        <v>82</v>
      </c>
      <c r="AD40" s="89"/>
      <c r="AE40" s="89">
        <v>80</v>
      </c>
      <c r="AF40" s="89"/>
      <c r="AG40" s="89">
        <v>80</v>
      </c>
      <c r="AH40" s="89"/>
      <c r="AI40" s="89">
        <v>82</v>
      </c>
      <c r="AJ40" s="3"/>
      <c r="AK40" s="45">
        <f t="shared" si="4"/>
        <v>82.75</v>
      </c>
      <c r="AL40" s="46">
        <f t="shared" si="5"/>
        <v>77.5</v>
      </c>
      <c r="AM40" s="47">
        <f t="shared" si="6"/>
        <v>81</v>
      </c>
      <c r="AN40" s="48">
        <f t="shared" si="7"/>
        <v>81</v>
      </c>
      <c r="AO40" s="49">
        <f t="shared" si="8"/>
        <v>80.5625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80.5625</v>
      </c>
      <c r="BC40" s="65" t="str">
        <f t="shared" si="17"/>
        <v/>
      </c>
      <c r="BE40" s="20">
        <f t="shared" si="18"/>
        <v>80</v>
      </c>
      <c r="BF40" s="20">
        <f t="shared" si="19"/>
        <v>80.25</v>
      </c>
      <c r="BG40" s="93">
        <f t="shared" si="20"/>
        <v>79.5</v>
      </c>
      <c r="BH40" s="20">
        <f t="shared" si="21"/>
        <v>82.5</v>
      </c>
      <c r="BI40" s="20">
        <f t="shared" si="22"/>
        <v>80.5625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88">
        <v>81</v>
      </c>
      <c r="F41" s="89"/>
      <c r="G41" s="89">
        <v>75</v>
      </c>
      <c r="H41" s="89"/>
      <c r="I41" s="89">
        <v>77</v>
      </c>
      <c r="J41" s="89"/>
      <c r="K41" s="89">
        <v>85</v>
      </c>
      <c r="L41" s="90"/>
      <c r="M41" s="88">
        <v>85</v>
      </c>
      <c r="N41" s="89"/>
      <c r="O41" s="89">
        <v>70</v>
      </c>
      <c r="P41" s="89"/>
      <c r="Q41" s="89">
        <v>78</v>
      </c>
      <c r="R41" s="89"/>
      <c r="S41" s="89">
        <v>70</v>
      </c>
      <c r="T41" s="90"/>
      <c r="U41" s="88">
        <v>87</v>
      </c>
      <c r="V41" s="89"/>
      <c r="W41" s="89">
        <v>75</v>
      </c>
      <c r="X41" s="89"/>
      <c r="Y41" s="89">
        <v>80</v>
      </c>
      <c r="Z41" s="89"/>
      <c r="AA41" s="89">
        <v>82</v>
      </c>
      <c r="AB41" s="90"/>
      <c r="AC41" s="88">
        <v>80</v>
      </c>
      <c r="AD41" s="89"/>
      <c r="AE41" s="89">
        <v>75</v>
      </c>
      <c r="AF41" s="89"/>
      <c r="AG41" s="89">
        <v>85</v>
      </c>
      <c r="AH41" s="89"/>
      <c r="AI41" s="89">
        <v>84</v>
      </c>
      <c r="AJ41" s="3"/>
      <c r="AK41" s="45">
        <f t="shared" si="4"/>
        <v>79.5</v>
      </c>
      <c r="AL41" s="46">
        <f t="shared" si="5"/>
        <v>75.75</v>
      </c>
      <c r="AM41" s="47">
        <f t="shared" si="6"/>
        <v>81</v>
      </c>
      <c r="AN41" s="48">
        <f t="shared" si="7"/>
        <v>81</v>
      </c>
      <c r="AO41" s="49">
        <f t="shared" si="8"/>
        <v>79.3125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79.3125</v>
      </c>
      <c r="BC41" s="65" t="str">
        <f t="shared" si="17"/>
        <v/>
      </c>
      <c r="BE41" s="20">
        <f t="shared" si="18"/>
        <v>83.25</v>
      </c>
      <c r="BF41" s="20">
        <f t="shared" si="19"/>
        <v>73.75</v>
      </c>
      <c r="BG41" s="93">
        <f t="shared" si="20"/>
        <v>80</v>
      </c>
      <c r="BH41" s="20">
        <f t="shared" si="21"/>
        <v>80.25</v>
      </c>
      <c r="BI41" s="20">
        <f t="shared" si="22"/>
        <v>79.3125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88">
        <v>0</v>
      </c>
      <c r="F42" s="89"/>
      <c r="G42" s="89">
        <v>0</v>
      </c>
      <c r="H42" s="89"/>
      <c r="I42" s="89">
        <v>0</v>
      </c>
      <c r="J42" s="89"/>
      <c r="K42" s="89">
        <v>85</v>
      </c>
      <c r="L42" s="90"/>
      <c r="M42" s="88">
        <v>0</v>
      </c>
      <c r="N42" s="89"/>
      <c r="O42" s="89">
        <v>0</v>
      </c>
      <c r="P42" s="89"/>
      <c r="Q42" s="89">
        <v>0</v>
      </c>
      <c r="R42" s="89"/>
      <c r="S42" s="89">
        <v>78</v>
      </c>
      <c r="T42" s="90"/>
      <c r="U42" s="88">
        <v>0</v>
      </c>
      <c r="V42" s="89"/>
      <c r="W42" s="89">
        <v>0</v>
      </c>
      <c r="X42" s="89"/>
      <c r="Y42" s="89">
        <v>0</v>
      </c>
      <c r="Z42" s="89"/>
      <c r="AA42" s="89">
        <v>77</v>
      </c>
      <c r="AB42" s="90"/>
      <c r="AC42" s="88">
        <v>0</v>
      </c>
      <c r="AD42" s="89"/>
      <c r="AE42" s="89">
        <v>0</v>
      </c>
      <c r="AF42" s="89"/>
      <c r="AG42" s="89">
        <v>0</v>
      </c>
      <c r="AH42" s="89"/>
      <c r="AI42" s="89">
        <v>80</v>
      </c>
      <c r="AJ42" s="3"/>
      <c r="AK42" s="45">
        <f t="shared" si="4"/>
        <v>21.25</v>
      </c>
      <c r="AL42" s="46">
        <f t="shared" si="5"/>
        <v>19.5</v>
      </c>
      <c r="AM42" s="47">
        <f t="shared" si="6"/>
        <v>19.25</v>
      </c>
      <c r="AN42" s="48">
        <f t="shared" si="7"/>
        <v>20</v>
      </c>
      <c r="AO42" s="49">
        <f t="shared" si="8"/>
        <v>20</v>
      </c>
      <c r="AP42" s="38"/>
      <c r="AR42" s="55">
        <f t="shared" si="9"/>
        <v>10</v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 t="str">
        <f t="shared" si="16"/>
        <v/>
      </c>
      <c r="BC42" s="65">
        <f t="shared" si="17"/>
        <v>20</v>
      </c>
      <c r="BE42" s="20">
        <f t="shared" si="18"/>
        <v>0</v>
      </c>
      <c r="BF42" s="20">
        <f t="shared" si="19"/>
        <v>0</v>
      </c>
      <c r="BG42" s="93">
        <f t="shared" si="20"/>
        <v>0</v>
      </c>
      <c r="BH42" s="20">
        <f t="shared" si="21"/>
        <v>80</v>
      </c>
      <c r="BI42" s="20">
        <f t="shared" si="22"/>
        <v>20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32" priority="2" operator="lessThan">
      <formula>70</formula>
    </cfRule>
  </conditionalFormatting>
  <conditionalFormatting sqref="G4:L33">
    <cfRule type="cellIs" dxfId="31" priority="5" operator="lessThan">
      <formula>70</formula>
    </cfRule>
  </conditionalFormatting>
  <conditionalFormatting sqref="O4:AB33">
    <cfRule type="cellIs" dxfId="30" priority="4" operator="lessThan">
      <formula>70</formula>
    </cfRule>
  </conditionalFormatting>
  <conditionalFormatting sqref="AE4:AJ33">
    <cfRule type="cellIs" dxfId="29" priority="3" operator="lessThan">
      <formula>70</formula>
    </cfRule>
  </conditionalFormatting>
  <conditionalFormatting sqref="AK3:AP47 E4:F33 E34:AJ47 M4:N33 AC4:AD33">
    <cfRule type="cellIs" dxfId="28" priority="8" operator="lessThan">
      <formula>70</formula>
    </cfRule>
  </conditionalFormatting>
  <conditionalFormatting sqref="AR3:AR47">
    <cfRule type="cellIs" dxfId="27" priority="6" operator="lessThan">
      <formula>70</formula>
    </cfRule>
  </conditionalFormatting>
  <conditionalFormatting sqref="AR3:AY47">
    <cfRule type="cellIs" dxfId="26" priority="7" operator="lessThan">
      <formula>70</formula>
    </cfRule>
  </conditionalFormatting>
  <conditionalFormatting sqref="AZ3:AZ47">
    <cfRule type="cellIs" dxfId="25" priority="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C5119-7BAE-406E-8FA6-28DD5E478C3B}">
  <dimension ref="A1:BI47"/>
  <sheetViews>
    <sheetView tabSelected="1" topLeftCell="C1" zoomScaleNormal="100" workbookViewId="0">
      <selection activeCell="AD15" sqref="AD1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2" t="s">
        <v>5</v>
      </c>
      <c r="B1" s="111" t="s">
        <v>111</v>
      </c>
      <c r="C1" s="104" t="s">
        <v>4</v>
      </c>
      <c r="D1" s="106" t="s">
        <v>10</v>
      </c>
      <c r="E1" s="108" t="s">
        <v>18</v>
      </c>
      <c r="F1" s="109"/>
      <c r="G1" s="109"/>
      <c r="H1" s="109"/>
      <c r="I1" s="109"/>
      <c r="J1" s="109"/>
      <c r="K1" s="109"/>
      <c r="L1" s="110"/>
      <c r="M1" s="117" t="s">
        <v>19</v>
      </c>
      <c r="N1" s="118"/>
      <c r="O1" s="118"/>
      <c r="P1" s="118"/>
      <c r="Q1" s="118"/>
      <c r="R1" s="118"/>
      <c r="S1" s="118"/>
      <c r="T1" s="119"/>
      <c r="U1" s="129" t="s">
        <v>20</v>
      </c>
      <c r="V1" s="130"/>
      <c r="W1" s="130"/>
      <c r="X1" s="130"/>
      <c r="Y1" s="130"/>
      <c r="Z1" s="130"/>
      <c r="AA1" s="130"/>
      <c r="AB1" s="131"/>
      <c r="AC1" s="120" t="s">
        <v>21</v>
      </c>
      <c r="AD1" s="121"/>
      <c r="AE1" s="121"/>
      <c r="AF1" s="121"/>
      <c r="AG1" s="121"/>
      <c r="AH1" s="121"/>
      <c r="AI1" s="121"/>
      <c r="AJ1" s="122"/>
      <c r="AK1" s="123" t="s">
        <v>22</v>
      </c>
      <c r="AL1" s="125" t="s">
        <v>23</v>
      </c>
      <c r="AM1" s="132" t="s">
        <v>24</v>
      </c>
      <c r="AN1" s="127" t="s">
        <v>25</v>
      </c>
      <c r="AO1" s="141"/>
      <c r="AP1" s="115"/>
      <c r="AR1" s="100" t="s">
        <v>11</v>
      </c>
      <c r="AS1" s="94" t="s">
        <v>12</v>
      </c>
      <c r="AT1" s="96" t="s">
        <v>13</v>
      </c>
      <c r="AU1" s="98" t="s">
        <v>26</v>
      </c>
      <c r="AV1" s="100" t="s">
        <v>14</v>
      </c>
      <c r="AW1" s="94" t="s">
        <v>29</v>
      </c>
      <c r="AX1" s="96" t="s">
        <v>30</v>
      </c>
      <c r="AY1" s="139" t="s">
        <v>31</v>
      </c>
      <c r="AZ1" s="134" t="s">
        <v>27</v>
      </c>
      <c r="BA1" s="136" t="s">
        <v>28</v>
      </c>
      <c r="BB1" s="135" t="s">
        <v>16</v>
      </c>
      <c r="BC1" s="138" t="s">
        <v>17</v>
      </c>
    </row>
    <row r="2" spans="1:61" ht="16" thickBot="1" x14ac:dyDescent="0.25">
      <c r="A2" s="103"/>
      <c r="B2" s="112"/>
      <c r="C2" s="105"/>
      <c r="D2" s="107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24"/>
      <c r="AL2" s="126"/>
      <c r="AM2" s="133"/>
      <c r="AN2" s="128"/>
      <c r="AO2" s="142"/>
      <c r="AP2" s="116"/>
      <c r="AR2" s="101"/>
      <c r="AS2" s="95"/>
      <c r="AT2" s="97"/>
      <c r="AU2" s="99"/>
      <c r="AV2" s="101"/>
      <c r="AW2" s="95"/>
      <c r="AX2" s="97"/>
      <c r="AY2" s="140"/>
      <c r="AZ2" s="135"/>
      <c r="BA2" s="137"/>
      <c r="BB2" s="135"/>
      <c r="BC2" s="13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90</v>
      </c>
      <c r="F4" s="20"/>
      <c r="G4" s="20">
        <v>90</v>
      </c>
      <c r="H4" s="20"/>
      <c r="I4" s="20">
        <v>0</v>
      </c>
      <c r="J4" s="20"/>
      <c r="K4" s="20">
        <v>0</v>
      </c>
      <c r="L4" s="21"/>
      <c r="M4" s="19">
        <v>90</v>
      </c>
      <c r="N4" s="20"/>
      <c r="O4" s="20">
        <v>92</v>
      </c>
      <c r="P4" s="20"/>
      <c r="Q4" s="20">
        <v>0</v>
      </c>
      <c r="R4" s="20"/>
      <c r="S4" s="20">
        <v>0</v>
      </c>
      <c r="T4" s="21"/>
      <c r="U4" s="19">
        <v>92</v>
      </c>
      <c r="V4" s="20"/>
      <c r="W4" s="20">
        <v>91</v>
      </c>
      <c r="X4" s="20"/>
      <c r="Y4" s="20">
        <v>0</v>
      </c>
      <c r="Z4" s="20"/>
      <c r="AA4" s="20">
        <v>0</v>
      </c>
      <c r="AB4" s="21"/>
      <c r="AC4" s="1">
        <v>90</v>
      </c>
      <c r="AD4" s="20"/>
      <c r="AE4" s="20">
        <v>93</v>
      </c>
      <c r="AF4" s="20"/>
      <c r="AG4" s="20">
        <v>0</v>
      </c>
      <c r="AH4" s="20"/>
      <c r="AI4" s="20">
        <v>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45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45.5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45.75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45.75</v>
      </c>
      <c r="AO4" s="49">
        <f t="shared" ref="AO4:AO47" si="8">AVERAGE(AK4:AN4)</f>
        <v>45.5</v>
      </c>
      <c r="AP4" s="38"/>
      <c r="AR4" s="55">
        <f t="shared" ref="AR4:AR47" si="9">IF(AO4&lt;70, AO4*0.5, "")</f>
        <v>22.75</v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 t="str">
        <f t="shared" ref="BB4:BB47" si="16">IF(AW4&lt;&gt;"", IF(AY4&gt;=70, AY4, IF(AZ4+BA4&gt;=70, AZ4+BA4, "")),
   IF(AS4&lt;&gt;"", IF(AU4&gt;=70, AU4, ""),
   IF(AO4&gt;=70, AO4, "")))</f>
        <v/>
      </c>
      <c r="BC4" s="65">
        <f t="shared" ref="BC4:BC47" si="17">IF(AW4&lt;&gt;"", IF(AY4&lt;70, IF(AZ4+BA4&lt;70, AZ4+BA4, ""), ""), IF(AS4&lt;&gt;"", IF(AU4&lt;70, AU4, ""), IF(AO4&lt;70, AO4, "")))</f>
        <v>45.5</v>
      </c>
      <c r="BE4" s="20">
        <f t="shared" si="0"/>
        <v>90.5</v>
      </c>
      <c r="BF4" s="20">
        <f t="shared" si="1"/>
        <v>91.5</v>
      </c>
      <c r="BG4" s="93">
        <f t="shared" si="2"/>
        <v>0</v>
      </c>
      <c r="BH4" s="20">
        <f t="shared" si="3"/>
        <v>0</v>
      </c>
      <c r="BI4" s="20">
        <f>AVERAGE(BE4:BH4)</f>
        <v>45.5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89</v>
      </c>
      <c r="F5" s="20"/>
      <c r="G5" s="20">
        <v>93</v>
      </c>
      <c r="H5" s="20"/>
      <c r="I5" s="20">
        <v>90</v>
      </c>
      <c r="J5" s="20"/>
      <c r="K5" s="20">
        <v>90</v>
      </c>
      <c r="L5" s="21"/>
      <c r="M5" s="19">
        <v>90</v>
      </c>
      <c r="N5" s="20"/>
      <c r="O5" s="20">
        <v>92</v>
      </c>
      <c r="P5" s="20"/>
      <c r="Q5" s="20">
        <v>91</v>
      </c>
      <c r="R5" s="20"/>
      <c r="S5" s="20">
        <v>90</v>
      </c>
      <c r="T5" s="21"/>
      <c r="U5" s="19">
        <v>89</v>
      </c>
      <c r="V5" s="20"/>
      <c r="W5" s="20">
        <v>98</v>
      </c>
      <c r="X5" s="20"/>
      <c r="Y5" s="20">
        <v>92</v>
      </c>
      <c r="Z5" s="20"/>
      <c r="AA5" s="20"/>
      <c r="AB5" s="21"/>
      <c r="AC5" s="1">
        <v>89</v>
      </c>
      <c r="AD5" s="20"/>
      <c r="AE5" s="20">
        <v>91</v>
      </c>
      <c r="AF5" s="20"/>
      <c r="AG5" s="20">
        <v>90</v>
      </c>
      <c r="AH5" s="20"/>
      <c r="AI5" s="20"/>
      <c r="AJ5" s="3"/>
      <c r="AK5" s="45">
        <f t="shared" si="4"/>
        <v>90.5</v>
      </c>
      <c r="AL5" s="46">
        <f t="shared" si="5"/>
        <v>90.75</v>
      </c>
      <c r="AM5" s="47">
        <f t="shared" si="6"/>
        <v>69.75</v>
      </c>
      <c r="AN5" s="48">
        <f t="shared" si="7"/>
        <v>67.5</v>
      </c>
      <c r="AO5" s="49">
        <f t="shared" si="8"/>
        <v>79.625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79.625</v>
      </c>
      <c r="BC5" s="65" t="str">
        <f t="shared" si="17"/>
        <v/>
      </c>
      <c r="BE5" s="20">
        <f>SUM(E5+M5+U5+AC5)/4</f>
        <v>89.25</v>
      </c>
      <c r="BF5" s="20">
        <f>SUM(G5+O5+W5+AE5)/4</f>
        <v>93.5</v>
      </c>
      <c r="BG5" s="93">
        <f>SUM(I5+Q5+Y5+AG5)/4</f>
        <v>90.75</v>
      </c>
      <c r="BH5" s="20">
        <f>SUM(K5+S5+AA5+AI5)/4</f>
        <v>45</v>
      </c>
      <c r="BI5" s="20">
        <f>AVERAGE(BE5:BH5)</f>
        <v>79.625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88</v>
      </c>
      <c r="H6" s="20"/>
      <c r="I6" s="20">
        <v>92</v>
      </c>
      <c r="J6" s="20"/>
      <c r="K6" s="20">
        <v>90</v>
      </c>
      <c r="L6" s="21"/>
      <c r="M6" s="19">
        <v>89</v>
      </c>
      <c r="N6" s="20"/>
      <c r="O6" s="20">
        <v>93</v>
      </c>
      <c r="P6" s="20"/>
      <c r="Q6" s="20">
        <v>90</v>
      </c>
      <c r="R6" s="20"/>
      <c r="S6" s="20">
        <v>92</v>
      </c>
      <c r="T6" s="21"/>
      <c r="U6" s="19">
        <v>90</v>
      </c>
      <c r="V6" s="20"/>
      <c r="W6" s="20">
        <v>89</v>
      </c>
      <c r="X6" s="20"/>
      <c r="Y6" s="20">
        <v>89</v>
      </c>
      <c r="Z6" s="20"/>
      <c r="AA6" s="20"/>
      <c r="AB6" s="21"/>
      <c r="AC6" s="1">
        <v>90</v>
      </c>
      <c r="AD6" s="20"/>
      <c r="AE6" s="20">
        <v>90</v>
      </c>
      <c r="AF6" s="20"/>
      <c r="AG6" s="20">
        <v>92</v>
      </c>
      <c r="AH6" s="20"/>
      <c r="AI6" s="20"/>
      <c r="AJ6" s="3"/>
      <c r="AK6" s="45">
        <f t="shared" si="4"/>
        <v>90</v>
      </c>
      <c r="AL6" s="46">
        <f t="shared" si="5"/>
        <v>91</v>
      </c>
      <c r="AM6" s="47">
        <f t="shared" si="6"/>
        <v>67</v>
      </c>
      <c r="AN6" s="48">
        <f t="shared" si="7"/>
        <v>68</v>
      </c>
      <c r="AO6" s="49">
        <f t="shared" si="8"/>
        <v>79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79</v>
      </c>
      <c r="BC6" s="65" t="str">
        <f t="shared" si="17"/>
        <v/>
      </c>
      <c r="BE6" s="20">
        <f t="shared" ref="BE6:BE47" si="18">SUM(E6+M6+U6+AC6)/4</f>
        <v>89.75</v>
      </c>
      <c r="BF6" s="20">
        <f t="shared" ref="BF6:BF47" si="19">SUM(G6+O6+W6+AE6)/4</f>
        <v>90</v>
      </c>
      <c r="BG6" s="93">
        <f t="shared" ref="BG6:BG47" si="20">SUM(I6+Q6+Y6+AG6)/4</f>
        <v>90.75</v>
      </c>
      <c r="BH6" s="20">
        <f t="shared" ref="BH6:BH47" si="21">SUM(K6+S6+AA6+AI6)/4</f>
        <v>45.5</v>
      </c>
      <c r="BI6" s="20">
        <f t="shared" ref="BI6:BI47" si="22">AVERAGE(BE6:BH6)</f>
        <v>79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88</v>
      </c>
      <c r="H7" s="20"/>
      <c r="I7" s="20">
        <v>90</v>
      </c>
      <c r="J7" s="20"/>
      <c r="K7" s="20">
        <v>90</v>
      </c>
      <c r="L7" s="21"/>
      <c r="M7" s="19">
        <v>90</v>
      </c>
      <c r="N7" s="20"/>
      <c r="O7" s="20">
        <v>92</v>
      </c>
      <c r="P7" s="20"/>
      <c r="Q7" s="20">
        <v>90</v>
      </c>
      <c r="R7" s="20"/>
      <c r="S7" s="20">
        <v>89</v>
      </c>
      <c r="T7" s="21"/>
      <c r="U7" s="19">
        <v>92</v>
      </c>
      <c r="V7" s="20"/>
      <c r="W7" s="20">
        <v>90</v>
      </c>
      <c r="X7" s="20"/>
      <c r="Y7" s="20">
        <v>93</v>
      </c>
      <c r="Z7" s="20"/>
      <c r="AA7" s="20"/>
      <c r="AB7" s="21"/>
      <c r="AC7" s="1">
        <v>88</v>
      </c>
      <c r="AD7" s="20"/>
      <c r="AE7" s="20">
        <v>93</v>
      </c>
      <c r="AF7" s="20"/>
      <c r="AG7" s="20">
        <v>90</v>
      </c>
      <c r="AH7" s="20"/>
      <c r="AI7" s="20"/>
      <c r="AJ7" s="3"/>
      <c r="AK7" s="45">
        <f t="shared" si="4"/>
        <v>89.5</v>
      </c>
      <c r="AL7" s="46">
        <f t="shared" si="5"/>
        <v>90.25</v>
      </c>
      <c r="AM7" s="47">
        <f t="shared" si="6"/>
        <v>68.75</v>
      </c>
      <c r="AN7" s="48">
        <f t="shared" si="7"/>
        <v>67.75</v>
      </c>
      <c r="AO7" s="49">
        <f t="shared" si="8"/>
        <v>79.0625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79.0625</v>
      </c>
      <c r="BC7" s="65" t="str">
        <f t="shared" si="17"/>
        <v/>
      </c>
      <c r="BE7" s="20">
        <f t="shared" si="18"/>
        <v>90</v>
      </c>
      <c r="BF7" s="20">
        <f t="shared" si="19"/>
        <v>90.75</v>
      </c>
      <c r="BG7" s="93">
        <f t="shared" si="20"/>
        <v>90.75</v>
      </c>
      <c r="BH7" s="20">
        <f t="shared" si="21"/>
        <v>44.75</v>
      </c>
      <c r="BI7" s="20">
        <f t="shared" si="22"/>
        <v>79.0625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79</v>
      </c>
      <c r="H8" s="20"/>
      <c r="I8" s="20">
        <v>80</v>
      </c>
      <c r="J8" s="20"/>
      <c r="K8" s="20">
        <v>78</v>
      </c>
      <c r="L8" s="21"/>
      <c r="M8" s="19">
        <v>79</v>
      </c>
      <c r="N8" s="20"/>
      <c r="O8" s="20">
        <v>80</v>
      </c>
      <c r="P8" s="20"/>
      <c r="Q8" s="20">
        <v>79</v>
      </c>
      <c r="R8" s="20"/>
      <c r="S8" s="20">
        <v>79</v>
      </c>
      <c r="T8" s="21"/>
      <c r="U8" s="19">
        <v>80</v>
      </c>
      <c r="V8" s="20"/>
      <c r="W8" s="20">
        <v>85</v>
      </c>
      <c r="X8" s="20"/>
      <c r="Y8" s="20">
        <v>83</v>
      </c>
      <c r="Z8" s="20"/>
      <c r="AA8" s="20"/>
      <c r="AB8" s="21"/>
      <c r="AC8" s="1">
        <v>85</v>
      </c>
      <c r="AD8" s="20"/>
      <c r="AE8" s="20">
        <v>87</v>
      </c>
      <c r="AF8" s="20"/>
      <c r="AG8" s="20">
        <v>88</v>
      </c>
      <c r="AH8" s="20"/>
      <c r="AI8" s="20"/>
      <c r="AJ8" s="3"/>
      <c r="AK8" s="45">
        <f t="shared" si="4"/>
        <v>79.25</v>
      </c>
      <c r="AL8" s="46">
        <f t="shared" si="5"/>
        <v>79.25</v>
      </c>
      <c r="AM8" s="47">
        <f t="shared" si="6"/>
        <v>62</v>
      </c>
      <c r="AN8" s="48">
        <f t="shared" si="7"/>
        <v>65</v>
      </c>
      <c r="AO8" s="49">
        <f t="shared" si="8"/>
        <v>71.375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71.375</v>
      </c>
      <c r="BC8" s="65" t="str">
        <f t="shared" si="17"/>
        <v/>
      </c>
      <c r="BE8" s="20">
        <f t="shared" si="18"/>
        <v>81</v>
      </c>
      <c r="BF8" s="20">
        <f t="shared" si="19"/>
        <v>82.75</v>
      </c>
      <c r="BG8" s="93">
        <f t="shared" si="20"/>
        <v>82.5</v>
      </c>
      <c r="BH8" s="20">
        <f t="shared" si="21"/>
        <v>39.25</v>
      </c>
      <c r="BI8" s="20">
        <f t="shared" si="22"/>
        <v>71.375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89</v>
      </c>
      <c r="F9" s="20"/>
      <c r="G9" s="20">
        <v>90</v>
      </c>
      <c r="H9" s="20"/>
      <c r="I9" s="20">
        <v>90</v>
      </c>
      <c r="J9" s="20"/>
      <c r="K9" s="20">
        <v>94</v>
      </c>
      <c r="L9" s="21"/>
      <c r="M9" s="19">
        <v>92</v>
      </c>
      <c r="N9" s="20"/>
      <c r="O9" s="20">
        <v>89</v>
      </c>
      <c r="P9" s="20"/>
      <c r="Q9" s="20">
        <v>90</v>
      </c>
      <c r="R9" s="20"/>
      <c r="S9" s="20">
        <v>90</v>
      </c>
      <c r="T9" s="21"/>
      <c r="U9" s="19">
        <v>89</v>
      </c>
      <c r="V9" s="20"/>
      <c r="W9" s="20">
        <v>91</v>
      </c>
      <c r="X9" s="20"/>
      <c r="Y9" s="20">
        <v>90</v>
      </c>
      <c r="Z9" s="20"/>
      <c r="AA9" s="20"/>
      <c r="AB9" s="21"/>
      <c r="AC9" s="1">
        <v>85</v>
      </c>
      <c r="AD9" s="20"/>
      <c r="AE9" s="20">
        <v>91</v>
      </c>
      <c r="AF9" s="20"/>
      <c r="AG9" s="20">
        <v>90</v>
      </c>
      <c r="AH9" s="20"/>
      <c r="AI9" s="20"/>
      <c r="AJ9" s="3"/>
      <c r="AK9" s="45">
        <f t="shared" si="4"/>
        <v>90.75</v>
      </c>
      <c r="AL9" s="46">
        <f t="shared" si="5"/>
        <v>90.25</v>
      </c>
      <c r="AM9" s="47">
        <f t="shared" si="6"/>
        <v>67.5</v>
      </c>
      <c r="AN9" s="48">
        <f t="shared" si="7"/>
        <v>66.5</v>
      </c>
      <c r="AO9" s="49">
        <f t="shared" si="8"/>
        <v>78.75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78.75</v>
      </c>
      <c r="BC9" s="65" t="str">
        <f t="shared" si="17"/>
        <v/>
      </c>
      <c r="BE9" s="20">
        <f t="shared" si="18"/>
        <v>88.75</v>
      </c>
      <c r="BF9" s="20">
        <f t="shared" si="19"/>
        <v>90.25</v>
      </c>
      <c r="BG9" s="93">
        <f t="shared" si="20"/>
        <v>90</v>
      </c>
      <c r="BH9" s="20">
        <f t="shared" si="21"/>
        <v>46</v>
      </c>
      <c r="BI9" s="20">
        <f t="shared" si="22"/>
        <v>78.75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78</v>
      </c>
      <c r="F10" s="20"/>
      <c r="G10" s="20">
        <v>79</v>
      </c>
      <c r="H10" s="20"/>
      <c r="I10" s="20">
        <v>80</v>
      </c>
      <c r="J10" s="20"/>
      <c r="K10" s="20">
        <v>77</v>
      </c>
      <c r="L10" s="21"/>
      <c r="M10" s="19">
        <v>76</v>
      </c>
      <c r="N10" s="20"/>
      <c r="O10" s="20">
        <v>75</v>
      </c>
      <c r="P10" s="20"/>
      <c r="Q10" s="20">
        <v>80</v>
      </c>
      <c r="R10" s="20"/>
      <c r="S10" s="20">
        <v>82</v>
      </c>
      <c r="T10" s="21"/>
      <c r="U10" s="19">
        <v>78</v>
      </c>
      <c r="V10" s="20"/>
      <c r="W10" s="20">
        <v>79</v>
      </c>
      <c r="X10" s="20"/>
      <c r="Y10" s="20">
        <v>80</v>
      </c>
      <c r="Z10" s="20"/>
      <c r="AA10" s="20"/>
      <c r="AB10" s="21"/>
      <c r="AC10" s="1">
        <v>79</v>
      </c>
      <c r="AD10" s="20"/>
      <c r="AE10" s="20">
        <v>77</v>
      </c>
      <c r="AF10" s="20"/>
      <c r="AG10" s="20">
        <v>85</v>
      </c>
      <c r="AH10" s="20"/>
      <c r="AI10" s="20"/>
      <c r="AJ10" s="3"/>
      <c r="AK10" s="45">
        <f t="shared" si="4"/>
        <v>78.5</v>
      </c>
      <c r="AL10" s="46">
        <f t="shared" si="5"/>
        <v>78.25</v>
      </c>
      <c r="AM10" s="47">
        <f t="shared" si="6"/>
        <v>59.25</v>
      </c>
      <c r="AN10" s="48">
        <f t="shared" si="7"/>
        <v>60.25</v>
      </c>
      <c r="AO10" s="49">
        <f t="shared" si="8"/>
        <v>69.0625</v>
      </c>
      <c r="AP10" s="38"/>
      <c r="AR10" s="55">
        <f t="shared" si="9"/>
        <v>34.53125</v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 t="str">
        <f t="shared" si="16"/>
        <v/>
      </c>
      <c r="BC10" s="65">
        <f t="shared" si="17"/>
        <v>69.0625</v>
      </c>
      <c r="BE10" s="20">
        <f t="shared" si="18"/>
        <v>77.75</v>
      </c>
      <c r="BF10" s="20">
        <f t="shared" si="19"/>
        <v>77.5</v>
      </c>
      <c r="BG10" s="93">
        <f t="shared" si="20"/>
        <v>81.25</v>
      </c>
      <c r="BH10" s="20">
        <f t="shared" si="21"/>
        <v>39.75</v>
      </c>
      <c r="BI10" s="20">
        <f t="shared" si="22"/>
        <v>69.0625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90</v>
      </c>
      <c r="F11" s="20"/>
      <c r="G11" s="20">
        <v>88</v>
      </c>
      <c r="H11" s="20"/>
      <c r="I11" s="20">
        <v>90</v>
      </c>
      <c r="J11" s="20"/>
      <c r="K11" s="20">
        <v>92</v>
      </c>
      <c r="L11" s="21"/>
      <c r="M11" s="19">
        <v>90</v>
      </c>
      <c r="N11" s="20"/>
      <c r="O11" s="20">
        <v>87</v>
      </c>
      <c r="P11" s="20"/>
      <c r="Q11" s="20">
        <v>93</v>
      </c>
      <c r="R11" s="20"/>
      <c r="S11" s="20">
        <v>90</v>
      </c>
      <c r="T11" s="21"/>
      <c r="U11" s="19">
        <v>89</v>
      </c>
      <c r="V11" s="20"/>
      <c r="W11" s="20">
        <v>92</v>
      </c>
      <c r="X11" s="20"/>
      <c r="Y11" s="20">
        <v>88</v>
      </c>
      <c r="Z11" s="20"/>
      <c r="AA11" s="20"/>
      <c r="AB11" s="21"/>
      <c r="AC11" s="1">
        <v>91</v>
      </c>
      <c r="AD11" s="20"/>
      <c r="AE11" s="20">
        <v>89</v>
      </c>
      <c r="AF11" s="20"/>
      <c r="AG11" s="20">
        <v>90</v>
      </c>
      <c r="AH11" s="20"/>
      <c r="AI11" s="20"/>
      <c r="AJ11" s="3"/>
      <c r="AK11" s="45">
        <f t="shared" si="4"/>
        <v>90</v>
      </c>
      <c r="AL11" s="46">
        <f t="shared" si="5"/>
        <v>90</v>
      </c>
      <c r="AM11" s="47">
        <f t="shared" si="6"/>
        <v>67.25</v>
      </c>
      <c r="AN11" s="48">
        <f t="shared" si="7"/>
        <v>67.5</v>
      </c>
      <c r="AO11" s="49">
        <f t="shared" si="8"/>
        <v>78.6875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78.6875</v>
      </c>
      <c r="BC11" s="65" t="str">
        <f t="shared" si="17"/>
        <v/>
      </c>
      <c r="BE11" s="20">
        <f t="shared" si="18"/>
        <v>90</v>
      </c>
      <c r="BF11" s="20">
        <f t="shared" si="19"/>
        <v>89</v>
      </c>
      <c r="BG11" s="93">
        <f t="shared" si="20"/>
        <v>90.25</v>
      </c>
      <c r="BH11" s="20">
        <f t="shared" si="21"/>
        <v>45.5</v>
      </c>
      <c r="BI11" s="20">
        <f t="shared" si="22"/>
        <v>78.6875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79</v>
      </c>
      <c r="F13" s="20"/>
      <c r="G13" s="20">
        <v>80</v>
      </c>
      <c r="H13" s="20"/>
      <c r="I13" s="20">
        <v>78</v>
      </c>
      <c r="J13" s="20"/>
      <c r="K13" s="20">
        <v>79</v>
      </c>
      <c r="L13" s="21"/>
      <c r="M13" s="19">
        <v>77</v>
      </c>
      <c r="N13" s="20"/>
      <c r="O13" s="20">
        <v>76</v>
      </c>
      <c r="P13" s="20"/>
      <c r="Q13" s="20">
        <v>77</v>
      </c>
      <c r="R13" s="20"/>
      <c r="S13" s="20">
        <v>75</v>
      </c>
      <c r="T13" s="21"/>
      <c r="U13" s="19">
        <v>73</v>
      </c>
      <c r="V13" s="20"/>
      <c r="W13" s="20">
        <v>74</v>
      </c>
      <c r="X13" s="20"/>
      <c r="Y13" s="20">
        <v>75</v>
      </c>
      <c r="Z13" s="20"/>
      <c r="AA13" s="20">
        <v>76</v>
      </c>
      <c r="AB13" s="21"/>
      <c r="AC13" s="1">
        <v>77</v>
      </c>
      <c r="AD13" s="20"/>
      <c r="AE13" s="20">
        <v>78</v>
      </c>
      <c r="AF13" s="20"/>
      <c r="AG13" s="20">
        <v>79</v>
      </c>
      <c r="AH13" s="20"/>
      <c r="AI13" s="20"/>
      <c r="AJ13" s="3"/>
      <c r="AK13" s="45">
        <f t="shared" si="4"/>
        <v>79</v>
      </c>
      <c r="AL13" s="46">
        <f t="shared" si="5"/>
        <v>76.25</v>
      </c>
      <c r="AM13" s="47">
        <f t="shared" si="6"/>
        <v>74.5</v>
      </c>
      <c r="AN13" s="48">
        <f t="shared" si="7"/>
        <v>58.5</v>
      </c>
      <c r="AO13" s="49">
        <f t="shared" si="8"/>
        <v>72.0625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72.0625</v>
      </c>
      <c r="BC13" s="65" t="str">
        <f t="shared" si="17"/>
        <v/>
      </c>
      <c r="BE13" s="20">
        <f t="shared" si="18"/>
        <v>76.5</v>
      </c>
      <c r="BF13" s="20">
        <f t="shared" si="19"/>
        <v>77</v>
      </c>
      <c r="BG13" s="93">
        <f t="shared" si="20"/>
        <v>77.25</v>
      </c>
      <c r="BH13" s="20">
        <f t="shared" si="21"/>
        <v>57.5</v>
      </c>
      <c r="BI13" s="20">
        <f t="shared" si="22"/>
        <v>72.0625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89</v>
      </c>
      <c r="H14" s="20"/>
      <c r="I14" s="20">
        <v>90</v>
      </c>
      <c r="J14" s="20"/>
      <c r="K14" s="20">
        <v>89</v>
      </c>
      <c r="L14" s="21"/>
      <c r="M14" s="19">
        <v>90</v>
      </c>
      <c r="N14" s="20"/>
      <c r="O14" s="20">
        <v>91</v>
      </c>
      <c r="P14" s="20"/>
      <c r="Q14" s="20">
        <v>92</v>
      </c>
      <c r="R14" s="20"/>
      <c r="S14" s="20">
        <v>90</v>
      </c>
      <c r="T14" s="21"/>
      <c r="U14" s="19">
        <v>89</v>
      </c>
      <c r="V14" s="20"/>
      <c r="W14" s="20">
        <v>88</v>
      </c>
      <c r="X14" s="20"/>
      <c r="Y14" s="20">
        <v>90</v>
      </c>
      <c r="Z14" s="20"/>
      <c r="AA14" s="20">
        <v>89</v>
      </c>
      <c r="AB14" s="21"/>
      <c r="AC14" s="1">
        <v>90</v>
      </c>
      <c r="AD14" s="20"/>
      <c r="AE14" s="20">
        <v>89</v>
      </c>
      <c r="AF14" s="20"/>
      <c r="AG14" s="20">
        <v>90</v>
      </c>
      <c r="AH14" s="20"/>
      <c r="AI14" s="20"/>
      <c r="AJ14" s="3"/>
      <c r="AK14" s="45">
        <f t="shared" si="4"/>
        <v>89.5</v>
      </c>
      <c r="AL14" s="46">
        <f t="shared" si="5"/>
        <v>90.75</v>
      </c>
      <c r="AM14" s="47">
        <f t="shared" si="6"/>
        <v>89</v>
      </c>
      <c r="AN14" s="48">
        <f t="shared" si="7"/>
        <v>67.25</v>
      </c>
      <c r="AO14" s="49">
        <f t="shared" si="8"/>
        <v>84.125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84.125</v>
      </c>
      <c r="BC14" s="65" t="str">
        <f t="shared" si="17"/>
        <v/>
      </c>
      <c r="BE14" s="20">
        <f t="shared" si="18"/>
        <v>89.75</v>
      </c>
      <c r="BF14" s="20">
        <f t="shared" si="19"/>
        <v>89.25</v>
      </c>
      <c r="BG14" s="93">
        <f t="shared" si="20"/>
        <v>90.5</v>
      </c>
      <c r="BH14" s="20">
        <f t="shared" si="21"/>
        <v>67</v>
      </c>
      <c r="BI14" s="20">
        <f t="shared" si="22"/>
        <v>84.125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89</v>
      </c>
      <c r="F15" s="20"/>
      <c r="G15" s="20">
        <v>88</v>
      </c>
      <c r="H15" s="20"/>
      <c r="I15" s="20">
        <v>85</v>
      </c>
      <c r="J15" s="20"/>
      <c r="K15" s="20">
        <v>88</v>
      </c>
      <c r="L15" s="21"/>
      <c r="M15" s="19">
        <v>87</v>
      </c>
      <c r="N15" s="20"/>
      <c r="O15" s="20">
        <v>88</v>
      </c>
      <c r="P15" s="20"/>
      <c r="Q15" s="20">
        <v>89</v>
      </c>
      <c r="R15" s="20"/>
      <c r="S15" s="20">
        <v>88</v>
      </c>
      <c r="T15" s="21"/>
      <c r="U15" s="19"/>
      <c r="V15" s="20"/>
      <c r="W15" s="20"/>
      <c r="X15" s="20"/>
      <c r="Y15" s="20"/>
      <c r="Z15" s="20"/>
      <c r="AA15" s="20"/>
      <c r="AB15" s="21"/>
      <c r="AC15" s="1"/>
      <c r="AD15" s="20"/>
      <c r="AE15" s="20"/>
      <c r="AF15" s="20"/>
      <c r="AG15" s="20"/>
      <c r="AH15" s="20"/>
      <c r="AI15" s="20"/>
      <c r="AJ15" s="3"/>
      <c r="AK15" s="45">
        <f t="shared" si="4"/>
        <v>87.5</v>
      </c>
      <c r="AL15" s="46">
        <f t="shared" si="5"/>
        <v>88</v>
      </c>
      <c r="AM15" s="47">
        <f t="shared" si="6"/>
        <v>0</v>
      </c>
      <c r="AN15" s="48">
        <f t="shared" si="7"/>
        <v>0</v>
      </c>
      <c r="AO15" s="49">
        <f t="shared" si="8"/>
        <v>43.875</v>
      </c>
      <c r="AP15" s="38"/>
      <c r="AR15" s="55">
        <f t="shared" si="9"/>
        <v>21.9375</v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 t="str">
        <f t="shared" si="16"/>
        <v/>
      </c>
      <c r="BC15" s="65">
        <f t="shared" si="17"/>
        <v>43.875</v>
      </c>
      <c r="BE15" s="20">
        <f t="shared" si="18"/>
        <v>44</v>
      </c>
      <c r="BF15" s="20">
        <f t="shared" si="19"/>
        <v>44</v>
      </c>
      <c r="BG15" s="93">
        <f t="shared" si="20"/>
        <v>43.5</v>
      </c>
      <c r="BH15" s="20">
        <f t="shared" si="21"/>
        <v>44</v>
      </c>
      <c r="BI15" s="20">
        <f t="shared" si="22"/>
        <v>43.875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79</v>
      </c>
      <c r="H17" s="20"/>
      <c r="I17" s="20">
        <v>80</v>
      </c>
      <c r="J17" s="20"/>
      <c r="K17" s="20">
        <v>86</v>
      </c>
      <c r="L17" s="21"/>
      <c r="M17" s="19">
        <v>88</v>
      </c>
      <c r="N17" s="20"/>
      <c r="O17" s="20">
        <v>79</v>
      </c>
      <c r="P17" s="20"/>
      <c r="Q17" s="20">
        <v>82</v>
      </c>
      <c r="R17" s="20"/>
      <c r="S17" s="20">
        <v>85</v>
      </c>
      <c r="T17" s="21"/>
      <c r="U17" s="19">
        <v>86</v>
      </c>
      <c r="V17" s="20"/>
      <c r="W17" s="20">
        <v>87</v>
      </c>
      <c r="X17" s="20"/>
      <c r="Y17" s="20">
        <v>85</v>
      </c>
      <c r="Z17" s="20"/>
      <c r="AA17" s="20">
        <v>87</v>
      </c>
      <c r="AB17" s="21"/>
      <c r="AC17" s="1">
        <v>86</v>
      </c>
      <c r="AD17" s="20"/>
      <c r="AE17" s="20">
        <v>80</v>
      </c>
      <c r="AF17" s="20"/>
      <c r="AG17" s="20">
        <v>88</v>
      </c>
      <c r="AH17" s="20"/>
      <c r="AI17" s="20"/>
      <c r="AJ17" s="3"/>
      <c r="AK17" s="45">
        <f t="shared" si="4"/>
        <v>80.75</v>
      </c>
      <c r="AL17" s="46">
        <f t="shared" si="5"/>
        <v>83.5</v>
      </c>
      <c r="AM17" s="47">
        <f t="shared" si="6"/>
        <v>86.25</v>
      </c>
      <c r="AN17" s="48">
        <f t="shared" si="7"/>
        <v>63.5</v>
      </c>
      <c r="AO17" s="49">
        <f t="shared" si="8"/>
        <v>78.5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78.5</v>
      </c>
      <c r="BC17" s="65" t="str">
        <f t="shared" si="17"/>
        <v/>
      </c>
      <c r="BE17" s="20">
        <f t="shared" si="18"/>
        <v>84.5</v>
      </c>
      <c r="BF17" s="20">
        <f t="shared" si="19"/>
        <v>81.25</v>
      </c>
      <c r="BG17" s="93">
        <f t="shared" si="20"/>
        <v>83.75</v>
      </c>
      <c r="BH17" s="20">
        <f t="shared" si="21"/>
        <v>64.5</v>
      </c>
      <c r="BI17" s="20">
        <f t="shared" si="22"/>
        <v>78.5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88</v>
      </c>
      <c r="H18" s="20"/>
      <c r="I18" s="20">
        <v>89</v>
      </c>
      <c r="J18" s="20"/>
      <c r="K18" s="20">
        <v>94</v>
      </c>
      <c r="L18" s="21"/>
      <c r="M18" s="19">
        <v>90</v>
      </c>
      <c r="N18" s="20"/>
      <c r="O18" s="20">
        <v>89</v>
      </c>
      <c r="P18" s="20"/>
      <c r="Q18" s="20">
        <v>92</v>
      </c>
      <c r="R18" s="20"/>
      <c r="S18" s="20">
        <v>90</v>
      </c>
      <c r="T18" s="21"/>
      <c r="U18" s="19">
        <v>85</v>
      </c>
      <c r="V18" s="20"/>
      <c r="W18" s="20">
        <v>90</v>
      </c>
      <c r="X18" s="20"/>
      <c r="Y18" s="20">
        <v>88</v>
      </c>
      <c r="Z18" s="20"/>
      <c r="AA18" s="20">
        <v>89</v>
      </c>
      <c r="AB18" s="21"/>
      <c r="AC18" s="1">
        <v>88</v>
      </c>
      <c r="AD18" s="20"/>
      <c r="AE18" s="20">
        <v>90</v>
      </c>
      <c r="AF18" s="20"/>
      <c r="AG18" s="20">
        <v>89</v>
      </c>
      <c r="AH18" s="20"/>
      <c r="AI18" s="20"/>
      <c r="AJ18" s="3"/>
      <c r="AK18" s="45">
        <f t="shared" si="4"/>
        <v>90.25</v>
      </c>
      <c r="AL18" s="46">
        <f t="shared" si="5"/>
        <v>90.25</v>
      </c>
      <c r="AM18" s="47">
        <f t="shared" si="6"/>
        <v>88</v>
      </c>
      <c r="AN18" s="48">
        <f t="shared" si="7"/>
        <v>66.75</v>
      </c>
      <c r="AO18" s="49">
        <f t="shared" si="8"/>
        <v>83.8125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83.8125</v>
      </c>
      <c r="BC18" s="65" t="str">
        <f t="shared" si="17"/>
        <v/>
      </c>
      <c r="BE18" s="20">
        <f t="shared" si="18"/>
        <v>88.25</v>
      </c>
      <c r="BF18" s="20">
        <f t="shared" si="19"/>
        <v>89.25</v>
      </c>
      <c r="BG18" s="93">
        <f t="shared" si="20"/>
        <v>89.5</v>
      </c>
      <c r="BH18" s="20">
        <f t="shared" si="21"/>
        <v>68.25</v>
      </c>
      <c r="BI18" s="20">
        <f t="shared" si="22"/>
        <v>83.8125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89</v>
      </c>
      <c r="F19" s="20"/>
      <c r="G19" s="20">
        <v>90</v>
      </c>
      <c r="H19" s="20"/>
      <c r="I19" s="20">
        <v>90</v>
      </c>
      <c r="J19" s="20"/>
      <c r="K19" s="20">
        <v>95</v>
      </c>
      <c r="L19" s="21"/>
      <c r="M19" s="19">
        <v>88</v>
      </c>
      <c r="N19" s="20"/>
      <c r="O19" s="20">
        <v>90</v>
      </c>
      <c r="P19" s="20"/>
      <c r="Q19" s="20">
        <v>90</v>
      </c>
      <c r="R19" s="20"/>
      <c r="S19" s="20">
        <v>91</v>
      </c>
      <c r="T19" s="21"/>
      <c r="U19" s="19">
        <v>88</v>
      </c>
      <c r="V19" s="20"/>
      <c r="W19" s="20">
        <v>90</v>
      </c>
      <c r="X19" s="20"/>
      <c r="Y19" s="20">
        <v>92</v>
      </c>
      <c r="Z19" s="20"/>
      <c r="AA19" s="20">
        <v>90</v>
      </c>
      <c r="AB19" s="21"/>
      <c r="AC19" s="1">
        <v>92</v>
      </c>
      <c r="AD19" s="20"/>
      <c r="AE19" s="20">
        <v>90</v>
      </c>
      <c r="AF19" s="20"/>
      <c r="AG19" s="20">
        <v>89</v>
      </c>
      <c r="AH19" s="20"/>
      <c r="AI19" s="20"/>
      <c r="AJ19" s="3"/>
      <c r="AK19" s="45">
        <f t="shared" si="4"/>
        <v>91</v>
      </c>
      <c r="AL19" s="46">
        <f t="shared" si="5"/>
        <v>89.75</v>
      </c>
      <c r="AM19" s="47">
        <f t="shared" si="6"/>
        <v>90</v>
      </c>
      <c r="AN19" s="48">
        <f t="shared" si="7"/>
        <v>67.75</v>
      </c>
      <c r="AO19" s="49">
        <f t="shared" si="8"/>
        <v>84.625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84.625</v>
      </c>
      <c r="BC19" s="65" t="str">
        <f t="shared" si="17"/>
        <v/>
      </c>
      <c r="BE19" s="20">
        <f t="shared" si="18"/>
        <v>89.25</v>
      </c>
      <c r="BF19" s="20">
        <f t="shared" si="19"/>
        <v>90</v>
      </c>
      <c r="BG19" s="93">
        <f t="shared" si="20"/>
        <v>90.25</v>
      </c>
      <c r="BH19" s="20">
        <f t="shared" si="21"/>
        <v>69</v>
      </c>
      <c r="BI19" s="20">
        <f t="shared" si="22"/>
        <v>84.625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/>
      <c r="F20" s="20"/>
      <c r="G20" s="20"/>
      <c r="H20" s="20"/>
      <c r="I20" s="20"/>
      <c r="J20" s="20"/>
      <c r="K20" s="20"/>
      <c r="L20" s="21"/>
      <c r="M20" s="19"/>
      <c r="N20" s="20"/>
      <c r="O20" s="20"/>
      <c r="P20" s="20"/>
      <c r="Q20" s="20"/>
      <c r="R20" s="20"/>
      <c r="S20" s="20"/>
      <c r="T20" s="21"/>
      <c r="U20" s="19"/>
      <c r="V20" s="20"/>
      <c r="W20" s="20"/>
      <c r="X20" s="20"/>
      <c r="Y20" s="20"/>
      <c r="Z20" s="20"/>
      <c r="AA20" s="20"/>
      <c r="AB20" s="21"/>
      <c r="AC20" s="1"/>
      <c r="AD20" s="20"/>
      <c r="AE20" s="20"/>
      <c r="AF20" s="20"/>
      <c r="AG20" s="20"/>
      <c r="AH20" s="20"/>
      <c r="AI20" s="20"/>
      <c r="AJ20" s="3"/>
      <c r="AK20" s="45">
        <f t="shared" si="4"/>
        <v>0</v>
      </c>
      <c r="AL20" s="46">
        <f t="shared" si="5"/>
        <v>0</v>
      </c>
      <c r="AM20" s="47">
        <f t="shared" si="6"/>
        <v>0</v>
      </c>
      <c r="AN20" s="48">
        <f t="shared" si="7"/>
        <v>0</v>
      </c>
      <c r="AO20" s="49">
        <f t="shared" si="8"/>
        <v>0</v>
      </c>
      <c r="AP20" s="38"/>
      <c r="AR20" s="55">
        <f t="shared" si="9"/>
        <v>0</v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 t="str">
        <f t="shared" si="16"/>
        <v/>
      </c>
      <c r="BC20" s="65">
        <f t="shared" si="17"/>
        <v>0</v>
      </c>
      <c r="BE20" s="20">
        <f t="shared" si="18"/>
        <v>0</v>
      </c>
      <c r="BF20" s="20">
        <f t="shared" si="19"/>
        <v>0</v>
      </c>
      <c r="BG20" s="93">
        <f t="shared" si="20"/>
        <v>0</v>
      </c>
      <c r="BH20" s="20">
        <f t="shared" si="21"/>
        <v>0</v>
      </c>
      <c r="BI20" s="20">
        <f t="shared" si="22"/>
        <v>0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89</v>
      </c>
      <c r="H21" s="20"/>
      <c r="I21" s="20">
        <v>90</v>
      </c>
      <c r="J21" s="20"/>
      <c r="K21" s="20">
        <v>89</v>
      </c>
      <c r="L21" s="21"/>
      <c r="M21" s="19">
        <v>89</v>
      </c>
      <c r="N21" s="20"/>
      <c r="O21" s="20">
        <v>92</v>
      </c>
      <c r="P21" s="20"/>
      <c r="Q21" s="20">
        <v>91</v>
      </c>
      <c r="R21" s="20"/>
      <c r="S21" s="20">
        <v>92</v>
      </c>
      <c r="T21" s="21"/>
      <c r="U21" s="19">
        <v>89</v>
      </c>
      <c r="V21" s="20"/>
      <c r="W21" s="20">
        <v>90</v>
      </c>
      <c r="X21" s="20"/>
      <c r="Y21" s="20">
        <v>90</v>
      </c>
      <c r="Z21" s="20"/>
      <c r="AA21" s="20">
        <v>92</v>
      </c>
      <c r="AB21" s="21"/>
      <c r="AC21" s="1">
        <v>90</v>
      </c>
      <c r="AD21" s="20"/>
      <c r="AE21" s="20">
        <v>89</v>
      </c>
      <c r="AF21" s="20"/>
      <c r="AG21" s="20">
        <v>90</v>
      </c>
      <c r="AH21" s="20"/>
      <c r="AI21" s="20"/>
      <c r="AJ21" s="3"/>
      <c r="AK21" s="45">
        <f t="shared" si="4"/>
        <v>89.5</v>
      </c>
      <c r="AL21" s="46">
        <f t="shared" si="5"/>
        <v>91</v>
      </c>
      <c r="AM21" s="47">
        <f t="shared" si="6"/>
        <v>90.25</v>
      </c>
      <c r="AN21" s="48">
        <f t="shared" si="7"/>
        <v>67.25</v>
      </c>
      <c r="AO21" s="49">
        <f t="shared" si="8"/>
        <v>84.5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84.5</v>
      </c>
      <c r="BC21" s="65" t="str">
        <f t="shared" si="17"/>
        <v/>
      </c>
      <c r="BE21" s="20">
        <f t="shared" si="18"/>
        <v>89.5</v>
      </c>
      <c r="BF21" s="20">
        <f t="shared" si="19"/>
        <v>90</v>
      </c>
      <c r="BG21" s="93">
        <f t="shared" si="20"/>
        <v>90.25</v>
      </c>
      <c r="BH21" s="20">
        <f t="shared" si="21"/>
        <v>68.25</v>
      </c>
      <c r="BI21" s="20">
        <f t="shared" si="22"/>
        <v>84.5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90</v>
      </c>
      <c r="F22" s="20"/>
      <c r="G22" s="20">
        <v>88</v>
      </c>
      <c r="H22" s="20"/>
      <c r="I22" s="20">
        <v>90</v>
      </c>
      <c r="J22" s="20"/>
      <c r="K22" s="20">
        <v>95</v>
      </c>
      <c r="L22" s="21"/>
      <c r="M22" s="19">
        <v>90</v>
      </c>
      <c r="N22" s="20"/>
      <c r="O22" s="20">
        <v>87</v>
      </c>
      <c r="P22" s="20"/>
      <c r="Q22" s="20">
        <v>89</v>
      </c>
      <c r="R22" s="20"/>
      <c r="S22" s="20">
        <v>90</v>
      </c>
      <c r="T22" s="21"/>
      <c r="U22" s="19">
        <v>90</v>
      </c>
      <c r="V22" s="20"/>
      <c r="W22" s="20">
        <v>88</v>
      </c>
      <c r="X22" s="20"/>
      <c r="Y22" s="20">
        <v>85</v>
      </c>
      <c r="Z22" s="20"/>
      <c r="AA22" s="20">
        <v>87</v>
      </c>
      <c r="AB22" s="21"/>
      <c r="AC22" s="1">
        <v>85</v>
      </c>
      <c r="AD22" s="20"/>
      <c r="AE22" s="20">
        <v>90</v>
      </c>
      <c r="AF22" s="20"/>
      <c r="AG22" s="20">
        <v>87</v>
      </c>
      <c r="AH22" s="20"/>
      <c r="AI22" s="20"/>
      <c r="AJ22" s="3"/>
      <c r="AK22" s="45">
        <f t="shared" si="4"/>
        <v>90.75</v>
      </c>
      <c r="AL22" s="46">
        <f t="shared" si="5"/>
        <v>89</v>
      </c>
      <c r="AM22" s="47">
        <f t="shared" si="6"/>
        <v>87.5</v>
      </c>
      <c r="AN22" s="48">
        <f t="shared" si="7"/>
        <v>65.5</v>
      </c>
      <c r="AO22" s="49">
        <f t="shared" si="8"/>
        <v>83.1875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83.1875</v>
      </c>
      <c r="BC22" s="65" t="str">
        <f t="shared" si="17"/>
        <v/>
      </c>
      <c r="BE22" s="20">
        <f t="shared" si="18"/>
        <v>88.75</v>
      </c>
      <c r="BF22" s="20">
        <f t="shared" si="19"/>
        <v>88.25</v>
      </c>
      <c r="BG22" s="93">
        <f t="shared" si="20"/>
        <v>87.75</v>
      </c>
      <c r="BH22" s="20">
        <f t="shared" si="21"/>
        <v>68</v>
      </c>
      <c r="BI22" s="20">
        <f t="shared" si="22"/>
        <v>83.1875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>
        <v>85</v>
      </c>
      <c r="F24" s="20"/>
      <c r="G24" s="20">
        <v>87</v>
      </c>
      <c r="H24" s="20"/>
      <c r="I24" s="20">
        <v>89</v>
      </c>
      <c r="J24" s="20"/>
      <c r="K24" s="20">
        <v>88</v>
      </c>
      <c r="L24" s="21"/>
      <c r="M24" s="19">
        <v>88</v>
      </c>
      <c r="N24" s="20"/>
      <c r="O24" s="20">
        <v>86</v>
      </c>
      <c r="P24" s="20"/>
      <c r="Q24" s="20">
        <v>87</v>
      </c>
      <c r="R24" s="20"/>
      <c r="S24" s="20">
        <v>87</v>
      </c>
      <c r="T24" s="21"/>
      <c r="U24" s="19">
        <v>87</v>
      </c>
      <c r="V24" s="20"/>
      <c r="W24" s="20">
        <v>86</v>
      </c>
      <c r="X24" s="20"/>
      <c r="Y24" s="20">
        <v>85</v>
      </c>
      <c r="Z24" s="20"/>
      <c r="AA24" s="20">
        <v>87</v>
      </c>
      <c r="AB24" s="21"/>
      <c r="AC24" s="1">
        <v>85</v>
      </c>
      <c r="AD24" s="20"/>
      <c r="AE24" s="20">
        <v>85</v>
      </c>
      <c r="AF24" s="20"/>
      <c r="AG24" s="20">
        <v>87</v>
      </c>
      <c r="AH24" s="20"/>
      <c r="AI24" s="20"/>
      <c r="AJ24" s="3"/>
      <c r="AK24" s="45">
        <f t="shared" si="4"/>
        <v>87.25</v>
      </c>
      <c r="AL24" s="46">
        <f t="shared" si="5"/>
        <v>87</v>
      </c>
      <c r="AM24" s="47">
        <f t="shared" si="6"/>
        <v>86.25</v>
      </c>
      <c r="AN24" s="48">
        <f t="shared" si="7"/>
        <v>64.25</v>
      </c>
      <c r="AO24" s="49">
        <f t="shared" si="8"/>
        <v>81.1875</v>
      </c>
      <c r="AP24" s="38"/>
      <c r="AR24" s="55" t="str">
        <f t="shared" si="9"/>
        <v/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>
        <f t="shared" si="16"/>
        <v>81.1875</v>
      </c>
      <c r="BC24" s="65" t="str">
        <f t="shared" si="17"/>
        <v/>
      </c>
      <c r="BE24" s="20">
        <f t="shared" si="18"/>
        <v>86.25</v>
      </c>
      <c r="BF24" s="20">
        <f t="shared" si="19"/>
        <v>86</v>
      </c>
      <c r="BG24" s="93">
        <f t="shared" si="20"/>
        <v>87</v>
      </c>
      <c r="BH24" s="20">
        <f t="shared" si="21"/>
        <v>65.5</v>
      </c>
      <c r="BI24" s="20">
        <f t="shared" si="22"/>
        <v>81.1875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70</v>
      </c>
      <c r="F25" s="20"/>
      <c r="G25" s="20">
        <v>75</v>
      </c>
      <c r="H25" s="20"/>
      <c r="I25" s="20">
        <v>78</v>
      </c>
      <c r="J25" s="20"/>
      <c r="K25" s="20">
        <v>79</v>
      </c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"/>
      <c r="AD25" s="20"/>
      <c r="AE25" s="20"/>
      <c r="AF25" s="20"/>
      <c r="AG25" s="20"/>
      <c r="AH25" s="20"/>
      <c r="AI25" s="20"/>
      <c r="AJ25" s="3"/>
      <c r="AK25" s="45">
        <f t="shared" si="4"/>
        <v>75.5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18.875</v>
      </c>
      <c r="AP25" s="38"/>
      <c r="AR25" s="55">
        <f t="shared" si="9"/>
        <v>9.4375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18.875</v>
      </c>
      <c r="BE25" s="20">
        <f t="shared" si="18"/>
        <v>17.5</v>
      </c>
      <c r="BF25" s="20">
        <f t="shared" si="19"/>
        <v>18.75</v>
      </c>
      <c r="BG25" s="93">
        <f t="shared" si="20"/>
        <v>19.5</v>
      </c>
      <c r="BH25" s="20">
        <f t="shared" si="21"/>
        <v>19.75</v>
      </c>
      <c r="BI25" s="20">
        <f t="shared" si="22"/>
        <v>18.875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70</v>
      </c>
      <c r="F26" s="20"/>
      <c r="G26" s="20">
        <v>75</v>
      </c>
      <c r="H26" s="20"/>
      <c r="I26" s="20">
        <v>78</v>
      </c>
      <c r="J26" s="20"/>
      <c r="K26" s="20">
        <v>79</v>
      </c>
      <c r="L26" s="21"/>
      <c r="M26" s="19">
        <v>75</v>
      </c>
      <c r="N26" s="20"/>
      <c r="O26" s="20">
        <v>76</v>
      </c>
      <c r="P26" s="20"/>
      <c r="Q26" s="20">
        <v>78</v>
      </c>
      <c r="R26" s="20"/>
      <c r="S26" s="20">
        <v>79</v>
      </c>
      <c r="T26" s="21"/>
      <c r="U26" s="19">
        <v>79</v>
      </c>
      <c r="V26" s="20"/>
      <c r="W26" s="20">
        <v>80</v>
      </c>
      <c r="X26" s="20"/>
      <c r="Y26" s="20">
        <v>82</v>
      </c>
      <c r="Z26" s="20"/>
      <c r="AA26" s="20">
        <v>79</v>
      </c>
      <c r="AB26" s="21"/>
      <c r="AC26" s="1">
        <v>78</v>
      </c>
      <c r="AD26" s="20"/>
      <c r="AE26" s="20">
        <v>79</v>
      </c>
      <c r="AF26" s="20"/>
      <c r="AG26" s="20">
        <v>79</v>
      </c>
      <c r="AH26" s="20"/>
      <c r="AI26" s="20"/>
      <c r="AJ26" s="3"/>
      <c r="AK26" s="45">
        <f t="shared" si="4"/>
        <v>75.5</v>
      </c>
      <c r="AL26" s="46">
        <f t="shared" si="5"/>
        <v>77</v>
      </c>
      <c r="AM26" s="47">
        <f t="shared" si="6"/>
        <v>80</v>
      </c>
      <c r="AN26" s="48">
        <f t="shared" si="7"/>
        <v>59</v>
      </c>
      <c r="AO26" s="49">
        <f t="shared" si="8"/>
        <v>72.875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72.875</v>
      </c>
      <c r="BC26" s="65" t="str">
        <f t="shared" si="17"/>
        <v/>
      </c>
      <c r="BE26" s="20">
        <f t="shared" si="18"/>
        <v>75.5</v>
      </c>
      <c r="BF26" s="20">
        <f t="shared" si="19"/>
        <v>77.5</v>
      </c>
      <c r="BG26" s="93">
        <f t="shared" si="20"/>
        <v>79.25</v>
      </c>
      <c r="BH26" s="20">
        <f t="shared" si="21"/>
        <v>59.25</v>
      </c>
      <c r="BI26" s="20">
        <f t="shared" si="22"/>
        <v>72.875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88</v>
      </c>
      <c r="F27" s="20"/>
      <c r="G27" s="20">
        <v>86</v>
      </c>
      <c r="H27" s="20"/>
      <c r="I27" s="20">
        <v>87</v>
      </c>
      <c r="J27" s="20"/>
      <c r="K27" s="20">
        <v>80</v>
      </c>
      <c r="L27" s="21"/>
      <c r="M27" s="19">
        <v>85</v>
      </c>
      <c r="N27" s="20"/>
      <c r="O27" s="20">
        <v>87</v>
      </c>
      <c r="P27" s="20"/>
      <c r="Q27" s="20">
        <v>84</v>
      </c>
      <c r="R27" s="20"/>
      <c r="S27" s="20">
        <v>85</v>
      </c>
      <c r="T27" s="21"/>
      <c r="U27" s="19">
        <v>80</v>
      </c>
      <c r="V27" s="20"/>
      <c r="W27" s="20">
        <v>86</v>
      </c>
      <c r="X27" s="20"/>
      <c r="Y27" s="20">
        <v>87</v>
      </c>
      <c r="Z27" s="20"/>
      <c r="AA27" s="20">
        <v>86</v>
      </c>
      <c r="AB27" s="21"/>
      <c r="AC27" s="1">
        <v>85</v>
      </c>
      <c r="AD27" s="20"/>
      <c r="AE27" s="20">
        <v>87</v>
      </c>
      <c r="AF27" s="20"/>
      <c r="AG27" s="20">
        <v>86</v>
      </c>
      <c r="AH27" s="20"/>
      <c r="AI27" s="20"/>
      <c r="AJ27" s="3"/>
      <c r="AK27" s="45">
        <f t="shared" si="4"/>
        <v>85.25</v>
      </c>
      <c r="AL27" s="46">
        <f t="shared" si="5"/>
        <v>85.25</v>
      </c>
      <c r="AM27" s="47">
        <f t="shared" si="6"/>
        <v>84.75</v>
      </c>
      <c r="AN27" s="48">
        <f t="shared" si="7"/>
        <v>64.5</v>
      </c>
      <c r="AO27" s="49">
        <f t="shared" si="8"/>
        <v>79.9375</v>
      </c>
      <c r="AP27" s="38"/>
      <c r="AR27" s="55" t="str">
        <f t="shared" si="9"/>
        <v/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>
        <f t="shared" si="16"/>
        <v>79.9375</v>
      </c>
      <c r="BC27" s="65" t="str">
        <f t="shared" si="17"/>
        <v/>
      </c>
      <c r="BE27" s="20">
        <f t="shared" si="18"/>
        <v>84.5</v>
      </c>
      <c r="BF27" s="20">
        <f t="shared" si="19"/>
        <v>86.5</v>
      </c>
      <c r="BG27" s="93">
        <f t="shared" si="20"/>
        <v>86</v>
      </c>
      <c r="BH27" s="20">
        <f t="shared" si="21"/>
        <v>62.75</v>
      </c>
      <c r="BI27" s="20">
        <f t="shared" si="22"/>
        <v>79.9375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88</v>
      </c>
      <c r="F28" s="20"/>
      <c r="G28" s="20">
        <v>90</v>
      </c>
      <c r="H28" s="20"/>
      <c r="I28" s="20">
        <v>90</v>
      </c>
      <c r="J28" s="20"/>
      <c r="K28" s="20">
        <v>95</v>
      </c>
      <c r="L28" s="21"/>
      <c r="M28" s="19">
        <v>88</v>
      </c>
      <c r="N28" s="20"/>
      <c r="O28" s="20">
        <v>90</v>
      </c>
      <c r="P28" s="20"/>
      <c r="Q28" s="20">
        <v>89</v>
      </c>
      <c r="R28" s="20"/>
      <c r="S28" s="20">
        <v>88</v>
      </c>
      <c r="T28" s="21"/>
      <c r="U28" s="19">
        <v>90</v>
      </c>
      <c r="V28" s="20"/>
      <c r="W28" s="20">
        <v>87</v>
      </c>
      <c r="X28" s="20"/>
      <c r="Y28" s="20">
        <v>91</v>
      </c>
      <c r="Z28" s="20"/>
      <c r="AA28" s="20">
        <v>90</v>
      </c>
      <c r="AB28" s="21"/>
      <c r="AC28" s="1">
        <v>90</v>
      </c>
      <c r="AD28" s="20"/>
      <c r="AE28" s="20">
        <v>92</v>
      </c>
      <c r="AF28" s="20"/>
      <c r="AG28" s="20">
        <v>90</v>
      </c>
      <c r="AH28" s="20"/>
      <c r="AI28" s="20"/>
      <c r="AJ28" s="3"/>
      <c r="AK28" s="45">
        <f t="shared" si="4"/>
        <v>90.75</v>
      </c>
      <c r="AL28" s="46">
        <f t="shared" si="5"/>
        <v>88.75</v>
      </c>
      <c r="AM28" s="47">
        <f t="shared" si="6"/>
        <v>89.5</v>
      </c>
      <c r="AN28" s="48">
        <f t="shared" si="7"/>
        <v>68</v>
      </c>
      <c r="AO28" s="49">
        <f t="shared" si="8"/>
        <v>84.25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84.25</v>
      </c>
      <c r="BC28" s="65" t="str">
        <f t="shared" si="17"/>
        <v/>
      </c>
      <c r="BE28" s="20">
        <f t="shared" si="18"/>
        <v>89</v>
      </c>
      <c r="BF28" s="20">
        <f t="shared" si="19"/>
        <v>89.75</v>
      </c>
      <c r="BG28" s="93">
        <f t="shared" si="20"/>
        <v>90</v>
      </c>
      <c r="BH28" s="20">
        <f t="shared" si="21"/>
        <v>68.25</v>
      </c>
      <c r="BI28" s="20">
        <f t="shared" si="22"/>
        <v>84.25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90</v>
      </c>
      <c r="F29" s="20"/>
      <c r="G29" s="20">
        <v>89</v>
      </c>
      <c r="H29" s="20"/>
      <c r="I29" s="20">
        <v>90</v>
      </c>
      <c r="J29" s="20"/>
      <c r="K29" s="20">
        <v>90</v>
      </c>
      <c r="L29" s="21"/>
      <c r="M29" s="19">
        <v>90</v>
      </c>
      <c r="N29" s="20"/>
      <c r="O29" s="20">
        <v>89</v>
      </c>
      <c r="P29" s="20"/>
      <c r="Q29" s="20">
        <v>90</v>
      </c>
      <c r="R29" s="20"/>
      <c r="S29" s="20">
        <v>92</v>
      </c>
      <c r="T29" s="21"/>
      <c r="U29" s="19">
        <v>90</v>
      </c>
      <c r="V29" s="20"/>
      <c r="W29" s="20">
        <v>88</v>
      </c>
      <c r="X29" s="20"/>
      <c r="Y29" s="20">
        <v>90</v>
      </c>
      <c r="Z29" s="20"/>
      <c r="AA29" s="20">
        <v>90</v>
      </c>
      <c r="AB29" s="21"/>
      <c r="AC29" s="1">
        <v>90</v>
      </c>
      <c r="AD29" s="20"/>
      <c r="AE29" s="20">
        <v>91</v>
      </c>
      <c r="AF29" s="20"/>
      <c r="AG29" s="20">
        <v>90</v>
      </c>
      <c r="AH29" s="20"/>
      <c r="AI29" s="20"/>
      <c r="AJ29" s="3"/>
      <c r="AK29" s="45">
        <f t="shared" si="4"/>
        <v>89.75</v>
      </c>
      <c r="AL29" s="46">
        <f t="shared" si="5"/>
        <v>90.25</v>
      </c>
      <c r="AM29" s="47">
        <f t="shared" si="6"/>
        <v>89.5</v>
      </c>
      <c r="AN29" s="48">
        <f t="shared" si="7"/>
        <v>67.75</v>
      </c>
      <c r="AO29" s="49">
        <f t="shared" si="8"/>
        <v>84.3125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84.3125</v>
      </c>
      <c r="BC29" s="65" t="str">
        <f t="shared" si="17"/>
        <v/>
      </c>
      <c r="BE29" s="20">
        <f t="shared" si="18"/>
        <v>90</v>
      </c>
      <c r="BF29" s="20">
        <f t="shared" si="19"/>
        <v>89.25</v>
      </c>
      <c r="BG29" s="93">
        <f t="shared" si="20"/>
        <v>90</v>
      </c>
      <c r="BH29" s="20">
        <f t="shared" si="21"/>
        <v>68</v>
      </c>
      <c r="BI29" s="20">
        <f t="shared" si="22"/>
        <v>84.3125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89</v>
      </c>
      <c r="F30" s="20"/>
      <c r="G30" s="20">
        <v>90</v>
      </c>
      <c r="H30" s="20"/>
      <c r="I30" s="20">
        <v>91</v>
      </c>
      <c r="J30" s="20"/>
      <c r="K30" s="20">
        <v>90</v>
      </c>
      <c r="L30" s="21"/>
      <c r="M30" s="19">
        <v>90</v>
      </c>
      <c r="N30" s="20"/>
      <c r="O30" s="20">
        <v>90</v>
      </c>
      <c r="P30" s="20"/>
      <c r="Q30" s="20">
        <v>89</v>
      </c>
      <c r="R30" s="20"/>
      <c r="S30" s="20">
        <v>88</v>
      </c>
      <c r="T30" s="21"/>
      <c r="U30" s="19">
        <v>90</v>
      </c>
      <c r="V30" s="20"/>
      <c r="W30" s="20">
        <v>90</v>
      </c>
      <c r="X30" s="20"/>
      <c r="Y30" s="20">
        <v>90</v>
      </c>
      <c r="Z30" s="20"/>
      <c r="AA30" s="20">
        <v>90</v>
      </c>
      <c r="AB30" s="21"/>
      <c r="AC30" s="1">
        <v>90</v>
      </c>
      <c r="AD30" s="20"/>
      <c r="AE30" s="20">
        <v>91</v>
      </c>
      <c r="AF30" s="20"/>
      <c r="AG30" s="20">
        <v>90</v>
      </c>
      <c r="AH30" s="20"/>
      <c r="AI30" s="20"/>
      <c r="AJ30" s="3"/>
      <c r="AK30" s="45">
        <f t="shared" si="4"/>
        <v>90</v>
      </c>
      <c r="AL30" s="46">
        <f t="shared" si="5"/>
        <v>89.25</v>
      </c>
      <c r="AM30" s="47">
        <f t="shared" si="6"/>
        <v>90</v>
      </c>
      <c r="AN30" s="48">
        <f t="shared" si="7"/>
        <v>67.75</v>
      </c>
      <c r="AO30" s="49">
        <f t="shared" si="8"/>
        <v>84.25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84.25</v>
      </c>
      <c r="BC30" s="65" t="str">
        <f t="shared" si="17"/>
        <v/>
      </c>
      <c r="BE30" s="20">
        <f t="shared" si="18"/>
        <v>89.75</v>
      </c>
      <c r="BF30" s="20">
        <f t="shared" si="19"/>
        <v>90.25</v>
      </c>
      <c r="BG30" s="93">
        <f t="shared" si="20"/>
        <v>90</v>
      </c>
      <c r="BH30" s="20">
        <f t="shared" si="21"/>
        <v>67</v>
      </c>
      <c r="BI30" s="20">
        <f t="shared" si="22"/>
        <v>84.25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88</v>
      </c>
      <c r="F32" s="20"/>
      <c r="G32" s="20">
        <v>87</v>
      </c>
      <c r="H32" s="20"/>
      <c r="I32" s="20">
        <v>86</v>
      </c>
      <c r="J32" s="20"/>
      <c r="K32" s="20">
        <v>88</v>
      </c>
      <c r="L32" s="21"/>
      <c r="M32" s="19">
        <v>88</v>
      </c>
      <c r="N32" s="20"/>
      <c r="O32" s="20">
        <v>88</v>
      </c>
      <c r="P32" s="20"/>
      <c r="Q32" s="20">
        <v>89</v>
      </c>
      <c r="R32" s="20"/>
      <c r="S32" s="20">
        <v>88</v>
      </c>
      <c r="T32" s="21"/>
      <c r="U32" s="19">
        <v>87</v>
      </c>
      <c r="V32" s="20"/>
      <c r="W32" s="20">
        <v>86</v>
      </c>
      <c r="X32" s="20"/>
      <c r="Y32" s="20">
        <v>85</v>
      </c>
      <c r="Z32" s="20"/>
      <c r="AA32" s="20">
        <v>86</v>
      </c>
      <c r="AB32" s="21"/>
      <c r="AC32" s="1">
        <v>87</v>
      </c>
      <c r="AD32" s="20"/>
      <c r="AE32" s="20">
        <v>87</v>
      </c>
      <c r="AF32" s="20"/>
      <c r="AG32" s="20">
        <v>85</v>
      </c>
      <c r="AH32" s="20"/>
      <c r="AI32" s="20"/>
      <c r="AJ32" s="3"/>
      <c r="AK32" s="45">
        <f t="shared" si="4"/>
        <v>87.25</v>
      </c>
      <c r="AL32" s="46">
        <f t="shared" si="5"/>
        <v>88.25</v>
      </c>
      <c r="AM32" s="47">
        <f t="shared" si="6"/>
        <v>86</v>
      </c>
      <c r="AN32" s="48">
        <f t="shared" si="7"/>
        <v>64.75</v>
      </c>
      <c r="AO32" s="49">
        <f t="shared" si="8"/>
        <v>81.5625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81.5625</v>
      </c>
      <c r="BC32" s="65" t="str">
        <f t="shared" si="17"/>
        <v/>
      </c>
      <c r="BE32" s="20">
        <f t="shared" si="18"/>
        <v>87.5</v>
      </c>
      <c r="BF32" s="20">
        <f t="shared" si="19"/>
        <v>87</v>
      </c>
      <c r="BG32" s="93">
        <f t="shared" si="20"/>
        <v>86.25</v>
      </c>
      <c r="BH32" s="20">
        <f t="shared" si="21"/>
        <v>65.5</v>
      </c>
      <c r="BI32" s="20">
        <f t="shared" si="22"/>
        <v>81.5625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90</v>
      </c>
      <c r="F33" s="20"/>
      <c r="G33" s="20">
        <v>90</v>
      </c>
      <c r="H33" s="20"/>
      <c r="I33" s="20">
        <v>91</v>
      </c>
      <c r="J33" s="20"/>
      <c r="K33" s="20">
        <v>89</v>
      </c>
      <c r="L33" s="21"/>
      <c r="M33" s="19">
        <v>92</v>
      </c>
      <c r="N33" s="20"/>
      <c r="O33" s="20">
        <v>90</v>
      </c>
      <c r="P33" s="20"/>
      <c r="Q33" s="20">
        <v>89</v>
      </c>
      <c r="R33" s="20"/>
      <c r="S33" s="20">
        <v>89</v>
      </c>
      <c r="T33" s="21"/>
      <c r="U33" s="19">
        <v>90</v>
      </c>
      <c r="V33" s="20"/>
      <c r="W33" s="20">
        <v>90</v>
      </c>
      <c r="X33" s="20"/>
      <c r="Y33" s="20">
        <v>92</v>
      </c>
      <c r="Z33" s="20"/>
      <c r="AA33" s="20">
        <v>90</v>
      </c>
      <c r="AB33" s="21"/>
      <c r="AC33" s="1">
        <v>92</v>
      </c>
      <c r="AD33" s="20"/>
      <c r="AE33" s="20">
        <v>90</v>
      </c>
      <c r="AF33" s="20"/>
      <c r="AG33" s="20">
        <v>89</v>
      </c>
      <c r="AH33" s="20"/>
      <c r="AI33" s="20"/>
      <c r="AJ33" s="3"/>
      <c r="AK33" s="45">
        <f t="shared" si="4"/>
        <v>90</v>
      </c>
      <c r="AL33" s="46">
        <f t="shared" si="5"/>
        <v>90</v>
      </c>
      <c r="AM33" s="47">
        <f t="shared" si="6"/>
        <v>90.5</v>
      </c>
      <c r="AN33" s="48">
        <f t="shared" si="7"/>
        <v>67.75</v>
      </c>
      <c r="AO33" s="49">
        <f t="shared" si="8"/>
        <v>84.5625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84.5625</v>
      </c>
      <c r="BC33" s="65" t="str">
        <f t="shared" si="17"/>
        <v/>
      </c>
      <c r="BE33" s="20">
        <f t="shared" si="18"/>
        <v>91</v>
      </c>
      <c r="BF33" s="20">
        <f t="shared" si="19"/>
        <v>90</v>
      </c>
      <c r="BG33" s="93">
        <f t="shared" si="20"/>
        <v>90.25</v>
      </c>
      <c r="BH33" s="20">
        <f t="shared" si="21"/>
        <v>67</v>
      </c>
      <c r="BI33" s="20">
        <f t="shared" si="22"/>
        <v>84.5625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75</v>
      </c>
      <c r="F34" s="20"/>
      <c r="G34" s="20">
        <v>76</v>
      </c>
      <c r="H34" s="20"/>
      <c r="I34" s="20">
        <v>74</v>
      </c>
      <c r="J34" s="20"/>
      <c r="K34" s="20">
        <v>73</v>
      </c>
      <c r="L34" s="21"/>
      <c r="M34" s="19">
        <v>70</v>
      </c>
      <c r="N34" s="20"/>
      <c r="O34" s="20">
        <v>80</v>
      </c>
      <c r="P34" s="20"/>
      <c r="Q34" s="20">
        <v>79</v>
      </c>
      <c r="R34" s="20"/>
      <c r="S34" s="20">
        <v>80</v>
      </c>
      <c r="T34" s="21"/>
      <c r="U34" s="19"/>
      <c r="V34" s="20"/>
      <c r="W34" s="20"/>
      <c r="X34" s="20"/>
      <c r="Y34" s="20"/>
      <c r="Z34" s="20"/>
      <c r="AA34" s="20"/>
      <c r="AB34" s="21"/>
      <c r="AC34" s="1"/>
      <c r="AD34" s="20"/>
      <c r="AE34" s="20"/>
      <c r="AF34" s="20"/>
      <c r="AG34" s="20"/>
      <c r="AH34" s="20"/>
      <c r="AI34" s="20"/>
      <c r="AJ34" s="3"/>
      <c r="AK34" s="45">
        <f t="shared" si="4"/>
        <v>74.5</v>
      </c>
      <c r="AL34" s="46">
        <f t="shared" si="5"/>
        <v>77.25</v>
      </c>
      <c r="AM34" s="47">
        <f t="shared" si="6"/>
        <v>0</v>
      </c>
      <c r="AN34" s="48">
        <f t="shared" si="7"/>
        <v>0</v>
      </c>
      <c r="AO34" s="49">
        <f t="shared" si="8"/>
        <v>37.9375</v>
      </c>
      <c r="AP34" s="38"/>
      <c r="AR34" s="55">
        <f t="shared" si="9"/>
        <v>18.96875</v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 t="str">
        <f t="shared" si="16"/>
        <v/>
      </c>
      <c r="BC34" s="65">
        <f t="shared" si="17"/>
        <v>37.9375</v>
      </c>
      <c r="BE34" s="20">
        <f t="shared" si="18"/>
        <v>36.25</v>
      </c>
      <c r="BF34" s="20">
        <f t="shared" si="19"/>
        <v>39</v>
      </c>
      <c r="BG34" s="93">
        <f t="shared" si="20"/>
        <v>38.25</v>
      </c>
      <c r="BH34" s="20">
        <f t="shared" si="21"/>
        <v>38.25</v>
      </c>
      <c r="BI34" s="20">
        <f t="shared" si="22"/>
        <v>37.9375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89</v>
      </c>
      <c r="F35" s="20"/>
      <c r="G35" s="20">
        <v>82</v>
      </c>
      <c r="H35" s="20"/>
      <c r="I35" s="20">
        <v>86</v>
      </c>
      <c r="J35" s="20"/>
      <c r="K35" s="20">
        <v>85</v>
      </c>
      <c r="L35" s="21"/>
      <c r="M35" s="19">
        <v>85</v>
      </c>
      <c r="N35" s="20"/>
      <c r="O35" s="20">
        <v>85</v>
      </c>
      <c r="P35" s="20"/>
      <c r="Q35" s="20">
        <v>86</v>
      </c>
      <c r="R35" s="20"/>
      <c r="S35" s="20">
        <v>87</v>
      </c>
      <c r="T35" s="21"/>
      <c r="U35" s="19">
        <v>87</v>
      </c>
      <c r="V35" s="20"/>
      <c r="W35" s="20">
        <v>86</v>
      </c>
      <c r="X35" s="20"/>
      <c r="Y35" s="20">
        <v>87</v>
      </c>
      <c r="Z35" s="20"/>
      <c r="AA35" s="20">
        <v>86</v>
      </c>
      <c r="AB35" s="21"/>
      <c r="AC35" s="1">
        <v>87</v>
      </c>
      <c r="AD35" s="20"/>
      <c r="AE35" s="20">
        <v>83</v>
      </c>
      <c r="AF35" s="20"/>
      <c r="AG35" s="20">
        <v>81</v>
      </c>
      <c r="AH35" s="20"/>
      <c r="AI35" s="20"/>
      <c r="AJ35" s="3"/>
      <c r="AK35" s="45">
        <f t="shared" si="4"/>
        <v>85.5</v>
      </c>
      <c r="AL35" s="46">
        <f t="shared" si="5"/>
        <v>85.75</v>
      </c>
      <c r="AM35" s="47">
        <f t="shared" si="6"/>
        <v>86.5</v>
      </c>
      <c r="AN35" s="48">
        <f t="shared" si="7"/>
        <v>62.75</v>
      </c>
      <c r="AO35" s="49">
        <f t="shared" si="8"/>
        <v>80.125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80.125</v>
      </c>
      <c r="BC35" s="65" t="str">
        <f t="shared" si="17"/>
        <v/>
      </c>
      <c r="BE35" s="20">
        <f t="shared" si="18"/>
        <v>87</v>
      </c>
      <c r="BF35" s="20">
        <f t="shared" si="19"/>
        <v>84</v>
      </c>
      <c r="BG35" s="93">
        <f t="shared" si="20"/>
        <v>85</v>
      </c>
      <c r="BH35" s="20">
        <f t="shared" si="21"/>
        <v>64.5</v>
      </c>
      <c r="BI35" s="20">
        <f t="shared" si="22"/>
        <v>80.125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90</v>
      </c>
      <c r="F36" s="20"/>
      <c r="G36" s="20">
        <v>89</v>
      </c>
      <c r="H36" s="20"/>
      <c r="I36" s="20">
        <v>90</v>
      </c>
      <c r="J36" s="20"/>
      <c r="K36" s="20">
        <v>90</v>
      </c>
      <c r="L36" s="21"/>
      <c r="M36" s="19">
        <v>89</v>
      </c>
      <c r="N36" s="20"/>
      <c r="O36" s="20">
        <v>88</v>
      </c>
      <c r="P36" s="20"/>
      <c r="Q36" s="20">
        <v>90</v>
      </c>
      <c r="R36" s="20"/>
      <c r="S36" s="20">
        <v>90</v>
      </c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/>
      <c r="AJ36" s="3"/>
      <c r="AK36" s="45">
        <f t="shared" si="4"/>
        <v>89.75</v>
      </c>
      <c r="AL36" s="46">
        <f t="shared" si="5"/>
        <v>89.25</v>
      </c>
      <c r="AM36" s="47">
        <f t="shared" si="6"/>
        <v>0</v>
      </c>
      <c r="AN36" s="48">
        <f t="shared" si="7"/>
        <v>0</v>
      </c>
      <c r="AO36" s="49">
        <f t="shared" si="8"/>
        <v>44.75</v>
      </c>
      <c r="AP36" s="38"/>
      <c r="AR36" s="55">
        <f t="shared" si="9"/>
        <v>22.375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44.75</v>
      </c>
      <c r="BE36" s="20">
        <f t="shared" si="18"/>
        <v>44.75</v>
      </c>
      <c r="BF36" s="20">
        <f t="shared" si="19"/>
        <v>44.25</v>
      </c>
      <c r="BG36" s="93">
        <f t="shared" si="20"/>
        <v>45</v>
      </c>
      <c r="BH36" s="20">
        <f t="shared" si="21"/>
        <v>45</v>
      </c>
      <c r="BI36" s="20">
        <f t="shared" si="22"/>
        <v>44.75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89</v>
      </c>
      <c r="H37" s="20"/>
      <c r="I37" s="20">
        <v>90</v>
      </c>
      <c r="J37" s="20"/>
      <c r="K37" s="20">
        <v>88</v>
      </c>
      <c r="L37" s="21"/>
      <c r="M37" s="19">
        <v>90</v>
      </c>
      <c r="N37" s="20"/>
      <c r="O37" s="20">
        <v>90</v>
      </c>
      <c r="P37" s="20"/>
      <c r="Q37" s="20">
        <v>89</v>
      </c>
      <c r="R37" s="20"/>
      <c r="S37" s="20">
        <v>88</v>
      </c>
      <c r="T37" s="3"/>
      <c r="U37" s="19">
        <v>89</v>
      </c>
      <c r="V37" s="20"/>
      <c r="W37" s="20">
        <v>88</v>
      </c>
      <c r="X37" s="20"/>
      <c r="Y37" s="20">
        <v>90</v>
      </c>
      <c r="Z37" s="20"/>
      <c r="AA37" s="20">
        <v>90</v>
      </c>
      <c r="AB37" s="21"/>
      <c r="AC37" s="1"/>
      <c r="AD37" s="20"/>
      <c r="AE37" s="20">
        <v>92</v>
      </c>
      <c r="AF37" s="20"/>
      <c r="AG37" s="20">
        <v>90</v>
      </c>
      <c r="AH37" s="20"/>
      <c r="AI37" s="20"/>
      <c r="AJ37" s="3"/>
      <c r="AK37" s="45">
        <f t="shared" si="4"/>
        <v>89.25</v>
      </c>
      <c r="AL37" s="46">
        <f t="shared" si="5"/>
        <v>89.25</v>
      </c>
      <c r="AM37" s="47">
        <f t="shared" si="6"/>
        <v>89.25</v>
      </c>
      <c r="AN37" s="48">
        <f t="shared" si="7"/>
        <v>45.5</v>
      </c>
      <c r="AO37" s="49">
        <f t="shared" si="8"/>
        <v>78.3125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78.3125</v>
      </c>
      <c r="BC37" s="65" t="str">
        <f t="shared" si="17"/>
        <v/>
      </c>
      <c r="BE37" s="20">
        <f t="shared" si="18"/>
        <v>67.25</v>
      </c>
      <c r="BF37" s="20">
        <f t="shared" si="19"/>
        <v>89.75</v>
      </c>
      <c r="BG37" s="93">
        <f t="shared" si="20"/>
        <v>89.75</v>
      </c>
      <c r="BH37" s="20">
        <f t="shared" si="21"/>
        <v>66.5</v>
      </c>
      <c r="BI37" s="20">
        <f t="shared" si="22"/>
        <v>78.3125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85</v>
      </c>
      <c r="F38" s="20"/>
      <c r="G38" s="20">
        <v>87</v>
      </c>
      <c r="H38" s="20"/>
      <c r="I38" s="20">
        <v>89</v>
      </c>
      <c r="J38" s="20"/>
      <c r="K38" s="20">
        <v>88</v>
      </c>
      <c r="L38" s="21"/>
      <c r="M38" s="19">
        <v>88</v>
      </c>
      <c r="N38" s="20"/>
      <c r="O38" s="20">
        <v>86</v>
      </c>
      <c r="P38" s="20"/>
      <c r="Q38" s="20">
        <v>87</v>
      </c>
      <c r="R38" s="20"/>
      <c r="S38" s="20">
        <v>87</v>
      </c>
      <c r="T38" s="21"/>
      <c r="U38" s="19">
        <v>87</v>
      </c>
      <c r="V38" s="20"/>
      <c r="W38" s="20">
        <v>86</v>
      </c>
      <c r="X38" s="20"/>
      <c r="Y38" s="20">
        <v>85</v>
      </c>
      <c r="Z38" s="20"/>
      <c r="AA38" s="20">
        <v>87</v>
      </c>
      <c r="AB38" s="21"/>
      <c r="AC38" s="1">
        <v>85</v>
      </c>
      <c r="AD38" s="20"/>
      <c r="AE38" s="20">
        <v>85</v>
      </c>
      <c r="AF38" s="20"/>
      <c r="AG38" s="20">
        <v>87</v>
      </c>
      <c r="AH38" s="20"/>
      <c r="AI38" s="20"/>
      <c r="AJ38" s="3"/>
      <c r="AK38" s="45">
        <f t="shared" si="4"/>
        <v>87.25</v>
      </c>
      <c r="AL38" s="46">
        <f t="shared" si="5"/>
        <v>87</v>
      </c>
      <c r="AM38" s="47">
        <f t="shared" si="6"/>
        <v>86.25</v>
      </c>
      <c r="AN38" s="48">
        <f t="shared" si="7"/>
        <v>64.25</v>
      </c>
      <c r="AO38" s="49">
        <f t="shared" si="8"/>
        <v>81.1875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81.1875</v>
      </c>
      <c r="BC38" s="65" t="str">
        <f t="shared" si="17"/>
        <v/>
      </c>
      <c r="BE38" s="20">
        <f t="shared" si="18"/>
        <v>86.25</v>
      </c>
      <c r="BF38" s="20">
        <f t="shared" si="19"/>
        <v>86</v>
      </c>
      <c r="BG38" s="93">
        <f t="shared" si="20"/>
        <v>87</v>
      </c>
      <c r="BH38" s="20">
        <f t="shared" si="21"/>
        <v>65.5</v>
      </c>
      <c r="BI38" s="20">
        <f t="shared" si="22"/>
        <v>81.1875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70</v>
      </c>
      <c r="F39" s="20"/>
      <c r="G39" s="20">
        <v>75</v>
      </c>
      <c r="H39" s="20"/>
      <c r="I39" s="20">
        <v>78</v>
      </c>
      <c r="J39" s="20"/>
      <c r="K39" s="20">
        <v>79</v>
      </c>
      <c r="L39" s="21"/>
      <c r="M39" s="19"/>
      <c r="N39" s="20"/>
      <c r="O39" s="20"/>
      <c r="P39" s="20"/>
      <c r="Q39" s="20"/>
      <c r="R39" s="20"/>
      <c r="S39" s="20"/>
      <c r="T39" s="21"/>
      <c r="U39" s="19"/>
      <c r="V39" s="20"/>
      <c r="W39" s="20"/>
      <c r="X39" s="20"/>
      <c r="Y39" s="20"/>
      <c r="Z39" s="20"/>
      <c r="AA39" s="20"/>
      <c r="AB39" s="21"/>
      <c r="AC39" s="1"/>
      <c r="AD39" s="20"/>
      <c r="AE39" s="20"/>
      <c r="AF39" s="20"/>
      <c r="AG39" s="20"/>
      <c r="AH39" s="20"/>
      <c r="AI39" s="20"/>
      <c r="AJ39" s="3"/>
      <c r="AK39" s="45">
        <f t="shared" si="4"/>
        <v>75.5</v>
      </c>
      <c r="AL39" s="46">
        <f t="shared" si="5"/>
        <v>0</v>
      </c>
      <c r="AM39" s="47">
        <f t="shared" si="6"/>
        <v>0</v>
      </c>
      <c r="AN39" s="48">
        <f t="shared" si="7"/>
        <v>0</v>
      </c>
      <c r="AO39" s="49">
        <f t="shared" si="8"/>
        <v>18.875</v>
      </c>
      <c r="AP39" s="38"/>
      <c r="AR39" s="55">
        <f t="shared" si="9"/>
        <v>9.4375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18.875</v>
      </c>
      <c r="BE39" s="20">
        <f t="shared" si="18"/>
        <v>17.5</v>
      </c>
      <c r="BF39" s="20">
        <f t="shared" si="19"/>
        <v>18.75</v>
      </c>
      <c r="BG39" s="93">
        <f t="shared" si="20"/>
        <v>19.5</v>
      </c>
      <c r="BH39" s="20">
        <f t="shared" si="21"/>
        <v>19.75</v>
      </c>
      <c r="BI39" s="20">
        <f t="shared" si="22"/>
        <v>18.875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70</v>
      </c>
      <c r="F40" s="20"/>
      <c r="G40" s="20">
        <v>75</v>
      </c>
      <c r="H40" s="20"/>
      <c r="I40" s="20">
        <v>78</v>
      </c>
      <c r="J40" s="20"/>
      <c r="K40" s="20">
        <v>79</v>
      </c>
      <c r="L40" s="21"/>
      <c r="M40" s="19">
        <v>75</v>
      </c>
      <c r="N40" s="20"/>
      <c r="O40" s="20">
        <v>76</v>
      </c>
      <c r="P40" s="20"/>
      <c r="Q40" s="20">
        <v>78</v>
      </c>
      <c r="R40" s="20"/>
      <c r="S40" s="20">
        <v>79</v>
      </c>
      <c r="T40" s="21"/>
      <c r="U40" s="19">
        <v>79</v>
      </c>
      <c r="V40" s="20"/>
      <c r="W40" s="20">
        <v>80</v>
      </c>
      <c r="X40" s="20"/>
      <c r="Y40" s="20">
        <v>82</v>
      </c>
      <c r="Z40" s="20"/>
      <c r="AA40" s="20">
        <v>79</v>
      </c>
      <c r="AB40" s="21"/>
      <c r="AC40" s="1">
        <v>78</v>
      </c>
      <c r="AD40" s="20"/>
      <c r="AE40" s="20">
        <v>79</v>
      </c>
      <c r="AF40" s="20"/>
      <c r="AG40" s="20">
        <v>79</v>
      </c>
      <c r="AH40" s="20"/>
      <c r="AI40" s="20"/>
      <c r="AJ40" s="3"/>
      <c r="AK40" s="45">
        <f t="shared" si="4"/>
        <v>75.5</v>
      </c>
      <c r="AL40" s="46">
        <f t="shared" si="5"/>
        <v>77</v>
      </c>
      <c r="AM40" s="47">
        <f t="shared" si="6"/>
        <v>80</v>
      </c>
      <c r="AN40" s="48">
        <f t="shared" si="7"/>
        <v>59</v>
      </c>
      <c r="AO40" s="49">
        <f t="shared" si="8"/>
        <v>72.875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72.875</v>
      </c>
      <c r="BC40" s="65" t="str">
        <f t="shared" si="17"/>
        <v/>
      </c>
      <c r="BE40" s="20">
        <f t="shared" si="18"/>
        <v>75.5</v>
      </c>
      <c r="BF40" s="20">
        <f t="shared" si="19"/>
        <v>77.5</v>
      </c>
      <c r="BG40" s="93">
        <f t="shared" si="20"/>
        <v>79.25</v>
      </c>
      <c r="BH40" s="20">
        <f t="shared" si="21"/>
        <v>59.25</v>
      </c>
      <c r="BI40" s="20">
        <f t="shared" si="22"/>
        <v>72.875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88</v>
      </c>
      <c r="F41" s="20"/>
      <c r="G41" s="20">
        <v>86</v>
      </c>
      <c r="H41" s="20"/>
      <c r="I41" s="20">
        <v>87</v>
      </c>
      <c r="J41" s="20"/>
      <c r="K41" s="20">
        <v>80</v>
      </c>
      <c r="L41" s="21"/>
      <c r="M41" s="19">
        <v>85</v>
      </c>
      <c r="N41" s="20"/>
      <c r="O41" s="20">
        <v>87</v>
      </c>
      <c r="P41" s="20"/>
      <c r="Q41" s="20">
        <v>84</v>
      </c>
      <c r="R41" s="20"/>
      <c r="S41" s="20">
        <v>85</v>
      </c>
      <c r="T41" s="21"/>
      <c r="U41" s="19">
        <v>80</v>
      </c>
      <c r="V41" s="20"/>
      <c r="W41" s="20">
        <v>86</v>
      </c>
      <c r="X41" s="20"/>
      <c r="Y41" s="20">
        <v>87</v>
      </c>
      <c r="Z41" s="20"/>
      <c r="AA41" s="20">
        <v>86</v>
      </c>
      <c r="AB41" s="21"/>
      <c r="AC41" s="1">
        <v>85</v>
      </c>
      <c r="AD41" s="20"/>
      <c r="AE41" s="20">
        <v>87</v>
      </c>
      <c r="AF41" s="20"/>
      <c r="AG41" s="20">
        <v>86</v>
      </c>
      <c r="AH41" s="20"/>
      <c r="AI41" s="20"/>
      <c r="AJ41" s="3"/>
      <c r="AK41" s="45">
        <f t="shared" si="4"/>
        <v>85.25</v>
      </c>
      <c r="AL41" s="46">
        <f t="shared" si="5"/>
        <v>85.25</v>
      </c>
      <c r="AM41" s="47">
        <f t="shared" si="6"/>
        <v>84.75</v>
      </c>
      <c r="AN41" s="48">
        <f t="shared" si="7"/>
        <v>64.5</v>
      </c>
      <c r="AO41" s="49">
        <f t="shared" si="8"/>
        <v>79.9375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79.9375</v>
      </c>
      <c r="BC41" s="65" t="str">
        <f t="shared" si="17"/>
        <v/>
      </c>
      <c r="BE41" s="20">
        <f t="shared" si="18"/>
        <v>84.5</v>
      </c>
      <c r="BF41" s="20">
        <f t="shared" si="19"/>
        <v>86.5</v>
      </c>
      <c r="BG41" s="93">
        <f t="shared" si="20"/>
        <v>86</v>
      </c>
      <c r="BH41" s="20">
        <f t="shared" si="21"/>
        <v>62.75</v>
      </c>
      <c r="BI41" s="20">
        <f t="shared" si="22"/>
        <v>79.9375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88</v>
      </c>
      <c r="F42" s="20"/>
      <c r="G42" s="20">
        <v>90</v>
      </c>
      <c r="H42" s="20"/>
      <c r="I42" s="20">
        <v>90</v>
      </c>
      <c r="J42" s="20"/>
      <c r="K42" s="20">
        <v>95</v>
      </c>
      <c r="L42" s="21"/>
      <c r="M42" s="19">
        <v>88</v>
      </c>
      <c r="N42" s="20"/>
      <c r="O42" s="20">
        <v>90</v>
      </c>
      <c r="P42" s="20"/>
      <c r="Q42" s="20">
        <v>89</v>
      </c>
      <c r="R42" s="20"/>
      <c r="S42" s="20">
        <v>88</v>
      </c>
      <c r="T42" s="21"/>
      <c r="U42" s="19">
        <v>90</v>
      </c>
      <c r="V42" s="20"/>
      <c r="W42" s="20">
        <v>87</v>
      </c>
      <c r="X42" s="20"/>
      <c r="Y42" s="20">
        <v>91</v>
      </c>
      <c r="Z42" s="20"/>
      <c r="AA42" s="20">
        <v>90</v>
      </c>
      <c r="AB42" s="21"/>
      <c r="AC42" s="1">
        <v>90</v>
      </c>
      <c r="AD42" s="20"/>
      <c r="AE42" s="20">
        <v>92</v>
      </c>
      <c r="AF42" s="20"/>
      <c r="AG42" s="20">
        <v>90</v>
      </c>
      <c r="AH42" s="20"/>
      <c r="AI42" s="20"/>
      <c r="AJ42" s="3"/>
      <c r="AK42" s="45">
        <f t="shared" si="4"/>
        <v>90.75</v>
      </c>
      <c r="AL42" s="46">
        <f t="shared" si="5"/>
        <v>88.75</v>
      </c>
      <c r="AM42" s="47">
        <f t="shared" si="6"/>
        <v>89.5</v>
      </c>
      <c r="AN42" s="48">
        <f t="shared" si="7"/>
        <v>68</v>
      </c>
      <c r="AO42" s="49">
        <f t="shared" si="8"/>
        <v>84.25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84.25</v>
      </c>
      <c r="BC42" s="65" t="str">
        <f t="shared" si="17"/>
        <v/>
      </c>
      <c r="BE42" s="20">
        <f t="shared" si="18"/>
        <v>89</v>
      </c>
      <c r="BF42" s="20">
        <f t="shared" si="19"/>
        <v>89.75</v>
      </c>
      <c r="BG42" s="93">
        <f t="shared" si="20"/>
        <v>90</v>
      </c>
      <c r="BH42" s="20">
        <f t="shared" si="21"/>
        <v>68.25</v>
      </c>
      <c r="BI42" s="20">
        <f t="shared" si="22"/>
        <v>84.25</v>
      </c>
    </row>
    <row r="43" spans="1:61" x14ac:dyDescent="0.2">
      <c r="A43" s="30">
        <v>41</v>
      </c>
      <c r="B43" s="92" t="s">
        <v>152</v>
      </c>
      <c r="C43" s="68"/>
      <c r="D43" s="68"/>
      <c r="E43" s="19">
        <v>90</v>
      </c>
      <c r="F43" s="20"/>
      <c r="G43" s="20">
        <v>89</v>
      </c>
      <c r="H43" s="20"/>
      <c r="I43" s="20">
        <v>90</v>
      </c>
      <c r="J43" s="20"/>
      <c r="K43" s="20">
        <v>90</v>
      </c>
      <c r="L43" s="21"/>
      <c r="M43" s="19">
        <v>90</v>
      </c>
      <c r="N43" s="20"/>
      <c r="O43" s="20">
        <v>89</v>
      </c>
      <c r="P43" s="20"/>
      <c r="Q43" s="20">
        <v>90</v>
      </c>
      <c r="R43" s="20"/>
      <c r="S43" s="20">
        <v>92</v>
      </c>
      <c r="T43" s="21"/>
      <c r="U43" s="19">
        <v>90</v>
      </c>
      <c r="V43" s="20"/>
      <c r="W43" s="20">
        <v>88</v>
      </c>
      <c r="X43" s="20"/>
      <c r="Y43" s="20">
        <v>90</v>
      </c>
      <c r="Z43" s="20"/>
      <c r="AA43" s="20">
        <v>90</v>
      </c>
      <c r="AB43" s="21"/>
      <c r="AC43" s="1">
        <v>90</v>
      </c>
      <c r="AD43" s="20"/>
      <c r="AE43" s="20">
        <v>91</v>
      </c>
      <c r="AF43" s="20"/>
      <c r="AG43" s="20">
        <v>90</v>
      </c>
      <c r="AH43" s="20"/>
      <c r="AI43" s="20"/>
      <c r="AJ43" s="3"/>
      <c r="AK43" s="45">
        <f t="shared" si="4"/>
        <v>89.75</v>
      </c>
      <c r="AL43" s="46">
        <f t="shared" si="5"/>
        <v>90.25</v>
      </c>
      <c r="AM43" s="47">
        <f t="shared" si="6"/>
        <v>89.5</v>
      </c>
      <c r="AN43" s="48">
        <f t="shared" si="7"/>
        <v>67.75</v>
      </c>
      <c r="AO43" s="49">
        <f t="shared" si="8"/>
        <v>84.3125</v>
      </c>
      <c r="AP43" s="38"/>
      <c r="AR43" s="55" t="str">
        <f t="shared" si="9"/>
        <v/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>
        <f t="shared" si="16"/>
        <v>84.3125</v>
      </c>
      <c r="BC43" s="65" t="str">
        <f t="shared" si="17"/>
        <v/>
      </c>
      <c r="BE43" s="20">
        <f t="shared" si="18"/>
        <v>90</v>
      </c>
      <c r="BF43" s="20">
        <f t="shared" si="19"/>
        <v>89.25</v>
      </c>
      <c r="BG43" s="93">
        <f t="shared" si="20"/>
        <v>90</v>
      </c>
      <c r="BH43" s="20">
        <f t="shared" si="21"/>
        <v>68</v>
      </c>
      <c r="BI43" s="20">
        <f t="shared" si="22"/>
        <v>84.3125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21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  <mergeCell ref="A1:A2"/>
    <mergeCell ref="C1:C2"/>
    <mergeCell ref="D1:D2"/>
    <mergeCell ref="E1:L1"/>
    <mergeCell ref="M1:T1"/>
    <mergeCell ref="B1:B2"/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</mergeCells>
  <conditionalFormatting sqref="E3:AJ3">
    <cfRule type="cellIs" dxfId="24" priority="5" operator="lessThan">
      <formula>70</formula>
    </cfRule>
  </conditionalFormatting>
  <conditionalFormatting sqref="G4:L33">
    <cfRule type="cellIs" dxfId="23" priority="8" operator="lessThan">
      <formula>70</formula>
    </cfRule>
  </conditionalFormatting>
  <conditionalFormatting sqref="G38:L44">
    <cfRule type="cellIs" dxfId="22" priority="3" operator="lessThan">
      <formula>70</formula>
    </cfRule>
  </conditionalFormatting>
  <conditionalFormatting sqref="O4:AB33">
    <cfRule type="cellIs" dxfId="21" priority="7" operator="lessThan">
      <formula>70</formula>
    </cfRule>
  </conditionalFormatting>
  <conditionalFormatting sqref="O38:AB44">
    <cfRule type="cellIs" dxfId="20" priority="2" operator="lessThan">
      <formula>70</formula>
    </cfRule>
  </conditionalFormatting>
  <conditionalFormatting sqref="U33:AG33 AK3:AP47 E4:F33 M4:N33 AC4:AD33 E34:AJ37 E38:F44 M38:N44 AC38:AD44 AH38:AJ44 E45:AJ47">
    <cfRule type="cellIs" dxfId="19" priority="11" operator="lessThan">
      <formula>70</formula>
    </cfRule>
  </conditionalFormatting>
  <conditionalFormatting sqref="AE38:AG44">
    <cfRule type="cellIs" dxfId="18" priority="1" operator="lessThan">
      <formula>70</formula>
    </cfRule>
  </conditionalFormatting>
  <conditionalFormatting sqref="AE4:AJ33">
    <cfRule type="cellIs" dxfId="17" priority="6" operator="lessThan">
      <formula>70</formula>
    </cfRule>
  </conditionalFormatting>
  <conditionalFormatting sqref="AR3:AR47">
    <cfRule type="cellIs" dxfId="16" priority="9" operator="lessThan">
      <formula>70</formula>
    </cfRule>
  </conditionalFormatting>
  <conditionalFormatting sqref="AR3:AY47">
    <cfRule type="cellIs" dxfId="15" priority="10" operator="lessThan">
      <formula>70</formula>
    </cfRule>
  </conditionalFormatting>
  <conditionalFormatting sqref="AZ3:AZ47">
    <cfRule type="cellIs" dxfId="14" priority="4" operator="lessThan">
      <formula>70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ESPANOL</vt:lpstr>
      <vt:lpstr>INGLES</vt:lpstr>
      <vt:lpstr>MATEMATICA</vt:lpstr>
      <vt:lpstr>SOCIALES</vt:lpstr>
      <vt:lpstr>NATURALES</vt:lpstr>
      <vt:lpstr>EDU.ARTISTICA</vt:lpstr>
      <vt:lpstr>EDU.FISICA</vt:lpstr>
      <vt:lpstr>RELIGION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Jose Andres Diaz</cp:lastModifiedBy>
  <cp:lastPrinted>2026-06-13T12:11:45Z</cp:lastPrinted>
  <dcterms:created xsi:type="dcterms:W3CDTF">2023-03-02T01:29:27Z</dcterms:created>
  <dcterms:modified xsi:type="dcterms:W3CDTF">2026-09-17T22:52:00Z</dcterms:modified>
</cp:coreProperties>
</file>